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beneficiosmotiva-my.sharepoint.com/personal/igor_motivabeneficios_com_br/Documents/Área de Trabalho/Gerencial/"/>
    </mc:Choice>
  </mc:AlternateContent>
  <xr:revisionPtr revIDLastSave="2850" documentId="8_{04EA1580-011F-4535-ABF1-02B9CCBA3B27}" xr6:coauthVersionLast="47" xr6:coauthVersionMax="47" xr10:uidLastSave="{B68D8BA8-51A3-435F-8D80-38705D62A370}"/>
  <bookViews>
    <workbookView xWindow="-108" yWindow="-108" windowWidth="23256" windowHeight="12456" firstSheet="5" activeTab="5" xr2:uid="{00000000-000D-0000-FFFF-FFFF00000000}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91028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59" l="1"/>
  <c r="J35" i="59"/>
  <c r="J31" i="59"/>
  <c r="J27" i="59"/>
  <c r="J13" i="59"/>
  <c r="J15" i="59" s="1"/>
  <c r="J22" i="59" s="1"/>
  <c r="J20" i="59"/>
  <c r="J20" i="58"/>
  <c r="J15" i="58"/>
  <c r="J22" i="58" s="1"/>
  <c r="J37" i="58" s="1"/>
  <c r="J44" i="58" s="1"/>
  <c r="J47" i="58" s="1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J44" i="59" l="1"/>
  <c r="J47" i="59" s="1"/>
  <c r="F22" i="59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I225" i="52" s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78" i="52" l="1"/>
  <c r="I285" i="52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l="1"/>
  <c r="I315" i="52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L22" i="51" l="1"/>
  <c r="T22" i="51"/>
  <c r="D22" i="51"/>
  <c r="I375" i="52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I368" i="52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U22" i="51" l="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tc={9427ACC3-5D2F-40B7-9EBA-60A195873A75}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 xr:uid="{CF61CED1-DFB2-4E8C-AF69-B4346C9DEC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5ADFE5D8-EF50-4013-8CD2-317C921EAB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150C0BE0-BC3B-4807-BB19-6BA1785FAE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4DEA0BA0-A7ED-4A0E-B665-83C9CFFD5C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BC65F854-6E9B-4605-97F5-E83BBEB1C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9B73F784-3144-45EF-A0EE-02F2FEAEF5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756FAC5-A340-42BA-926E-62CE4D6F51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A7A2DDF9-E036-4D54-A54C-D1C229D106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59EA3B7A-1724-4706-B405-D1BA408500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L12" authorId="9" shapeId="0" xr:uid="{2AE0C3BF-AC94-4001-9060-8466D72E38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10" shapeId="0" xr:uid="{EC12D7C2-F13C-4C9B-BCEF-CD55A96C39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1" shapeId="0" xr:uid="{F67BFB43-2D55-49B6-A87D-A25F06CCB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2" shapeId="0" xr:uid="{C4D1E64F-23F4-4B8F-9657-E20ECB3A4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3" shapeId="0" xr:uid="{77976F01-EBF3-4CF4-B227-58730400F5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4" shapeId="0" xr:uid="{942941E1-1F08-4C8B-9CA2-853785F6D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5" shapeId="0" xr:uid="{F2C4203D-551E-4AD6-9F2A-A6FCFAB87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6" shapeId="0" xr:uid="{5CC5F5F2-A145-43C8-87BF-E315DFA9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7" shapeId="0" xr:uid="{49565ED2-EAD1-44C7-A591-BAD295B901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8" shapeId="0" xr:uid="{C21D37AC-04A5-4011-A13F-781F7E9B82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9" shapeId="0" xr:uid="{E7FEE614-2D41-4CF3-8058-D7B49BF32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20" shapeId="0" xr:uid="{913E656C-0D63-4ED5-AB9F-C9733523E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1" shapeId="0" xr:uid="{41DDBFC5-E9C9-48C0-8A10-ED9DFA2D8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2" shapeId="0" xr:uid="{384AD2BD-C04B-4D44-8D34-E55CDB81C3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3" shapeId="0" xr:uid="{7970071E-BFE1-4B68-B1B5-606E0B0B7B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4" shapeId="0" xr:uid="{02DC1F1D-31B1-4D33-B08C-21804A4F9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5" shapeId="0" xr:uid="{9B3AA747-52B4-4BFC-9B7B-A05B49C00E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6" shapeId="0" xr:uid="{5320EFD4-E037-4E8F-B10F-0FF180523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7" shapeId="0" xr:uid="{ACB791A1-415A-4A06-BB28-F5E2E6BE0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8" shapeId="0" xr:uid="{9427ACC3-5D2F-40B7-9EBA-60A195873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9" shapeId="0" xr:uid="{13FCACBF-2FF3-405E-92E2-649EBCBEB9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30" shapeId="0" xr:uid="{CA46F3AE-18DB-46EB-9CE0-B4EE98F761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1" shapeId="0" xr:uid="{40AC3B4F-F54B-410C-AF6B-8615EE6272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2" shapeId="0" xr:uid="{75E46D71-424D-4691-830A-45D61AD17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3" shapeId="0" xr:uid="{393020D8-7132-48F8-9582-E8ACD45FC5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4" shapeId="0" xr:uid="{8FE97D56-067D-4D3F-BA9C-2ED45104C3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5" shapeId="0" xr:uid="{3405E2CE-995F-4D94-BF8D-4FFD807FF4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6" shapeId="0" xr:uid="{6BE071E8-4BFF-4BF0-82D1-B40C831467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7" shapeId="0" xr:uid="{75837D1D-0C80-4803-B6DE-0BF0165BF6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8" shapeId="0" xr:uid="{404DDF73-5261-44EA-A8E7-BDD869096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9" shapeId="0" xr:uid="{A62BAD91-A169-4D83-8919-41C0777F5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7" authorId="40" shapeId="0" xr:uid="{0FAD9603-29BC-4859-ACB2-2A7EF5020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</text>
    </comment>
    <comment ref="C23" authorId="41" shapeId="0" xr:uid="{EC574F08-5DE3-4C21-B9C0-CA5B0FFB4E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1" shapeId="0" xr:uid="{98173789-0227-4D0F-BB4D-C16653B19A8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1" shapeId="0" xr:uid="{DAA08D72-8A29-4EE8-A5E2-620ADE57E66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1" shapeId="0" xr:uid="{A91D99F9-1E5D-419F-AFC2-C253D97840D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1" shapeId="0" xr:uid="{AF71D7C1-DE83-4CA9-BCF0-CE21921488D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1" shapeId="0" xr:uid="{8157D9BB-2C9B-4FB6-9F64-FAAF41F7AD2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1" shapeId="0" xr:uid="{94FEF5A5-12CC-41AA-AC50-3A1D4EDD73D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1" shapeId="0" xr:uid="{EA133486-52FE-4133-8101-7385013232A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1" shapeId="0" xr:uid="{220020E5-DF5F-40FA-9E6A-C7EDB431153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1" shapeId="0" xr:uid="{2DF74CB7-0617-4A01-8D5B-BD0399A810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1" shapeId="0" xr:uid="{0EEB90E4-43A2-4EE0-A0FE-1FC740E798F2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1" shapeId="0" xr:uid="{6A743B66-8BF7-460B-8B13-6F1B6EB77327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1" shapeId="0" xr:uid="{B4777D35-FC45-461C-B8E3-E1CB085AA4F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1" shapeId="0" xr:uid="{BBF37E42-0142-42A0-AE9A-F19CAEFF5FE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1" shapeId="0" xr:uid="{BDB2BAA8-8AAF-4D19-BDCB-B1E48A06D82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1" shapeId="0" xr:uid="{F4DA303B-8FF9-422C-8356-E271765276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1" shapeId="0" xr:uid="{850C1763-F2B0-4644-93FE-DE21B50EB1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1" shapeId="0" xr:uid="{9924B877-49B3-4BE8-A741-F623713A2FF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1" shapeId="0" xr:uid="{0DD9BB5C-195F-47A1-B275-EDA616D967E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1" shapeId="0" xr:uid="{7574113E-C4D9-4FF8-A3ED-34B039A515D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1" shapeId="0" xr:uid="{88492C24-3AA4-43FA-A548-597DA1D908BC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1" shapeId="0" xr:uid="{6929E2FB-F3B9-49BF-807C-8D8CD9E3B39A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1" shapeId="0" xr:uid="{2FB2EF2D-D2C3-4E77-972A-8180062A002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 xr:uid="{069A7B9E-C5BF-4269-BA1C-95486F3DEE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13" authorId="1" shapeId="0" xr:uid="{50ED93E1-615C-4BDC-9CE7-64C62743E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13" authorId="2" shapeId="0" xr:uid="{21112280-D46B-41E5-9B40-7CCAA5FE13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13" authorId="3" shapeId="0" xr:uid="{DC52C889-8C1D-40E0-8129-780DD206AC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13" authorId="4" shapeId="0" xr:uid="{DCF0A2A2-C166-46DA-9487-CD4D348B66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13" authorId="5" shapeId="0" xr:uid="{45723936-14F1-4DF7-82F2-FE810F18A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13" authorId="6" shapeId="0" xr:uid="{5FB424BF-EFE1-448B-93F1-06E5155543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13" authorId="7" shapeId="0" xr:uid="{75572DA7-85B1-45D7-ACBE-0C68DAD8D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13" authorId="8" shapeId="0" xr:uid="{B5CA5306-936B-4110-A03F-29E856F46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</text>
    </comment>
    <comment ref="L13" authorId="9" shapeId="0" xr:uid="{B7B2C3AF-659B-4D2D-8E81-0314C954C7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</text>
    </comment>
    <comment ref="M13" authorId="10" shapeId="0" xr:uid="{C95BF4F4-0ACF-4772-9C11-A58C62632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</text>
    </comment>
    <comment ref="C14" authorId="11" shapeId="0" xr:uid="{D51E27AC-AEF4-4F82-A7D2-97F7723BC8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2" shapeId="0" xr:uid="{C3EFA61E-97AE-4902-A1F4-97C3E37B7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3" shapeId="0" xr:uid="{576C7723-563C-40FC-B493-CF241E0949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4" shapeId="0" xr:uid="{E9CB25A7-EB5D-45E6-BCD0-99438385F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15" shapeId="0" xr:uid="{C1D3ECE2-95FD-4821-942B-6848C202C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16" shapeId="0" xr:uid="{02BEF5FC-03D4-48E0-911C-CE60CF8F6C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14" authorId="17" shapeId="0" xr:uid="{2BA3BA78-6213-4B16-9395-32E0212BF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14" authorId="18" shapeId="0" xr:uid="{2DFC0E6D-7986-461F-B52E-1E173318F2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14" authorId="19" shapeId="0" xr:uid="{044DE6A3-F932-4AE7-9229-FA314558E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0" shapeId="0" xr:uid="{BD68AC8F-01BA-4CDD-8A57-A9515911BB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</text>
    </comment>
    <comment ref="M14" authorId="21" shapeId="0" xr:uid="{88F42F36-9E95-4A32-9345-861F4265CD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7" authorId="22" shapeId="0" xr:uid="{C0437167-42F7-4C43-B951-551DAF8CA9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L17" authorId="23" shapeId="0" xr:uid="{4F677B13-F86B-4FA0-AF39-5FE96B7859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 xr:uid="{6AEDFE6E-16A6-4CEA-AAE3-3FF3B4B123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D12" authorId="1" shapeId="0" xr:uid="{8BD41E3E-60DA-4487-BF04-4AA66D3CE0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E12" authorId="2" shapeId="0" xr:uid="{A2B432B4-1880-4220-A6C4-420FA25709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F12" authorId="3" shapeId="0" xr:uid="{ED384F58-C9CF-4C6D-8B93-699289DA4A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</text>
    </comment>
    <comment ref="G12" authorId="4" shapeId="0" xr:uid="{4B503845-0C6C-4C57-8E6B-C839FC7C99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H12" authorId="5" shapeId="0" xr:uid="{F9BFA8B0-09F4-41EF-8F0B-B6CF4DEBFA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I12" authorId="6" shapeId="0" xr:uid="{7B7293E6-D7DB-483D-A364-5A3296CB04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J12" authorId="7" shapeId="0" xr:uid="{2B0676E9-4DF7-4AFB-B9AA-C15D3578E9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</text>
    </comment>
    <comment ref="K12" authorId="8" shapeId="0" xr:uid="{E27F2CB2-7923-4801-A35A-F83552EEF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M12" authorId="9" shapeId="0" xr:uid="{D4559C10-B911-489A-8E6F-76B7075A8A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O12" authorId="10" shapeId="0" xr:uid="{8530BFF5-314F-43D3-90EE-14A2D20C82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Q12" authorId="11" shapeId="0" xr:uid="{D8235502-D0C0-4654-8FBA-BDF45DF05B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S12" authorId="12" shapeId="0" xr:uid="{675438E9-D04B-42B2-AB9D-A8C8452B4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U12" authorId="13" shapeId="0" xr:uid="{229898EC-FBBD-4381-AB7E-74C2F5F134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W12" authorId="14" shapeId="0" xr:uid="{3C08E12F-8CE8-4B43-886D-D429763150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Y12" authorId="15" shapeId="0" xr:uid="{4D4D79B2-C4A8-4774-96E8-82C763A20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</text>
    </comment>
    <comment ref="C14" authorId="16" shapeId="0" xr:uid="{DDD4160D-90B5-4D00-8DB5-30CF120914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14" authorId="17" shapeId="0" xr:uid="{FE2D837F-F30B-4786-9C5C-3CD6D19CEC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14" authorId="18" shapeId="0" xr:uid="{172513F7-0A4C-403D-92DE-991ADEFEB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14" authorId="19" shapeId="0" xr:uid="{AF65E02B-346C-49B4-A7AB-6072E1004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14" authorId="20" shapeId="0" xr:uid="{6683A06B-28EC-47F4-A3BB-D9ED754474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14" authorId="21" shapeId="0" xr:uid="{21DC26C6-F4B1-423D-856F-03741CE25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I14" authorId="22" shapeId="0" xr:uid="{B6F72479-1CC1-4F97-ABBF-9E075B488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J14" authorId="23" shapeId="0" xr:uid="{3841387A-D6B8-49C3-BCF0-BCA7955A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K14" authorId="24" shapeId="0" xr:uid="{4167217B-AD84-422C-96BC-DE98185876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14" authorId="25" shapeId="0" xr:uid="{F313E7DB-6811-49CC-9767-94F05AE122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14" authorId="26" shapeId="0" xr:uid="{6F6C8019-4C0C-4905-8C7B-6FC1F16BD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14" authorId="27" shapeId="0" xr:uid="{368C796F-CA96-4A92-AB3A-0A813CDA7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14" authorId="28" shapeId="0" xr:uid="{08D0E99A-F8FA-4B06-9919-C5954E019D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14" authorId="29" shapeId="0" xr:uid="{482FD12B-A422-4118-BC52-21DF7C8F5A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14" authorId="30" shapeId="0" xr:uid="{F1AD84BE-8090-41EB-874B-C5DBADF2A2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14" authorId="31" shapeId="0" xr:uid="{0DD072B8-D687-40A4-8B85-B5C9232AB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14" authorId="32" shapeId="0" xr:uid="{8D86700C-75C7-4AF6-B4EC-A3D25B24AE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14" authorId="33" shapeId="0" xr:uid="{AB9B0A7E-C2E7-43FB-AA5A-CFCB1F753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14" authorId="34" shapeId="0" xr:uid="{AB0530F6-225D-4A2A-83D2-5F0C4CAF1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14" authorId="35" shapeId="0" xr:uid="{52354BB5-66D7-465F-8A74-CD12073AB0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14" authorId="36" shapeId="0" xr:uid="{FE08C21F-66EA-4B7B-B13E-89194A3BCA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14" authorId="37" shapeId="0" xr:uid="{D5CBE8DF-3638-471F-A578-A6B3D8A0DE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14" authorId="38" shapeId="0" xr:uid="{ED72A646-E2F8-48B3-BB21-E69499F74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C23" authorId="39" shapeId="0" xr:uid="{2D50DBC4-40BA-427F-B971-713EA952652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 xr:uid="{A9C73760-6D99-42CC-A070-C5A2BF830475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 xr:uid="{21B2B2B1-7E9E-41EC-9CAB-C544DF8D8D9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 xr:uid="{09B9A7D1-F426-4CBD-AD18-77BF29E1738E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 xr:uid="{1D1457D4-46E5-4081-AA98-12338EF94C7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 xr:uid="{A4BA867A-AEC3-40B3-9677-59FB49D86C6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 xr:uid="{06827E02-5766-438B-9D9D-0E2EC8A9089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 xr:uid="{3F1E252A-386B-442F-B868-A203CE92A4A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 xr:uid="{033E736B-6F71-491D-9E56-98D869ACDD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 xr:uid="{05142BA3-9D49-4F40-9779-22D0E9CA900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 xr:uid="{B36430ED-BA21-4EB4-B27D-3D7CACA8C8A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 xr:uid="{9E15B4EC-5490-4C89-A2DF-D540749F6A08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 xr:uid="{06989EF0-638D-4E8D-895D-43EC1766E530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 xr:uid="{BD50FBA0-845E-4851-B4D6-21FAD265FB5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 xr:uid="{11D4ECDD-F234-4C53-AB22-E766104B3D59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 xr:uid="{0904CC6C-6B6A-43BA-AFD1-695A8B6DEBEF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 xr:uid="{498869BC-A608-4AB2-9E1E-EFE376D707A6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 xr:uid="{0F7EC0A5-C4A8-4A91-9D2A-005953F6940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 xr:uid="{A3AF03E3-B677-41B2-ADFE-581220D2F344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 xr:uid="{D3B7E23D-FCF1-41BB-8FCD-99FC140DA80B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 xr:uid="{AC7A8CE5-9E81-418A-A527-D16E169C304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 xr:uid="{7F214911-0282-4426-8319-AD1708419793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 xr:uid="{CACA4E32-D33B-45E8-B3B2-44665D40FD31}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 xr:uid="{D8DF5588-7B8D-4B66-8A58-35B1B77258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D39" authorId="41" shapeId="0" xr:uid="{AF6BCF62-0668-485B-984C-434313697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</text>
    </comment>
    <comment ref="E39" authorId="42" shapeId="0" xr:uid="{D9CC10A7-A112-4156-892E-8FD86022CA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F39" authorId="43" shapeId="0" xr:uid="{1FAF1CA9-CBBA-4168-9196-847E8366FC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</text>
    </comment>
    <comment ref="G39" authorId="44" shapeId="0" xr:uid="{8A8083EA-5554-4981-AF7D-2DF87B86E1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H39" authorId="45" shapeId="0" xr:uid="{4E67C580-5A42-44EE-A462-481E47B243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</text>
    </comment>
    <comment ref="I39" authorId="46" shapeId="0" xr:uid="{9A1CCADD-8826-4B03-BCD9-9C81558566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J39" authorId="47" shapeId="0" xr:uid="{BB85C5FF-A32F-43CA-8657-F048B07EA9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</text>
    </comment>
    <comment ref="K39" authorId="48" shapeId="0" xr:uid="{DE6C6FB0-1686-4D60-AB61-DF851607D7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M39" authorId="49" shapeId="0" xr:uid="{74668D58-07BD-4C41-9DAE-5F079814C3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O39" authorId="50" shapeId="0" xr:uid="{C120E275-3816-4106-87EA-30B72DF6A4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Q39" authorId="51" shapeId="0" xr:uid="{11DED1B4-A55A-4F9E-8771-D379942B6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S39" authorId="52" shapeId="0" xr:uid="{850DF2F3-7BA0-41E0-8054-B6F174E72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U39" authorId="53" shapeId="0" xr:uid="{D8D63043-4760-446B-A11A-45924B727F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W39" authorId="54" shapeId="0" xr:uid="{6308C3C8-6F48-4AF6-BFB6-B5465AA2E8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Y39" authorId="55" shapeId="0" xr:uid="{D3683E6A-A935-4C48-B337-C2F6C3020C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</text>
    </comment>
    <comment ref="C40" authorId="56" shapeId="0" xr:uid="{03D3A89D-9424-4F4B-9F04-141486CE4B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D40" authorId="57" shapeId="0" xr:uid="{AF0CA560-B6DD-4488-9C08-29CD7B72E9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E40" authorId="58" shapeId="0" xr:uid="{AECE8805-3F37-4BDB-9E62-272EEFC40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F40" authorId="59" shapeId="0" xr:uid="{D5948940-DE37-4C03-BC2E-31BE474203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G40" authorId="60" shapeId="0" xr:uid="{64EF67F0-5D14-43A6-9970-4C4B2DEBD2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0" authorId="61" shapeId="0" xr:uid="{5DD75784-CAE2-46AE-85C6-C864A1F2F1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</text>
    </comment>
    <comment ref="I40" authorId="62" shapeId="0" xr:uid="{C117DBC1-527F-4D57-A6DE-D12CD88619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</text>
    </comment>
    <comment ref="J40" authorId="63" shapeId="0" xr:uid="{EBB7974A-38EE-4854-BBD6-8B21252BF3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</text>
    </comment>
    <comment ref="K40" authorId="64" shapeId="0" xr:uid="{156B15E6-C355-4809-B894-4A7C5A4AA6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L40" authorId="65" shapeId="0" xr:uid="{D1BAFB1F-1A8C-4E7E-ADF5-F2ABB65982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M40" authorId="66" shapeId="0" xr:uid="{0C094010-3E50-445A-81AA-3EC258A43A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N40" authorId="67" shapeId="0" xr:uid="{51B224B1-7140-47DF-B1A9-B92316476D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O40" authorId="68" shapeId="0" xr:uid="{FA130E5B-ED16-49B9-A380-FA39271FC6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P40" authorId="69" shapeId="0" xr:uid="{8E8AC548-BD9D-460C-A892-654CF111B4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Q40" authorId="70" shapeId="0" xr:uid="{85526092-1DCF-4644-B64E-A5623C8C4A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R40" authorId="71" shapeId="0" xr:uid="{8F9FBF61-1179-48D2-BFF9-07D1E40D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S40" authorId="72" shapeId="0" xr:uid="{6E73D87C-27B0-49BB-B423-432D65B7C5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T40" authorId="73" shapeId="0" xr:uid="{A50F8AE3-BE36-4D0D-9F47-B93A9BCC0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U40" authorId="74" shapeId="0" xr:uid="{24071B26-8442-481E-9D7C-AE2B52D4CF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V40" authorId="75" shapeId="0" xr:uid="{11DA4AC3-4D19-40F6-B44C-79BBF282C5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W40" authorId="76" shapeId="0" xr:uid="{F5770B65-5559-4705-9387-79AEFAEE1F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X40" authorId="77" shapeId="0" xr:uid="{079CB8EF-AF9D-4006-A471-E338E06D56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Y40" authorId="78" shapeId="0" xr:uid="{1E11E3AC-5BEF-4A65-B293-A078104950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</text>
    </comment>
    <comment ref="H43" authorId="79" shapeId="0" xr:uid="{2048AE6D-B5D0-488B-B29B-084B4B2E80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</text>
    </comment>
    <comment ref="J43" authorId="80" shapeId="0" xr:uid="{944684A1-D0A2-4D82-ABB1-68AA0413E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</author>
  </authors>
  <commentList>
    <comment ref="A8" authorId="0" shapeId="0" xr:uid="{8002069F-4B0A-4D05-918A-23325CAA734E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 xr:uid="{686350AF-EDE2-43BF-A027-FEAE28CF2167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 xr:uid="{45628683-7CA3-4578-AE99-A8D2109B4FE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 xr:uid="{5F042301-C83F-43D9-A5EE-02D3DCD2A74B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 xr:uid="{D61DBF2E-5ADC-40EE-8653-2193539BE272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 xr:uid="{1B0777E8-B41A-4D4E-AC27-EDE23906DAF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 xr:uid="{D5EE4654-243E-4F23-ADD4-FC6789DF46D9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 xr:uid="{51897395-AF95-4B8B-ABE3-11F4BB00104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 xr:uid="{1E7FEA59-9F09-4894-9495-BEC527742243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 xr:uid="{0CC5F12C-84EA-4B73-9E3F-DA59192D978C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 xr:uid="{4BB772E1-DDEA-45A6-9C25-69AD507EFCAD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 xr:uid="{93C7B833-05AB-4B09-A907-90B5E9738EE8}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<sst xmlns="http://schemas.openxmlformats.org/spreadsheetml/2006/main" count="1850" uniqueCount="692">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</sst>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  <font>
      <sz val="9"/>
      <color indexed="81"/>
      <name val="Segoe UI"/>
      <charset val="1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 xr:uid="{00000000-0005-0000-0000-000000000000}"/>
    <cellStyle name="Euro 2" xfId="2" xr:uid="{00000000-0005-0000-0000-000001000000}"/>
    <cellStyle name="Moeda" xfId="33" builtinId="4"/>
    <cellStyle name="Moeda 2" xfId="3" xr:uid="{00000000-0005-0000-0000-000002000000}"/>
    <cellStyle name="Moeda 2 2" xfId="4" xr:uid="{00000000-0005-0000-0000-000003000000}"/>
    <cellStyle name="Moeda 3" xfId="5" xr:uid="{00000000-0005-0000-0000-000004000000}"/>
    <cellStyle name="Moeda 4" xfId="28" xr:uid="{8158547C-6D33-4770-BC0A-F4BE3D34BE81}"/>
    <cellStyle name="Moeda 5" xfId="32" xr:uid="{CAF3C8EC-417D-492F-BEE7-EBA5052D56FB}"/>
    <cellStyle name="Normal" xfId="0" builtinId="0"/>
    <cellStyle name="Normal 2" xfId="6" xr:uid="{00000000-0005-0000-0000-000006000000}"/>
    <cellStyle name="Normal 2 2" xfId="7" xr:uid="{00000000-0005-0000-0000-000007000000}"/>
    <cellStyle name="Normal 2 3" xfId="17" xr:uid="{33601D6B-ACCF-4421-8222-D4DE9EC6F680}"/>
    <cellStyle name="Normal 2 9" xfId="24" xr:uid="{785E0B55-1CC7-4911-8A04-077D084C0904}"/>
    <cellStyle name="Normal 3" xfId="8" xr:uid="{00000000-0005-0000-0000-000008000000}"/>
    <cellStyle name="Normal 4" xfId="9" xr:uid="{00000000-0005-0000-0000-000009000000}"/>
    <cellStyle name="Normal 5" xfId="21" xr:uid="{7626BA90-E504-4D9F-8898-9E8C0770A640}"/>
    <cellStyle name="Normal 6" xfId="25" xr:uid="{D5577184-8D77-433C-AC65-C5EEAADE6400}"/>
    <cellStyle name="Normal 7" xfId="29" xr:uid="{6C526479-F3EF-4FE1-9DCA-561A466E4297}"/>
    <cellStyle name="Porcentagem" xfId="19" builtinId="5"/>
    <cellStyle name="Porcentagem 2" xfId="10" xr:uid="{00000000-0005-0000-0000-00000B000000}"/>
    <cellStyle name="Porcentagem 2 2" xfId="11" xr:uid="{00000000-0005-0000-0000-00000C000000}"/>
    <cellStyle name="Porcentagem 2 3" xfId="20" xr:uid="{1FAEBA53-1600-43F8-A89F-BC8F8AC8914D}"/>
    <cellStyle name="Porcentagem 3" xfId="12" xr:uid="{00000000-0005-0000-0000-00000D000000}"/>
    <cellStyle name="Porcentagem 4" xfId="23" xr:uid="{4E2866EE-9B6D-42A7-9709-BB62588171D9}"/>
    <cellStyle name="Porcentagem 5" xfId="27" xr:uid="{C22B5E34-3BD5-4498-843C-9AE0723B7788}"/>
    <cellStyle name="Porcentagem 6" xfId="31" xr:uid="{98F76F42-E04F-4EF5-8E32-0356CF172318}"/>
    <cellStyle name="Separador de milhares 2" xfId="14" xr:uid="{00000000-0005-0000-0000-00000E000000}"/>
    <cellStyle name="Separador de milhares 2 2" xfId="15" xr:uid="{00000000-0005-0000-0000-00000F000000}"/>
    <cellStyle name="Separador de milhares 3" xfId="16" xr:uid="{00000000-0005-0000-0000-000010000000}"/>
    <cellStyle name="Vírgula" xfId="13" builtinId="3"/>
    <cellStyle name="Vírgula 2" xfId="18" xr:uid="{2AFDBA96-6832-450F-92F3-13C3D078DAA9}"/>
    <cellStyle name="Vírgula 3" xfId="22" xr:uid="{95901B02-FB75-4DFC-BC54-5D42E50AF799}"/>
    <cellStyle name="Vírgula 4" xfId="26" xr:uid="{01E857B8-1E6A-4806-8A5E-AFCEC4E31090}"/>
    <cellStyle name="Vírgula 5" xfId="30" xr:uid="{51ED0D97-0F2F-4A06-B2C8-FBE7E7CB96C9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Igor%20-%20Pessoal/Cenarios/VIPMX/Projeto%20Fluxo%20de%20caixa.xlsx" TargetMode="External"/><Relationship Id="rId2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Relationship Id="rId1" Type="http://schemas.openxmlformats.org/officeDocument/2006/relationships/externalLinkPath" Target="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A44A-8CFA-46EF-A688-7DF97557C87B}">
  <sheetPr>
    <tabColor rgb="FFC00000"/>
  </sheetPr>
  <dimension ref="A1:M89"/>
  <sheetViews>
    <sheetView showGridLines="0" workbookViewId="0">
      <selection activeCell="H6" sqref="H6"/>
    </sheetView>
  </sheetViews>
  <sheetFormatPr defaultColWidth="8.88671875" defaultRowHeight="12" x14ac:dyDescent="0.25"/>
  <cols>
    <col min="1" max="1" width="2" style="1" customWidth="1"/>
    <col min="2" max="2" width="9.109375" style="1" customWidth="1"/>
    <col min="3" max="3" width="9" style="1" bestFit="1" customWidth="1"/>
    <col min="4" max="4" width="12.5546875" style="1" bestFit="1" customWidth="1"/>
    <col min="5" max="5" width="10.44140625" style="1" bestFit="1" customWidth="1"/>
    <col min="6" max="6" width="11.44140625" style="1" bestFit="1" customWidth="1"/>
    <col min="7" max="7" width="10.6640625" style="1" customWidth="1"/>
    <col min="8" max="8" width="11.5546875" style="1" customWidth="1"/>
    <col min="9" max="10" width="8.88671875" style="1"/>
    <col min="11" max="11" width="2.33203125" style="1" customWidth="1"/>
    <col min="12" max="12" width="11.33203125" style="1" customWidth="1"/>
    <col min="13" max="13" width="12.33203125" style="1" customWidth="1"/>
    <col min="14" max="16384" width="8.88671875" style="1"/>
  </cols>
  <sheetData>
    <row r="1" spans="1:13" ht="12.6" thickBot="1" x14ac:dyDescent="0.3"/>
    <row r="2" spans="1:13" ht="39.6" customHeight="1" thickBot="1" x14ac:dyDescent="0.3">
      <c r="A2" s="56"/>
      <c r="B2" s="408" t="s">
        <v>0</v>
      </c>
      <c r="C2" s="408"/>
      <c r="D2" s="408"/>
      <c r="E2" s="408"/>
      <c r="F2" s="408"/>
      <c r="G2" s="408"/>
      <c r="H2" s="408"/>
      <c r="I2" s="408"/>
      <c r="J2" s="408"/>
      <c r="K2" s="408"/>
      <c r="L2" s="408"/>
      <c r="M2" s="57"/>
    </row>
    <row r="3" spans="1:13" ht="12.6" customHeight="1" x14ac:dyDescent="0.2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6" x14ac:dyDescent="0.3">
      <c r="B4" s="23" t="s">
        <v>1</v>
      </c>
    </row>
    <row r="5" spans="1:13" ht="6" customHeight="1" x14ac:dyDescent="0.25"/>
    <row r="6" spans="1:13" x14ac:dyDescent="0.25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5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5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 t="shared" ref="G8:G10" si="0">E8/C8</f>
        <v>#REF!</v>
      </c>
      <c r="H8" s="31" t="e">
        <f t="shared" ref="H8:H10" si="1">E8/D8</f>
        <v>#REF!</v>
      </c>
    </row>
    <row r="9" spans="1:13" x14ac:dyDescent="0.25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 t="shared" si="0"/>
        <v>#REF!</v>
      </c>
      <c r="H9" s="31" t="e">
        <f t="shared" si="1"/>
        <v>#REF!</v>
      </c>
    </row>
    <row r="10" spans="1:13" x14ac:dyDescent="0.25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 t="shared" si="0"/>
        <v>#REF!</v>
      </c>
      <c r="H10" s="32" t="e">
        <f t="shared" si="1"/>
        <v>#REF!</v>
      </c>
    </row>
    <row r="11" spans="1:13" ht="6" customHeight="1" x14ac:dyDescent="0.25"/>
    <row r="12" spans="1:13" ht="15.6" x14ac:dyDescent="0.3">
      <c r="B12" s="33" t="s">
        <v>10</v>
      </c>
    </row>
    <row r="13" spans="1:13" ht="6" customHeight="1" x14ac:dyDescent="0.25"/>
    <row r="14" spans="1:13" x14ac:dyDescent="0.25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5">
      <c r="B15" s="28">
        <f>B7</f>
        <v>45078</v>
      </c>
      <c r="C15" s="2">
        <f>C7</f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5">
      <c r="B16" s="28">
        <f t="shared" ref="B16:C17" si="2">B8</f>
        <v>45108</v>
      </c>
      <c r="C16" s="2">
        <f t="shared" si="2"/>
        <v>751665</v>
      </c>
      <c r="D16" s="38" t="e">
        <f>#REF!+#REF!</f>
        <v>#REF!</v>
      </c>
      <c r="E16" s="38" t="e">
        <f>#REF!+E58</f>
        <v>#REF!</v>
      </c>
      <c r="F16" s="44" t="e">
        <f t="shared" ref="F16:F17" si="3">SUM(D16:E16)</f>
        <v>#REF!</v>
      </c>
      <c r="G16" s="40" t="e">
        <f t="shared" ref="G16:G18" si="4">F16/C16</f>
        <v>#REF!</v>
      </c>
      <c r="H16" s="31" t="e">
        <f t="shared" ref="H16:H18" si="5">F16/D8</f>
        <v>#REF!</v>
      </c>
    </row>
    <row r="17" spans="2:11" x14ac:dyDescent="0.25">
      <c r="B17" s="28">
        <f t="shared" si="2"/>
        <v>45139</v>
      </c>
      <c r="C17" s="2">
        <f t="shared" si="2"/>
        <v>851310</v>
      </c>
      <c r="D17" s="38" t="e">
        <f>#REF!+#REF!</f>
        <v>#REF!</v>
      </c>
      <c r="E17" s="38" t="e">
        <f>#REF!+E59</f>
        <v>#REF!</v>
      </c>
      <c r="F17" s="44" t="e">
        <f t="shared" si="3"/>
        <v>#REF!</v>
      </c>
      <c r="G17" s="40" t="e">
        <f t="shared" si="4"/>
        <v>#REF!</v>
      </c>
      <c r="H17" s="31" t="e">
        <f t="shared" si="5"/>
        <v>#REF!</v>
      </c>
    </row>
    <row r="18" spans="2:11" x14ac:dyDescent="0.25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 t="shared" si="4"/>
        <v>#REF!</v>
      </c>
      <c r="H18" s="61" t="e">
        <f t="shared" si="5"/>
        <v>#REF!</v>
      </c>
    </row>
    <row r="19" spans="2:11" x14ac:dyDescent="0.25">
      <c r="B19" s="36" t="s">
        <v>15</v>
      </c>
    </row>
    <row r="20" spans="2:11" x14ac:dyDescent="0.25">
      <c r="B20" s="36" t="s">
        <v>16</v>
      </c>
    </row>
    <row r="21" spans="2:11" ht="6" customHeight="1" x14ac:dyDescent="0.25">
      <c r="B21" s="36"/>
    </row>
    <row r="22" spans="2:11" ht="15.6" x14ac:dyDescent="0.3">
      <c r="B22" s="33" t="s">
        <v>17</v>
      </c>
    </row>
    <row r="23" spans="2:11" ht="6" customHeight="1" x14ac:dyDescent="0.3">
      <c r="B23" s="33"/>
    </row>
    <row r="24" spans="2:11" x14ac:dyDescent="0.25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5">
      <c r="B25" s="28">
        <f>B15</f>
        <v>45078</v>
      </c>
      <c r="C25" s="2">
        <f>C15</f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5">
      <c r="B26" s="28">
        <f t="shared" ref="B26:B27" si="6">B16</f>
        <v>45108</v>
      </c>
      <c r="C26" s="2">
        <f t="shared" ref="C26:C27" si="7">C16</f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 t="shared" ref="G26:G27" si="8">SUM(D26:F26)</f>
        <v>#REF!</v>
      </c>
      <c r="H26" s="40" t="e">
        <f t="shared" ref="H26:H28" si="9">G26/C26</f>
        <v>#REF!</v>
      </c>
      <c r="I26" s="31" t="e">
        <f t="shared" ref="I26:I28" si="10">G26/D8</f>
        <v>#REF!</v>
      </c>
    </row>
    <row r="27" spans="2:11" x14ac:dyDescent="0.25">
      <c r="B27" s="28">
        <f t="shared" si="6"/>
        <v>45139</v>
      </c>
      <c r="C27" s="2">
        <f t="shared" si="7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 t="shared" si="8"/>
        <v>#REF!</v>
      </c>
      <c r="H27" s="40" t="e">
        <f t="shared" si="9"/>
        <v>#REF!</v>
      </c>
      <c r="I27" s="31" t="e">
        <f t="shared" si="10"/>
        <v>#REF!</v>
      </c>
    </row>
    <row r="28" spans="2:11" x14ac:dyDescent="0.25">
      <c r="B28" s="34" t="s">
        <v>9</v>
      </c>
      <c r="C28" s="58">
        <f>SUM(C25:C27)</f>
        <v>2278687</v>
      </c>
      <c r="D28" s="59" t="e">
        <f t="shared" ref="D28:G28" si="11">SUM(D25:D27)</f>
        <v>#REF!</v>
      </c>
      <c r="E28" s="59" t="e">
        <f t="shared" si="11"/>
        <v>#REF!</v>
      </c>
      <c r="F28" s="59" t="e">
        <f t="shared" si="11"/>
        <v>#REF!</v>
      </c>
      <c r="G28" s="59" t="e">
        <f t="shared" si="11"/>
        <v>#REF!</v>
      </c>
      <c r="H28" s="60" t="e">
        <f t="shared" si="9"/>
        <v>#REF!</v>
      </c>
      <c r="I28" s="61" t="e">
        <f t="shared" si="10"/>
        <v>#REF!</v>
      </c>
    </row>
    <row r="29" spans="2:11" ht="6" customHeight="1" x14ac:dyDescent="0.3">
      <c r="B29" s="33"/>
    </row>
    <row r="30" spans="2:11" ht="15.6" x14ac:dyDescent="0.3">
      <c r="B30" s="33" t="s">
        <v>22</v>
      </c>
    </row>
    <row r="31" spans="2:11" ht="6" customHeight="1" x14ac:dyDescent="0.3">
      <c r="B31" s="33"/>
    </row>
    <row r="32" spans="2:11" x14ac:dyDescent="0.25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5">
      <c r="B33" s="28">
        <f>B25</f>
        <v>45078</v>
      </c>
      <c r="C33" s="2">
        <f>C25</f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5">
      <c r="B34" s="28">
        <f t="shared" ref="B34:C35" si="12">B26</f>
        <v>45108</v>
      </c>
      <c r="C34" s="2">
        <f t="shared" si="1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 t="shared" ref="H34:H36" si="13">SUM(D34:G34)</f>
        <v>#REF!</v>
      </c>
      <c r="I34" s="40" t="e">
        <f t="shared" ref="I34:I36" si="14">H34/C34</f>
        <v>#REF!</v>
      </c>
      <c r="J34" s="31" t="e">
        <f t="shared" ref="J34:J36" si="15">H34/D8</f>
        <v>#REF!</v>
      </c>
      <c r="K34" s="53"/>
    </row>
    <row r="35" spans="2:13" x14ac:dyDescent="0.25">
      <c r="B35" s="28">
        <f t="shared" si="12"/>
        <v>45139</v>
      </c>
      <c r="C35" s="2">
        <f t="shared" si="1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 t="shared" si="13"/>
        <v>#REF!</v>
      </c>
      <c r="I35" s="40" t="e">
        <f t="shared" si="14"/>
        <v>#REF!</v>
      </c>
      <c r="J35" s="31" t="e">
        <f t="shared" si="15"/>
        <v>#REF!</v>
      </c>
      <c r="K35" s="53"/>
    </row>
    <row r="36" spans="2:13" x14ac:dyDescent="0.25">
      <c r="B36" s="34" t="s">
        <v>9</v>
      </c>
      <c r="C36" s="58">
        <f>SUM(C33:C35)</f>
        <v>2278687</v>
      </c>
      <c r="D36" s="59" t="e">
        <f t="shared" ref="D36:G36" si="16">SUM(D33:D35)</f>
        <v>#REF!</v>
      </c>
      <c r="E36" s="59" t="e">
        <f t="shared" si="16"/>
        <v>#REF!</v>
      </c>
      <c r="F36" s="62" t="e">
        <f t="shared" si="16"/>
        <v>#REF!</v>
      </c>
      <c r="G36" s="62" t="e">
        <f t="shared" si="16"/>
        <v>#REF!</v>
      </c>
      <c r="H36" s="62" t="e">
        <f t="shared" si="13"/>
        <v>#REF!</v>
      </c>
      <c r="I36" s="60" t="e">
        <f t="shared" si="14"/>
        <v>#REF!</v>
      </c>
      <c r="J36" s="61" t="e">
        <f t="shared" si="15"/>
        <v>#REF!</v>
      </c>
      <c r="K36" s="54"/>
      <c r="L36" s="405"/>
      <c r="M36" s="406"/>
    </row>
    <row r="37" spans="2:13" x14ac:dyDescent="0.25">
      <c r="B37" s="36" t="s">
        <v>28</v>
      </c>
      <c r="L37" s="405"/>
      <c r="M37" s="406"/>
    </row>
    <row r="38" spans="2:13" ht="15.6" x14ac:dyDescent="0.3">
      <c r="B38" s="33"/>
    </row>
    <row r="39" spans="2:13" ht="16.2" thickBot="1" x14ac:dyDescent="0.35">
      <c r="B39" s="33"/>
    </row>
    <row r="40" spans="2:13" ht="12.6" hidden="1" thickBot="1" x14ac:dyDescent="0.3">
      <c r="F40" s="37">
        <v>45078</v>
      </c>
      <c r="G40" s="37">
        <v>45108</v>
      </c>
      <c r="H40" s="37">
        <v>45139</v>
      </c>
    </row>
    <row r="41" spans="2:13" ht="12.6" hidden="1" thickBot="1" x14ac:dyDescent="0.3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6" hidden="1" thickBot="1" x14ac:dyDescent="0.3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6" hidden="1" thickBot="1" x14ac:dyDescent="0.3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6" hidden="1" thickBot="1" x14ac:dyDescent="0.3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6" hidden="1" thickBot="1" x14ac:dyDescent="0.3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6" hidden="1" thickBot="1" x14ac:dyDescent="0.3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6" hidden="1" thickBot="1" x14ac:dyDescent="0.3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6" hidden="1" thickBot="1" x14ac:dyDescent="0.3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6" hidden="1" thickBot="1" x14ac:dyDescent="0.3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6" hidden="1" thickBot="1" x14ac:dyDescent="0.3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6" hidden="1" thickBot="1" x14ac:dyDescent="0.3">
      <c r="B51" s="6" t="s">
        <v>9</v>
      </c>
      <c r="C51" s="6"/>
      <c r="D51" s="6"/>
      <c r="E51" s="6"/>
      <c r="F51" s="16" t="e">
        <f>SUM(F41:F50)</f>
        <v>#REF!</v>
      </c>
      <c r="G51" s="16" t="e">
        <f t="shared" ref="G51:H51" si="17">SUM(G41:G50)</f>
        <v>#REF!</v>
      </c>
      <c r="H51" s="16" t="e">
        <f t="shared" si="17"/>
        <v>#REF!</v>
      </c>
    </row>
    <row r="52" spans="2:8" ht="12.6" hidden="1" thickBot="1" x14ac:dyDescent="0.3"/>
    <row r="53" spans="2:8" ht="12.6" hidden="1" thickBot="1" x14ac:dyDescent="0.3"/>
    <row r="54" spans="2:8" ht="12.6" hidden="1" thickBot="1" x14ac:dyDescent="0.3"/>
    <row r="55" spans="2:8" ht="12.6" hidden="1" thickBot="1" x14ac:dyDescent="0.3"/>
    <row r="56" spans="2:8" ht="12.6" hidden="1" thickBot="1" x14ac:dyDescent="0.3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6" hidden="1" thickBot="1" x14ac:dyDescent="0.3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6" hidden="1" thickBot="1" x14ac:dyDescent="0.3">
      <c r="B58" s="25">
        <f t="shared" ref="B58:B59" si="18">B16</f>
        <v>45108</v>
      </c>
      <c r="C58" s="2" t="e">
        <f t="shared" ref="C58:C59" si="19">E8*5%</f>
        <v>#REF!</v>
      </c>
      <c r="D58" s="26">
        <v>5604</v>
      </c>
      <c r="E58" s="2" t="e">
        <f>C58-D58</f>
        <v>#REF!</v>
      </c>
    </row>
    <row r="59" spans="2:8" ht="12.6" hidden="1" thickBot="1" x14ac:dyDescent="0.3">
      <c r="B59" s="25">
        <f t="shared" si="18"/>
        <v>45139</v>
      </c>
      <c r="C59" s="2" t="e">
        <f t="shared" si="19"/>
        <v>#REF!</v>
      </c>
      <c r="D59" s="26">
        <v>5604</v>
      </c>
      <c r="E59" s="2" t="e">
        <f>C59-D59</f>
        <v>#REF!</v>
      </c>
    </row>
    <row r="60" spans="2:8" ht="16.2" thickBot="1" x14ac:dyDescent="0.35">
      <c r="B60" s="407" t="s">
        <v>34</v>
      </c>
      <c r="C60" s="407"/>
      <c r="D60" s="407"/>
      <c r="E60" s="407"/>
      <c r="F60" s="407"/>
    </row>
    <row r="61" spans="2:8" x14ac:dyDescent="0.25">
      <c r="E61" s="51" t="s">
        <v>35</v>
      </c>
      <c r="F61" s="51" t="s">
        <v>36</v>
      </c>
    </row>
    <row r="62" spans="2:8" x14ac:dyDescent="0.25">
      <c r="B62" s="46" t="s">
        <v>37</v>
      </c>
    </row>
    <row r="63" spans="2:8" x14ac:dyDescent="0.25">
      <c r="B63" s="47" t="s">
        <v>38</v>
      </c>
      <c r="E63" s="45">
        <f>F10</f>
        <v>23.929703816276653</v>
      </c>
    </row>
    <row r="64" spans="2:8" x14ac:dyDescent="0.25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5">
      <c r="B65" s="47"/>
    </row>
    <row r="66" spans="2:6" x14ac:dyDescent="0.25">
      <c r="B66" s="48" t="s">
        <v>40</v>
      </c>
    </row>
    <row r="67" spans="2:6" x14ac:dyDescent="0.25">
      <c r="B67" s="49" t="s">
        <v>41</v>
      </c>
    </row>
    <row r="68" spans="2:6" x14ac:dyDescent="0.25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5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5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5">
      <c r="B71" s="49" t="s">
        <v>45</v>
      </c>
    </row>
    <row r="72" spans="2:6" x14ac:dyDescent="0.25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5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5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5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5">
      <c r="B76" s="49" t="s">
        <v>50</v>
      </c>
    </row>
    <row r="77" spans="2:6" x14ac:dyDescent="0.25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5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5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5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5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5">
      <c r="B83" s="1" t="s">
        <v>53</v>
      </c>
      <c r="E83" s="22" t="e">
        <f>F64</f>
        <v>#REF!</v>
      </c>
    </row>
    <row r="84" spans="2:6" x14ac:dyDescent="0.25">
      <c r="B84" s="1" t="s">
        <v>41</v>
      </c>
      <c r="E84" s="22" t="e">
        <f>-F70</f>
        <v>#REF!</v>
      </c>
    </row>
    <row r="85" spans="2:6" x14ac:dyDescent="0.25">
      <c r="B85" s="187" t="s">
        <v>54</v>
      </c>
      <c r="C85" s="188"/>
      <c r="D85" s="188"/>
      <c r="E85" s="189" t="e">
        <f>SUM(E83:E84)</f>
        <v>#REF!</v>
      </c>
    </row>
    <row r="86" spans="2:6" x14ac:dyDescent="0.25">
      <c r="B86" s="1" t="s">
        <v>45</v>
      </c>
      <c r="E86" s="22" t="e">
        <f>-F75</f>
        <v>#REF!</v>
      </c>
    </row>
    <row r="87" spans="2:6" x14ac:dyDescent="0.25">
      <c r="B87" s="187" t="s">
        <v>54</v>
      </c>
      <c r="C87" s="188"/>
      <c r="D87" s="188"/>
      <c r="E87" s="189" t="e">
        <f>SUM(E85:E86)</f>
        <v>#REF!</v>
      </c>
    </row>
    <row r="88" spans="2:6" x14ac:dyDescent="0.25">
      <c r="B88" s="1" t="s">
        <v>50</v>
      </c>
      <c r="E88" s="22" t="e">
        <f>-F81</f>
        <v>#REF!</v>
      </c>
    </row>
    <row r="89" spans="2:6" x14ac:dyDescent="0.25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55F7-F3AB-4B0D-B885-74C38B2CA2CB}">
  <sheetPr>
    <tabColor rgb="FF92CDDC"/>
  </sheetPr>
  <dimension ref="A1"/>
  <sheetViews>
    <sheetView workbookViewId="0">
      <selection activeCell="L26" sqref="L26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4C26-7840-4DDE-9BED-BED30A532BD2}">
  <sheetPr>
    <tabColor rgb="FFFF0000"/>
  </sheetPr>
  <dimension ref="B2:G42"/>
  <sheetViews>
    <sheetView showGridLines="0" workbookViewId="0">
      <selection activeCell="G20" sqref="G20"/>
    </sheetView>
  </sheetViews>
  <sheetFormatPr defaultRowHeight="13.2" x14ac:dyDescent="0.25"/>
  <cols>
    <col min="2" max="2" width="21" bestFit="1" customWidth="1"/>
    <col min="3" max="3" width="18.77734375" bestFit="1" customWidth="1"/>
    <col min="4" max="4" width="9.44140625" bestFit="1" customWidth="1"/>
    <col min="6" max="6" width="25.109375" bestFit="1" customWidth="1"/>
    <col min="7" max="7" width="18.77734375" bestFit="1" customWidth="1"/>
  </cols>
  <sheetData>
    <row r="2" spans="2:7" x14ac:dyDescent="0.25">
      <c r="B2" s="403" t="s">
        <v>643</v>
      </c>
      <c r="C2" s="403"/>
      <c r="F2" s="404" t="s">
        <v>626</v>
      </c>
      <c r="G2" s="404"/>
    </row>
    <row r="3" spans="2:7" s="323" customFormat="1" x14ac:dyDescent="0.25">
      <c r="B3" s="343"/>
      <c r="C3" s="343"/>
      <c r="F3" s="344"/>
      <c r="G3" s="344"/>
    </row>
    <row r="4" spans="2:7" x14ac:dyDescent="0.25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5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5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5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5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5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5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5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5">
      <c r="B12" s="323" t="s">
        <v>636</v>
      </c>
      <c r="C12" s="402">
        <v>450</v>
      </c>
    </row>
    <row r="13" spans="2:7" x14ac:dyDescent="0.25">
      <c r="B13" s="323" t="s">
        <v>638</v>
      </c>
      <c r="C13" s="402">
        <v>2000</v>
      </c>
    </row>
    <row r="14" spans="2:7" x14ac:dyDescent="0.25">
      <c r="B14" s="323" t="s">
        <v>642</v>
      </c>
      <c r="C14" s="402">
        <v>6602</v>
      </c>
    </row>
    <row r="15" spans="2:7" x14ac:dyDescent="0.25">
      <c r="B15" s="346"/>
      <c r="C15" s="347">
        <f>SUM(C5:C14)</f>
        <v>40064.65</v>
      </c>
    </row>
    <row r="18" spans="6:7" x14ac:dyDescent="0.25">
      <c r="G18" s="332"/>
    </row>
    <row r="19" spans="6:7" x14ac:dyDescent="0.25">
      <c r="F19" s="339"/>
      <c r="G19" s="339"/>
    </row>
    <row r="20" spans="6:7" x14ac:dyDescent="0.25">
      <c r="F20" s="339"/>
      <c r="G20" s="339"/>
    </row>
    <row r="21" spans="6:7" x14ac:dyDescent="0.25">
      <c r="F21" s="339"/>
      <c r="G21" s="339"/>
    </row>
    <row r="22" spans="6:7" x14ac:dyDescent="0.25">
      <c r="F22" s="339"/>
      <c r="G22" s="339"/>
    </row>
    <row r="23" spans="6:7" x14ac:dyDescent="0.25">
      <c r="F23" s="339"/>
      <c r="G23" s="339"/>
    </row>
    <row r="24" spans="6:7" x14ac:dyDescent="0.25">
      <c r="F24" s="339"/>
      <c r="G24" s="339"/>
    </row>
    <row r="25" spans="6:7" x14ac:dyDescent="0.25">
      <c r="F25" s="339"/>
      <c r="G25" s="339"/>
    </row>
    <row r="26" spans="6:7" x14ac:dyDescent="0.25">
      <c r="F26" s="339"/>
      <c r="G26" s="339"/>
    </row>
    <row r="27" spans="6:7" x14ac:dyDescent="0.25">
      <c r="F27" s="339"/>
      <c r="G27" s="339"/>
    </row>
    <row r="28" spans="6:7" x14ac:dyDescent="0.25">
      <c r="F28" s="339"/>
      <c r="G28" s="339"/>
    </row>
    <row r="29" spans="6:7" x14ac:dyDescent="0.25">
      <c r="F29" s="339"/>
      <c r="G29" s="339"/>
    </row>
    <row r="30" spans="6:7" x14ac:dyDescent="0.25">
      <c r="F30" s="339"/>
      <c r="G30" s="339"/>
    </row>
    <row r="31" spans="6:7" x14ac:dyDescent="0.25">
      <c r="F31" s="339"/>
      <c r="G31" s="339"/>
    </row>
    <row r="32" spans="6:7" x14ac:dyDescent="0.25">
      <c r="F32" s="339"/>
      <c r="G32" s="339"/>
    </row>
    <row r="33" spans="6:7" x14ac:dyDescent="0.25">
      <c r="F33" s="339"/>
      <c r="G33" s="339"/>
    </row>
    <row r="34" spans="6:7" x14ac:dyDescent="0.25">
      <c r="F34" s="339"/>
      <c r="G34" s="339"/>
    </row>
    <row r="35" spans="6:7" x14ac:dyDescent="0.25">
      <c r="F35" s="339"/>
      <c r="G35" s="339"/>
    </row>
    <row r="36" spans="6:7" x14ac:dyDescent="0.25">
      <c r="F36" s="339"/>
      <c r="G36" s="339"/>
    </row>
    <row r="37" spans="6:7" x14ac:dyDescent="0.25">
      <c r="F37" s="339"/>
      <c r="G37" s="339"/>
    </row>
    <row r="38" spans="6:7" x14ac:dyDescent="0.25">
      <c r="F38" s="339"/>
      <c r="G38" s="339"/>
    </row>
    <row r="39" spans="6:7" x14ac:dyDescent="0.25">
      <c r="F39" s="339"/>
      <c r="G39" s="339"/>
    </row>
    <row r="40" spans="6:7" x14ac:dyDescent="0.25">
      <c r="F40" s="339"/>
      <c r="G40" s="339"/>
    </row>
    <row r="41" spans="6:7" x14ac:dyDescent="0.25">
      <c r="F41" s="339"/>
      <c r="G41" s="339"/>
    </row>
    <row r="42" spans="6:7" x14ac:dyDescent="0.25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6632-B085-46E3-9AFF-3A78376625A8}">
  <sheetPr>
    <tabColor theme="9" tint="-0.249977111117893"/>
  </sheetPr>
  <dimension ref="A1:Z41"/>
  <sheetViews>
    <sheetView workbookViewId="0">
      <selection activeCell="L21" sqref="L21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0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1"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2">SUM(D11:D23)</f>
        <v>439765.25</v>
      </c>
      <c r="E10" s="342">
        <f t="shared" si="2"/>
        <v>343180.70999999996</v>
      </c>
      <c r="F10" s="342">
        <f t="shared" si="2"/>
        <v>389391.98</v>
      </c>
      <c r="G10" s="342">
        <f t="shared" si="2"/>
        <v>301860.87</v>
      </c>
      <c r="H10" s="342">
        <f t="shared" si="2"/>
        <v>464461.03</v>
      </c>
      <c r="I10" s="342">
        <f t="shared" si="2"/>
        <v>228299.94</v>
      </c>
      <c r="J10" s="342">
        <f t="shared" si="2"/>
        <v>409521.58999999997</v>
      </c>
      <c r="K10" s="342">
        <f t="shared" si="2"/>
        <v>186047.12</v>
      </c>
      <c r="L10" s="342">
        <f t="shared" si="2"/>
        <v>504391.17999999993</v>
      </c>
      <c r="M10" s="342">
        <f t="shared" si="2"/>
        <v>158885.35999999999</v>
      </c>
      <c r="N10" s="342">
        <f t="shared" si="2"/>
        <v>0</v>
      </c>
      <c r="O10" s="342">
        <f t="shared" si="2"/>
        <v>0</v>
      </c>
      <c r="P10" s="342">
        <f t="shared" si="2"/>
        <v>0</v>
      </c>
      <c r="Q10" s="342">
        <f t="shared" si="2"/>
        <v>0</v>
      </c>
      <c r="R10" s="342">
        <f t="shared" si="2"/>
        <v>0</v>
      </c>
      <c r="S10" s="342">
        <f t="shared" si="2"/>
        <v>0</v>
      </c>
      <c r="T10" s="342">
        <f t="shared" si="2"/>
        <v>0</v>
      </c>
      <c r="U10" s="342">
        <f t="shared" si="2"/>
        <v>0</v>
      </c>
      <c r="V10" s="342">
        <f t="shared" si="2"/>
        <v>0</v>
      </c>
      <c r="W10" s="342">
        <f t="shared" si="2"/>
        <v>0</v>
      </c>
      <c r="X10" s="342">
        <f t="shared" si="2"/>
        <v>0</v>
      </c>
      <c r="Y10" s="342">
        <f t="shared" si="2"/>
        <v>0</v>
      </c>
      <c r="Z10" s="340">
        <f t="shared" si="2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35000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3">C3-C10</f>
        <v>-128848.93</v>
      </c>
      <c r="D24" s="331">
        <f>D3-D10</f>
        <v>-4409.7800000000279</v>
      </c>
      <c r="E24" s="331">
        <f t="shared" si="3"/>
        <v>-76680.709999999963</v>
      </c>
      <c r="F24" s="331">
        <f t="shared" si="3"/>
        <v>-26198.189999999944</v>
      </c>
      <c r="G24" s="331">
        <f t="shared" si="3"/>
        <v>-38860.869999999995</v>
      </c>
      <c r="H24" s="331">
        <f t="shared" si="3"/>
        <v>-18203.489999999991</v>
      </c>
      <c r="I24" s="331">
        <f t="shared" si="3"/>
        <v>64850.06</v>
      </c>
      <c r="J24" s="331">
        <f>J3-J10</f>
        <v>136391.74</v>
      </c>
      <c r="K24" s="331">
        <f t="shared" si="3"/>
        <v>107102.88</v>
      </c>
      <c r="L24" s="331">
        <f t="shared" si="3"/>
        <v>-88786.149999999965</v>
      </c>
      <c r="M24" s="331">
        <f t="shared" si="3"/>
        <v>134264.64000000001</v>
      </c>
      <c r="N24" s="331">
        <f t="shared" si="3"/>
        <v>0</v>
      </c>
      <c r="O24" s="331">
        <f t="shared" si="3"/>
        <v>0</v>
      </c>
      <c r="P24" s="331">
        <f t="shared" si="3"/>
        <v>0</v>
      </c>
      <c r="Q24" s="331">
        <f t="shared" si="3"/>
        <v>0</v>
      </c>
      <c r="R24" s="331">
        <f t="shared" si="3"/>
        <v>0</v>
      </c>
      <c r="S24" s="331">
        <f t="shared" si="3"/>
        <v>0</v>
      </c>
      <c r="T24" s="331">
        <f t="shared" si="3"/>
        <v>0</v>
      </c>
      <c r="U24" s="331">
        <f t="shared" si="3"/>
        <v>0</v>
      </c>
      <c r="V24" s="331">
        <f t="shared" si="3"/>
        <v>0</v>
      </c>
      <c r="W24" s="331">
        <f t="shared" si="3"/>
        <v>0</v>
      </c>
      <c r="X24" s="331">
        <f t="shared" si="3"/>
        <v>0</v>
      </c>
      <c r="Y24" s="331">
        <f t="shared" si="3"/>
        <v>0</v>
      </c>
      <c r="Z24" s="331">
        <f t="shared" si="3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x14ac:dyDescent="0.25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5">
      <c r="A28" s="334"/>
      <c r="C28" s="337"/>
      <c r="J28" s="332"/>
      <c r="Q28" s="339"/>
      <c r="R28" s="339"/>
    </row>
    <row r="29" spans="1:26" x14ac:dyDescent="0.25">
      <c r="A29" s="337"/>
      <c r="C29" s="337"/>
      <c r="E29" s="390"/>
      <c r="H29" s="336"/>
    </row>
    <row r="30" spans="1:26" x14ac:dyDescent="0.25">
      <c r="A30" s="334"/>
      <c r="C30" s="333"/>
      <c r="D30" s="392"/>
    </row>
    <row r="32" spans="1:26" x14ac:dyDescent="0.25">
      <c r="A32" s="333"/>
      <c r="D32" s="332"/>
      <c r="E32" s="332"/>
    </row>
    <row r="41" spans="7:7" x14ac:dyDescent="0.25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5F5-B40E-4A31-9BC4-4D9491ADE455}">
  <sheetPr>
    <tabColor theme="9" tint="-0.249977111117893"/>
  </sheetPr>
  <dimension ref="A1:Z32"/>
  <sheetViews>
    <sheetView zoomScaleNormal="100" zoomScaleSheetLayoutView="100" workbookViewId="0">
      <selection activeCell="L19" sqref="L19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8671875" hidden="1" customWidth="1" outlineLevel="1"/>
    <col min="10" max="10" width="12.88671875" customWidth="1" outlineLevel="1"/>
    <col min="11" max="11" width="12.88671875" hidden="1" customWidth="1"/>
    <col min="12" max="12" width="12.88671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0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/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/>
      <c r="O5" s="338">
        <f t="shared" ref="O5:O7" si="1"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ht="13.8" outlineLevel="1" x14ac:dyDescent="0.3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/>
      <c r="O6" s="338">
        <f t="shared" si="1"/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2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182853.5</v>
      </c>
      <c r="D10" s="342">
        <f t="shared" ref="D10:Z10" si="3">SUM(D11:D23)</f>
        <v>71161.33</v>
      </c>
      <c r="E10" s="342">
        <f t="shared" si="3"/>
        <v>182853.5</v>
      </c>
      <c r="F10" s="342">
        <f t="shared" si="3"/>
        <v>86782.260000000009</v>
      </c>
      <c r="G10" s="342">
        <f t="shared" si="3"/>
        <v>182853.5</v>
      </c>
      <c r="H10" s="342">
        <f t="shared" si="3"/>
        <v>101713.57</v>
      </c>
      <c r="I10" s="342">
        <f t="shared" si="3"/>
        <v>194013.91</v>
      </c>
      <c r="J10" s="342">
        <f t="shared" si="3"/>
        <v>136146.60999999999</v>
      </c>
      <c r="K10" s="342">
        <f t="shared" si="3"/>
        <v>194657.7</v>
      </c>
      <c r="L10" s="342">
        <f t="shared" si="3"/>
        <v>105954.44</v>
      </c>
      <c r="M10" s="342">
        <f t="shared" si="3"/>
        <v>194496.31</v>
      </c>
      <c r="N10" s="342">
        <f t="shared" si="3"/>
        <v>0</v>
      </c>
      <c r="O10" s="342">
        <f t="shared" si="3"/>
        <v>0</v>
      </c>
      <c r="P10" s="342">
        <f t="shared" si="3"/>
        <v>0</v>
      </c>
      <c r="Q10" s="342">
        <f t="shared" si="3"/>
        <v>0</v>
      </c>
      <c r="R10" s="342">
        <f t="shared" si="3"/>
        <v>0</v>
      </c>
      <c r="S10" s="342">
        <f t="shared" si="3"/>
        <v>0</v>
      </c>
      <c r="T10" s="342">
        <f t="shared" si="3"/>
        <v>0</v>
      </c>
      <c r="U10" s="342">
        <f t="shared" si="3"/>
        <v>0</v>
      </c>
      <c r="V10" s="342">
        <f t="shared" si="3"/>
        <v>0</v>
      </c>
      <c r="W10" s="342">
        <f t="shared" si="3"/>
        <v>0</v>
      </c>
      <c r="X10" s="342">
        <f t="shared" si="3"/>
        <v>0</v>
      </c>
      <c r="Y10" s="342">
        <f>SUM(Y11:Y23)</f>
        <v>0</v>
      </c>
      <c r="Z10" s="340">
        <f t="shared" si="3"/>
        <v>0</v>
      </c>
    </row>
    <row r="11" spans="1:26" ht="13.8" x14ac:dyDescent="0.3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ht="13.8" x14ac:dyDescent="0.3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ht="13.8" x14ac:dyDescent="0.3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/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ht="13.8" x14ac:dyDescent="0.3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ht="13.8" x14ac:dyDescent="0.3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/>
      <c r="M15" s="341">
        <v>98000</v>
      </c>
      <c r="N15" s="341"/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ht="13.8" x14ac:dyDescent="0.3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ht="13.8" x14ac:dyDescent="0.3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ht="13.8" x14ac:dyDescent="0.3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12000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ht="13.8" x14ac:dyDescent="0.3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/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ht="13.8" x14ac:dyDescent="0.3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/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ht="13.8" x14ac:dyDescent="0.3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4.4" thickBot="1" x14ac:dyDescent="0.35">
      <c r="A24" s="330" t="s">
        <v>624</v>
      </c>
      <c r="C24" s="331">
        <f t="shared" ref="C24:Z24" si="4">C3-C10</f>
        <v>24146.5</v>
      </c>
      <c r="D24" s="331">
        <f t="shared" si="4"/>
        <v>125409.35000000002</v>
      </c>
      <c r="E24" s="331">
        <f t="shared" si="4"/>
        <v>24146.5</v>
      </c>
      <c r="F24" s="331">
        <f t="shared" si="4"/>
        <v>80361.999999999971</v>
      </c>
      <c r="G24" s="331">
        <f t="shared" si="4"/>
        <v>24146.5</v>
      </c>
      <c r="H24" s="331">
        <f t="shared" si="4"/>
        <v>127304.9</v>
      </c>
      <c r="I24" s="331">
        <f t="shared" si="4"/>
        <v>33686.089999999997</v>
      </c>
      <c r="J24" s="331">
        <f t="shared" si="4"/>
        <v>114901.03000000003</v>
      </c>
      <c r="K24" s="331">
        <f t="shared" si="4"/>
        <v>33042.299999999988</v>
      </c>
      <c r="L24" s="331">
        <f t="shared" si="4"/>
        <v>143188.82999999999</v>
      </c>
      <c r="M24" s="331">
        <f t="shared" si="4"/>
        <v>33203.69</v>
      </c>
      <c r="N24" s="331">
        <f t="shared" si="4"/>
        <v>0</v>
      </c>
      <c r="O24" s="331">
        <f t="shared" si="4"/>
        <v>241362</v>
      </c>
      <c r="P24" s="331">
        <f t="shared" si="4"/>
        <v>0</v>
      </c>
      <c r="Q24" s="331">
        <f t="shared" si="4"/>
        <v>0</v>
      </c>
      <c r="R24" s="331">
        <f t="shared" si="4"/>
        <v>0</v>
      </c>
      <c r="S24" s="331">
        <f t="shared" si="4"/>
        <v>0</v>
      </c>
      <c r="T24" s="331">
        <f t="shared" si="4"/>
        <v>0</v>
      </c>
      <c r="U24" s="331">
        <f t="shared" si="4"/>
        <v>0</v>
      </c>
      <c r="V24" s="331">
        <f t="shared" si="4"/>
        <v>0</v>
      </c>
      <c r="W24" s="331">
        <f t="shared" si="4"/>
        <v>0</v>
      </c>
      <c r="X24" s="331">
        <f t="shared" si="4"/>
        <v>0</v>
      </c>
      <c r="Y24" s="331">
        <f t="shared" si="4"/>
        <v>0</v>
      </c>
      <c r="Z24" s="331">
        <f t="shared" si="4"/>
        <v>0</v>
      </c>
    </row>
    <row r="25" spans="1:26" x14ac:dyDescent="0.25">
      <c r="Q25" s="332"/>
      <c r="R25" s="332"/>
    </row>
    <row r="26" spans="1:26" x14ac:dyDescent="0.25">
      <c r="A26" s="334"/>
      <c r="H26" s="332"/>
      <c r="J26" s="332"/>
      <c r="K26" s="335"/>
      <c r="L26" s="335"/>
      <c r="Q26" s="336"/>
      <c r="R26" s="336"/>
    </row>
    <row r="27" spans="1:26" x14ac:dyDescent="0.25">
      <c r="J27" s="332"/>
      <c r="Q27" s="334"/>
      <c r="R27" s="334"/>
    </row>
    <row r="28" spans="1:26" x14ac:dyDescent="0.25">
      <c r="A28" s="334"/>
      <c r="C28" s="337"/>
      <c r="D28" s="332"/>
      <c r="E28" s="336"/>
      <c r="J28" s="390"/>
      <c r="Q28" s="339"/>
      <c r="R28" s="339"/>
    </row>
    <row r="29" spans="1:26" x14ac:dyDescent="0.25">
      <c r="A29" s="337"/>
      <c r="C29" s="337"/>
      <c r="D29" s="337"/>
      <c r="E29" s="336"/>
    </row>
    <row r="30" spans="1:26" x14ac:dyDescent="0.25">
      <c r="A30" s="334"/>
      <c r="C30" s="333"/>
      <c r="D30" s="333"/>
    </row>
    <row r="32" spans="1:26" x14ac:dyDescent="0.25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C838-B700-4923-80DC-A1324A6D7B2C}">
  <sheetPr>
    <tabColor theme="9" tint="-0.249977111117893"/>
  </sheetPr>
  <dimension ref="A1:Z30"/>
  <sheetViews>
    <sheetView tabSelected="1" workbookViewId="0">
      <selection activeCell="J13" sqref="J13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3" width="13.21875" hidden="1" customWidth="1" outlineLevel="1"/>
    <col min="4" max="4" width="13.2187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8671875" customWidth="1" outlineLevel="1"/>
    <col min="11" max="12" width="12.88671875" customWidth="1"/>
    <col min="13" max="13" width="13" hidden="1" customWidth="1"/>
    <col min="14" max="16" width="13" customWidth="1"/>
    <col min="17" max="17" width="15.5546875" bestFit="1" customWidth="1"/>
    <col min="18" max="18" width="15.5546875" customWidth="1"/>
    <col min="19" max="20" width="13" customWidth="1"/>
    <col min="21" max="22" width="12.77734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ht="13.8" x14ac:dyDescent="0.3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7500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ht="13.8" outlineLevel="1" x14ac:dyDescent="0.3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7500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 t="shared" ref="O4:O5" si="1"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ht="13.8" outlineLevel="1" x14ac:dyDescent="0.3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 t="shared" ref="I5" si="2">G5*0.1+G5</f>
        <v>0</v>
      </c>
      <c r="J5" s="338"/>
      <c r="K5" s="338">
        <v>0</v>
      </c>
      <c r="L5" s="338"/>
      <c r="M5" s="338">
        <v>0</v>
      </c>
      <c r="N5" s="338"/>
      <c r="O5" s="338">
        <f t="shared" si="1"/>
        <v>0</v>
      </c>
      <c r="P5" s="338"/>
      <c r="Q5" s="338">
        <v>0</v>
      </c>
      <c r="R5" s="338"/>
      <c r="S5" s="338">
        <v>0</v>
      </c>
      <c r="T5" s="338"/>
      <c r="U5" s="338">
        <f t="shared" ref="U5" si="3"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ht="13.8" x14ac:dyDescent="0.3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4.4" thickBot="1" x14ac:dyDescent="0.3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13.8" x14ac:dyDescent="0.3">
      <c r="A8" s="327" t="s">
        <v>58</v>
      </c>
      <c r="C8" s="342">
        <f>SUM(C9:C21)</f>
        <v>2250</v>
      </c>
      <c r="D8" s="342">
        <f t="shared" ref="D8:Z8" si="4">SUM(D9:D21)</f>
        <v>578</v>
      </c>
      <c r="E8" s="342">
        <f t="shared" si="4"/>
        <v>2250</v>
      </c>
      <c r="F8" s="342">
        <f t="shared" si="4"/>
        <v>1002.38</v>
      </c>
      <c r="G8" s="342">
        <f t="shared" si="4"/>
        <v>2250</v>
      </c>
      <c r="H8" s="342">
        <f t="shared" si="4"/>
        <v>1205.54</v>
      </c>
      <c r="I8" s="342">
        <f t="shared" si="4"/>
        <v>2250</v>
      </c>
      <c r="J8" s="342">
        <f t="shared" si="4"/>
        <v>1404.5</v>
      </c>
      <c r="K8" s="342">
        <f t="shared" si="4"/>
        <v>2475</v>
      </c>
      <c r="L8" s="342">
        <f t="shared" si="4"/>
        <v>2148.42</v>
      </c>
      <c r="M8" s="342">
        <f t="shared" si="4"/>
        <v>2475</v>
      </c>
      <c r="N8" s="342">
        <f t="shared" si="4"/>
        <v>0</v>
      </c>
      <c r="O8" s="342">
        <f t="shared" si="4"/>
        <v>2623.5</v>
      </c>
      <c r="P8" s="342">
        <f t="shared" si="4"/>
        <v>0</v>
      </c>
      <c r="Q8" s="342">
        <f t="shared" si="4"/>
        <v>0</v>
      </c>
      <c r="R8" s="342">
        <f t="shared" si="4"/>
        <v>0</v>
      </c>
      <c r="S8" s="342">
        <f t="shared" si="4"/>
        <v>0</v>
      </c>
      <c r="T8" s="342">
        <f t="shared" si="4"/>
        <v>0</v>
      </c>
      <c r="U8" s="342">
        <f t="shared" si="4"/>
        <v>0</v>
      </c>
      <c r="V8" s="342">
        <f t="shared" si="4"/>
        <v>0</v>
      </c>
      <c r="W8" s="342">
        <f t="shared" si="4"/>
        <v>0</v>
      </c>
      <c r="X8" s="342">
        <f t="shared" si="4"/>
        <v>0</v>
      </c>
      <c r="Y8" s="342">
        <f t="shared" si="4"/>
        <v>0</v>
      </c>
      <c r="Z8" s="340">
        <f t="shared" si="4"/>
        <v>0</v>
      </c>
    </row>
    <row r="9" spans="1:26" ht="13.8" x14ac:dyDescent="0.3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ht="13.8" x14ac:dyDescent="0.3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ht="13.8" x14ac:dyDescent="0.3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ht="13.8" x14ac:dyDescent="0.3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ht="13.8" x14ac:dyDescent="0.3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ht="13.8" x14ac:dyDescent="0.3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ht="13.8" x14ac:dyDescent="0.3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ht="13.8" x14ac:dyDescent="0.3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ht="13.8" x14ac:dyDescent="0.3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ht="13.8" x14ac:dyDescent="0.3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1875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ht="13.8" x14ac:dyDescent="0.3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375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ht="13.8" x14ac:dyDescent="0.3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4.4" thickBot="1" x14ac:dyDescent="0.35">
      <c r="A22" s="330" t="s">
        <v>624</v>
      </c>
      <c r="C22" s="331">
        <f>C3-C8</f>
        <v>5250</v>
      </c>
      <c r="D22" s="331">
        <f t="shared" ref="D22:Z22" si="5">D3-D8</f>
        <v>2128</v>
      </c>
      <c r="E22" s="331">
        <f t="shared" si="5"/>
        <v>5250</v>
      </c>
      <c r="F22" s="331">
        <f t="shared" si="5"/>
        <v>2771.72</v>
      </c>
      <c r="G22" s="331">
        <f t="shared" si="5"/>
        <v>5250</v>
      </c>
      <c r="H22" s="331">
        <f t="shared" si="5"/>
        <v>2707.46</v>
      </c>
      <c r="I22" s="331">
        <f t="shared" si="5"/>
        <v>5250</v>
      </c>
      <c r="J22" s="331">
        <f t="shared" si="5"/>
        <v>2513.5</v>
      </c>
      <c r="K22" s="331">
        <f t="shared" si="5"/>
        <v>5775</v>
      </c>
      <c r="L22" s="331">
        <f t="shared" si="5"/>
        <v>2735.45</v>
      </c>
      <c r="M22" s="331">
        <f t="shared" si="5"/>
        <v>5775</v>
      </c>
      <c r="N22" s="331">
        <f t="shared" si="5"/>
        <v>0</v>
      </c>
      <c r="O22" s="331">
        <f t="shared" si="5"/>
        <v>6121.5</v>
      </c>
      <c r="P22" s="331">
        <f t="shared" si="5"/>
        <v>0</v>
      </c>
      <c r="Q22" s="331">
        <f t="shared" si="5"/>
        <v>0</v>
      </c>
      <c r="R22" s="331">
        <f t="shared" si="5"/>
        <v>0</v>
      </c>
      <c r="S22" s="331">
        <f t="shared" si="5"/>
        <v>0</v>
      </c>
      <c r="T22" s="331">
        <f t="shared" si="5"/>
        <v>0</v>
      </c>
      <c r="U22" s="331">
        <f t="shared" si="5"/>
        <v>0</v>
      </c>
      <c r="V22" s="331">
        <f t="shared" si="5"/>
        <v>0</v>
      </c>
      <c r="W22" s="331">
        <f t="shared" si="5"/>
        <v>0</v>
      </c>
      <c r="X22" s="331">
        <f t="shared" si="5"/>
        <v>0</v>
      </c>
      <c r="Y22" s="331">
        <f t="shared" si="5"/>
        <v>0</v>
      </c>
      <c r="Z22" s="331">
        <f t="shared" si="5"/>
        <v>0</v>
      </c>
    </row>
    <row r="23" spans="1:26" x14ac:dyDescent="0.25">
      <c r="Q23" s="332"/>
      <c r="R23" s="332"/>
    </row>
    <row r="24" spans="1:26" x14ac:dyDescent="0.25">
      <c r="A24" s="334"/>
      <c r="K24" s="335"/>
      <c r="L24" s="335"/>
      <c r="Q24" s="336"/>
      <c r="R24" s="336"/>
    </row>
    <row r="25" spans="1:26" x14ac:dyDescent="0.25">
      <c r="Q25" s="334"/>
      <c r="R25" s="334"/>
    </row>
    <row r="26" spans="1:26" x14ac:dyDescent="0.25">
      <c r="A26" s="334"/>
      <c r="C26" s="337"/>
      <c r="D26" s="337"/>
      <c r="Q26" s="339"/>
      <c r="R26" s="339"/>
    </row>
    <row r="27" spans="1:26" x14ac:dyDescent="0.25">
      <c r="A27" s="337"/>
      <c r="C27" s="337"/>
      <c r="D27" s="337"/>
    </row>
    <row r="28" spans="1:26" x14ac:dyDescent="0.25">
      <c r="A28" s="334"/>
      <c r="C28" s="333"/>
      <c r="D28" s="333"/>
    </row>
    <row r="30" spans="1:26" x14ac:dyDescent="0.25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DEB7F-A611-4061-8497-86C4AA62A8F1}">
  <dimension ref="F2:J47"/>
  <sheetViews>
    <sheetView topLeftCell="G1" workbookViewId="0">
      <selection activeCell="K13" sqref="K13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670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435355.47</v>
      </c>
      <c r="G9" s="400">
        <v>363193.79000000004</v>
      </c>
      <c r="H9" s="400">
        <v>446257.54000000004</v>
      </c>
      <c r="I9" s="400">
        <v>545913.32999999996</v>
      </c>
      <c r="J9" s="400">
        <v>415605.02999999997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35767.599999999999</v>
      </c>
      <c r="G11" s="339">
        <v>32416.02</v>
      </c>
      <c r="H11" s="339">
        <v>37449.160000000003</v>
      </c>
      <c r="I11" s="339">
        <v>48939.5</v>
      </c>
      <c r="J11" s="339">
        <v>36483.870000000003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33357.43</v>
      </c>
      <c r="G13" s="400">
        <v>26547.95</v>
      </c>
      <c r="H13" s="400">
        <v>35210.910000000003</v>
      </c>
      <c r="I13" s="400">
        <v>40028.439999999995</v>
      </c>
      <c r="J13" s="400">
        <v>35000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  <c r="J15" s="390">
        <f>J9-J11-J13</f>
        <v>344121.16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  <c r="J20" s="390">
        <f>J9*0.5</f>
        <v>207802.51499999998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  <c r="J22" s="390">
        <f>J15-J20</f>
        <v>136318.64499999999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7653.7099999999991</v>
      </c>
      <c r="G27" s="339">
        <v>7018.77</v>
      </c>
      <c r="H27" s="339">
        <v>7455.63</v>
      </c>
      <c r="I27" s="339">
        <v>8585.0400000000009</v>
      </c>
      <c r="J27" s="339">
        <v>8585.0400000000009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100405.73</v>
      </c>
      <c r="G31" s="339">
        <v>85892.13</v>
      </c>
      <c r="H31" s="339">
        <v>105426.96</v>
      </c>
      <c r="I31" s="339">
        <v>78212.990000000005</v>
      </c>
      <c r="J31" s="339">
        <v>94505.920000000013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6602</v>
      </c>
      <c r="G33" s="339">
        <v>6602</v>
      </c>
      <c r="H33" s="339">
        <v>6602</v>
      </c>
      <c r="I33" s="339">
        <v>6602</v>
      </c>
      <c r="J33" s="339">
        <v>6602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1850</v>
      </c>
      <c r="G35" s="339">
        <v>2390</v>
      </c>
      <c r="H35" s="339">
        <v>1850</v>
      </c>
      <c r="I35" s="339">
        <v>1890</v>
      </c>
      <c r="J35" s="339">
        <v>1890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  <c r="J37" s="390">
        <f>J22-J27-J31-J33-J35</f>
        <v>24735.684999999969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1500</v>
      </c>
      <c r="G42" s="339">
        <v>1500</v>
      </c>
      <c r="H42" s="339">
        <v>1500</v>
      </c>
      <c r="I42" s="339">
        <v>1500</v>
      </c>
      <c r="J42" s="339">
        <v>1500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  <c r="J44" s="390">
        <f>J37-J42</f>
        <v>23235.684999999969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  <c r="J47" s="390">
        <f>J44</f>
        <v>23235.684999999969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DE98-C58A-4547-8067-C9A4FD6A5BFD}">
  <dimension ref="F2:J47"/>
  <sheetViews>
    <sheetView topLeftCell="G16" workbookViewId="0">
      <selection activeCell="J44" sqref="J44"/>
    </sheetView>
  </sheetViews>
  <sheetFormatPr defaultRowHeight="13.2" x14ac:dyDescent="0.25"/>
  <cols>
    <col min="6" max="6" width="34.33203125" bestFit="1" customWidth="1"/>
    <col min="7" max="10" width="36.77734375" bestFit="1" customWidth="1"/>
  </cols>
  <sheetData>
    <row r="2" spans="6:10" x14ac:dyDescent="0.25">
      <c r="F2" s="416" t="s">
        <v>690</v>
      </c>
      <c r="G2" s="416"/>
      <c r="H2" s="416"/>
      <c r="I2" s="416"/>
      <c r="J2" s="416"/>
    </row>
    <row r="4" spans="6:10" x14ac:dyDescent="0.25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5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5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5">
      <c r="F9" s="400">
        <v>196570.68000000002</v>
      </c>
      <c r="G9" s="400">
        <v>167144.25999999998</v>
      </c>
      <c r="H9" s="400">
        <v>229018.47</v>
      </c>
      <c r="I9" s="400">
        <v>251047.64</v>
      </c>
      <c r="J9" s="400">
        <v>249143.27</v>
      </c>
    </row>
    <row r="10" spans="6:10" x14ac:dyDescent="0.25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5">
      <c r="F11" s="339">
        <v>16052.56</v>
      </c>
      <c r="G11" s="339">
        <v>15713.91</v>
      </c>
      <c r="H11" s="339">
        <v>16504.29</v>
      </c>
      <c r="I11" s="339">
        <v>22130.3</v>
      </c>
      <c r="J11" s="339">
        <v>20306.36</v>
      </c>
    </row>
    <row r="12" spans="6:10" x14ac:dyDescent="0.25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5">
      <c r="F13" s="400">
        <v>8842.69</v>
      </c>
      <c r="G13" s="400">
        <v>8921.6999999999989</v>
      </c>
      <c r="H13" s="400">
        <v>10958.27</v>
      </c>
      <c r="I13" s="400">
        <v>11197.46</v>
      </c>
      <c r="J13" s="400">
        <f>'PLANO ORÇAMENTARIO - VIDAL'!L19</f>
        <v>12000</v>
      </c>
    </row>
    <row r="14" spans="6:10" x14ac:dyDescent="0.25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5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  <c r="J15" s="390">
        <f>J9-J11-J13</f>
        <v>216836.90999999997</v>
      </c>
    </row>
    <row r="17" spans="6:10" x14ac:dyDescent="0.25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5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5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  <c r="J20" s="390">
        <f>J9*0.5</f>
        <v>124571.63499999999</v>
      </c>
    </row>
    <row r="21" spans="6:10" x14ac:dyDescent="0.25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5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  <c r="J22" s="390">
        <f>J15-J20</f>
        <v>92265.27499999998</v>
      </c>
    </row>
    <row r="24" spans="6:10" x14ac:dyDescent="0.25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5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5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  <c r="J27" s="339">
        <f>'PLANO ORÇAMENTARIO - VIDAL'!L11</f>
        <v>19613.310000000001</v>
      </c>
    </row>
    <row r="28" spans="6:10" x14ac:dyDescent="0.25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5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5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5">
      <c r="F31" s="339">
        <v>22834.91</v>
      </c>
      <c r="G31" s="339">
        <v>32636.18</v>
      </c>
      <c r="H31" s="339">
        <v>39540.71</v>
      </c>
      <c r="I31" s="339">
        <v>45916.149999999994</v>
      </c>
      <c r="J31" s="339">
        <f>'PLANO ORÇAMENTARIO - VIDAL'!L21</f>
        <v>45920.21</v>
      </c>
    </row>
    <row r="32" spans="6:10" x14ac:dyDescent="0.25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5">
      <c r="F33" s="339">
        <v>0</v>
      </c>
      <c r="G33" s="339">
        <v>0</v>
      </c>
      <c r="H33" s="339">
        <v>0</v>
      </c>
      <c r="I33" s="339">
        <v>0</v>
      </c>
      <c r="J33" s="339">
        <v>0</v>
      </c>
    </row>
    <row r="34" spans="6:10" x14ac:dyDescent="0.25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5">
      <c r="F35" s="339">
        <v>6253</v>
      </c>
      <c r="G35" s="339">
        <v>9273</v>
      </c>
      <c r="H35" s="339">
        <v>5722</v>
      </c>
      <c r="I35" s="339">
        <v>7330</v>
      </c>
      <c r="J35" s="339">
        <f>'PLANO ORÇAMENTARIO - VIDAL'!L13</f>
        <v>7265.5599999999995</v>
      </c>
    </row>
    <row r="36" spans="6:10" x14ac:dyDescent="0.25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5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  <c r="J37" s="390">
        <f>J22-J27-J31-J33-J35</f>
        <v>19466.194999999985</v>
      </c>
    </row>
    <row r="38" spans="6:10" x14ac:dyDescent="0.25">
      <c r="F38" s="390"/>
      <c r="G38" s="390"/>
      <c r="H38" s="390"/>
      <c r="I38" s="390"/>
      <c r="J38" s="390"/>
    </row>
    <row r="39" spans="6:10" x14ac:dyDescent="0.25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5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5">
      <c r="F42" s="339">
        <v>0</v>
      </c>
      <c r="G42" s="339">
        <v>0</v>
      </c>
      <c r="H42" s="339">
        <v>0</v>
      </c>
      <c r="I42" s="339">
        <v>0</v>
      </c>
      <c r="J42" s="339">
        <v>0</v>
      </c>
    </row>
    <row r="43" spans="6:10" x14ac:dyDescent="0.25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5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  <c r="J44" s="390">
        <f>J37-J42</f>
        <v>19466.194999999985</v>
      </c>
    </row>
    <row r="45" spans="6:10" x14ac:dyDescent="0.25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5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  <c r="J47" s="390">
        <f>J44</f>
        <v>19466.194999999985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E14ED-3B72-443A-8552-0ED1AF3059EC}">
  <dimension ref="B2:P19"/>
  <sheetViews>
    <sheetView workbookViewId="0">
      <selection activeCell="M21" sqref="M21"/>
    </sheetView>
  </sheetViews>
  <sheetFormatPr defaultRowHeight="13.2" x14ac:dyDescent="0.25"/>
  <cols>
    <col min="2" max="2" width="7" bestFit="1" customWidth="1"/>
    <col min="3" max="3" width="19.332031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5">
      <c r="B2" s="415" t="s">
        <v>668</v>
      </c>
      <c r="C2" s="415"/>
      <c r="D2" s="415"/>
      <c r="E2" s="415"/>
      <c r="F2" s="415"/>
      <c r="G2" s="415"/>
      <c r="K2" s="413" t="s">
        <v>669</v>
      </c>
      <c r="L2" s="413"/>
      <c r="M2" s="413"/>
      <c r="N2" s="413"/>
      <c r="O2" s="413"/>
      <c r="P2" s="413"/>
    </row>
    <row r="4" spans="2:16" x14ac:dyDescent="0.25">
      <c r="B4" s="414" t="s">
        <v>667</v>
      </c>
      <c r="C4" s="414"/>
      <c r="F4" s="414" t="s">
        <v>608</v>
      </c>
      <c r="G4" s="414"/>
      <c r="K4" s="414" t="s">
        <v>667</v>
      </c>
      <c r="L4" s="414"/>
      <c r="O4" s="414" t="s">
        <v>608</v>
      </c>
      <c r="P4" s="414"/>
    </row>
    <row r="5" spans="2:16" x14ac:dyDescent="0.25">
      <c r="B5" s="323"/>
      <c r="C5" s="323"/>
      <c r="F5" s="323"/>
      <c r="G5" s="323"/>
      <c r="K5" s="323"/>
      <c r="L5" s="323"/>
      <c r="O5" s="323"/>
      <c r="P5" s="323"/>
    </row>
    <row r="6" spans="2:16" x14ac:dyDescent="0.25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5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5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5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5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5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5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5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5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5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5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5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5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5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0424-3A4F-4FE6-B44E-C067355939E8}">
  <sheetPr>
    <tabColor theme="9" tint="-0.249977111117893"/>
  </sheetPr>
  <dimension ref="A1:Z74"/>
  <sheetViews>
    <sheetView workbookViewId="0">
      <selection activeCell="A53" sqref="A53:Z74"/>
    </sheetView>
  </sheetViews>
  <sheetFormatPr defaultRowHeight="13.2" outlineLevelRow="1" outlineLevelCol="1" x14ac:dyDescent="0.25"/>
  <cols>
    <col min="1" max="1" width="30.6640625" bestFit="1" customWidth="1"/>
    <col min="2" max="2" width="1.33203125" customWidth="1"/>
    <col min="3" max="4" width="13.21875" customWidth="1" outlineLevel="1"/>
    <col min="5" max="8" width="13" customWidth="1" outlineLevel="1"/>
    <col min="9" max="10" width="12.88671875" customWidth="1" outlineLevel="1"/>
    <col min="11" max="12" width="12.88671875" customWidth="1"/>
    <col min="13" max="16" width="13" customWidth="1"/>
    <col min="17" max="18" width="15.5546875" customWidth="1"/>
    <col min="19" max="20" width="13" customWidth="1"/>
    <col min="21" max="22" width="12.77734375" customWidth="1"/>
    <col min="23" max="26" width="13" customWidth="1"/>
  </cols>
  <sheetData>
    <row r="1" spans="1:26" ht="13.8" x14ac:dyDescent="0.3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ht="13.8" x14ac:dyDescent="0.3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ht="13.8" x14ac:dyDescent="0.3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ht="13.8" outlineLevel="1" x14ac:dyDescent="0.3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 t="shared" ref="O4:O7" si="1">M4*0.06+M4</f>
        <v>303160</v>
      </c>
      <c r="P4" s="338"/>
      <c r="Q4" s="338">
        <v>303160</v>
      </c>
      <c r="R4" s="338"/>
      <c r="S4" s="338">
        <v>303160</v>
      </c>
      <c r="T4" s="338"/>
      <c r="U4" s="338">
        <f t="shared" ref="U4:U7" si="2"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ht="13.8" outlineLevel="1" x14ac:dyDescent="0.3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 t="shared" si="1"/>
        <v>4081</v>
      </c>
      <c r="P5" s="338"/>
      <c r="Q5" s="338">
        <v>4081</v>
      </c>
      <c r="R5" s="338"/>
      <c r="S5" s="338">
        <v>4081</v>
      </c>
      <c r="T5" s="338"/>
      <c r="U5" s="338">
        <f t="shared" si="2"/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ht="13.8" outlineLevel="1" x14ac:dyDescent="0.3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 t="shared" si="1"/>
        <v>3498</v>
      </c>
      <c r="P6" s="338"/>
      <c r="Q6" s="338">
        <v>3498</v>
      </c>
      <c r="R6" s="338"/>
      <c r="S6" s="338">
        <v>3498</v>
      </c>
      <c r="T6" s="338"/>
      <c r="U6" s="338">
        <f t="shared" si="2"/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ht="13.8" outlineLevel="1" x14ac:dyDescent="0.3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 t="shared" ref="I7" si="3">G7*0.1+G7</f>
        <v>0</v>
      </c>
      <c r="J7" s="338"/>
      <c r="K7" s="338">
        <v>0</v>
      </c>
      <c r="L7" s="338"/>
      <c r="M7" s="338">
        <v>0</v>
      </c>
      <c r="N7" s="338"/>
      <c r="O7" s="338">
        <f t="shared" si="1"/>
        <v>0</v>
      </c>
      <c r="P7" s="338"/>
      <c r="Q7" s="338">
        <v>0</v>
      </c>
      <c r="R7" s="338"/>
      <c r="S7" s="338">
        <v>0</v>
      </c>
      <c r="T7" s="338"/>
      <c r="U7" s="338">
        <f t="shared" si="2"/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ht="13.8" x14ac:dyDescent="0.3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4.4" thickBot="1" x14ac:dyDescent="0.3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ht="13.8" x14ac:dyDescent="0.3">
      <c r="A10" s="327" t="s">
        <v>58</v>
      </c>
      <c r="C10" s="342">
        <f>SUM(C11:C23)</f>
        <v>395348.93</v>
      </c>
      <c r="D10" s="342">
        <f t="shared" ref="D10:Z10" si="4">SUM(D11:D23)</f>
        <v>439765.25</v>
      </c>
      <c r="E10" s="342">
        <f t="shared" si="4"/>
        <v>343180.70999999996</v>
      </c>
      <c r="F10" s="342">
        <f t="shared" si="4"/>
        <v>389391.98</v>
      </c>
      <c r="G10" s="342">
        <f t="shared" si="4"/>
        <v>301860.87</v>
      </c>
      <c r="H10" s="342">
        <f t="shared" si="4"/>
        <v>464461.03</v>
      </c>
      <c r="I10" s="342">
        <f t="shared" si="4"/>
        <v>228299.94</v>
      </c>
      <c r="J10" s="342">
        <f t="shared" si="4"/>
        <v>409521.58999999997</v>
      </c>
      <c r="K10" s="342">
        <f t="shared" si="4"/>
        <v>186047.12</v>
      </c>
      <c r="L10" s="342">
        <f t="shared" si="4"/>
        <v>0</v>
      </c>
      <c r="M10" s="342">
        <f t="shared" si="4"/>
        <v>158885.35999999999</v>
      </c>
      <c r="N10" s="342">
        <f t="shared" si="4"/>
        <v>0</v>
      </c>
      <c r="O10" s="342">
        <f t="shared" si="4"/>
        <v>151376.86000000002</v>
      </c>
      <c r="P10" s="342">
        <f t="shared" si="4"/>
        <v>0</v>
      </c>
      <c r="Q10" s="342">
        <f t="shared" si="4"/>
        <v>297826.83</v>
      </c>
      <c r="R10" s="342">
        <f t="shared" si="4"/>
        <v>0</v>
      </c>
      <c r="S10" s="342">
        <f t="shared" si="4"/>
        <v>297826.83</v>
      </c>
      <c r="T10" s="342">
        <f t="shared" si="4"/>
        <v>0</v>
      </c>
      <c r="U10" s="342">
        <f t="shared" si="4"/>
        <v>317143.28449999995</v>
      </c>
      <c r="V10" s="342">
        <f t="shared" si="4"/>
        <v>0</v>
      </c>
      <c r="W10" s="342">
        <f t="shared" si="4"/>
        <v>317143.28449999995</v>
      </c>
      <c r="X10" s="342">
        <f t="shared" si="4"/>
        <v>0</v>
      </c>
      <c r="Y10" s="342">
        <f t="shared" si="4"/>
        <v>317143.28449999995</v>
      </c>
      <c r="Z10" s="340">
        <f t="shared" si="4"/>
        <v>0</v>
      </c>
    </row>
    <row r="11" spans="1:26" ht="13.8" x14ac:dyDescent="0.3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ht="13.8" x14ac:dyDescent="0.3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ht="13.8" x14ac:dyDescent="0.3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ht="13.8" x14ac:dyDescent="0.3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ht="13.8" x14ac:dyDescent="0.3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ht="13.8" x14ac:dyDescent="0.3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ht="13.8" x14ac:dyDescent="0.3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ht="13.8" x14ac:dyDescent="0.3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ht="13.8" x14ac:dyDescent="0.3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ht="13.8" x14ac:dyDescent="0.3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ht="13.8" x14ac:dyDescent="0.3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ht="13.8" x14ac:dyDescent="0.3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ht="13.8" x14ac:dyDescent="0.3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4.4" thickBot="1" x14ac:dyDescent="0.35">
      <c r="A24" s="330" t="s">
        <v>624</v>
      </c>
      <c r="C24" s="331">
        <f t="shared" ref="C24:Z24" si="5">C3-C10</f>
        <v>-128848.93</v>
      </c>
      <c r="D24" s="331">
        <f>D3-D10</f>
        <v>-4409.7800000000279</v>
      </c>
      <c r="E24" s="331">
        <f t="shared" si="5"/>
        <v>-76680.709999999963</v>
      </c>
      <c r="F24" s="331">
        <f t="shared" si="5"/>
        <v>-26198.189999999944</v>
      </c>
      <c r="G24" s="331">
        <f t="shared" si="5"/>
        <v>-38860.869999999995</v>
      </c>
      <c r="H24" s="331">
        <f t="shared" si="5"/>
        <v>-18203.489999999991</v>
      </c>
      <c r="I24" s="331">
        <f t="shared" si="5"/>
        <v>64850.06</v>
      </c>
      <c r="J24" s="331">
        <f>J3-J10</f>
        <v>136391.74</v>
      </c>
      <c r="K24" s="331">
        <f t="shared" si="5"/>
        <v>107102.88</v>
      </c>
      <c r="L24" s="331">
        <f t="shared" si="5"/>
        <v>0</v>
      </c>
      <c r="M24" s="331">
        <f t="shared" si="5"/>
        <v>134264.64000000001</v>
      </c>
      <c r="N24" s="331">
        <f t="shared" si="5"/>
        <v>0</v>
      </c>
      <c r="O24" s="331">
        <f t="shared" si="5"/>
        <v>159362.13999999998</v>
      </c>
      <c r="P24" s="331">
        <f t="shared" si="5"/>
        <v>0</v>
      </c>
      <c r="Q24" s="331">
        <f t="shared" si="5"/>
        <v>12912.169999999984</v>
      </c>
      <c r="R24" s="331">
        <f t="shared" si="5"/>
        <v>0</v>
      </c>
      <c r="S24" s="331">
        <f t="shared" si="5"/>
        <v>12912.169999999984</v>
      </c>
      <c r="T24" s="331">
        <f t="shared" si="5"/>
        <v>0</v>
      </c>
      <c r="U24" s="331">
        <f t="shared" si="5"/>
        <v>9132.665500000061</v>
      </c>
      <c r="V24" s="331">
        <f t="shared" si="5"/>
        <v>0</v>
      </c>
      <c r="W24" s="331">
        <f t="shared" si="5"/>
        <v>9132.665500000061</v>
      </c>
      <c r="X24" s="331">
        <f t="shared" si="5"/>
        <v>0</v>
      </c>
      <c r="Y24" s="331">
        <f t="shared" si="5"/>
        <v>9132.665500000061</v>
      </c>
      <c r="Z24" s="331">
        <f t="shared" si="5"/>
        <v>0</v>
      </c>
    </row>
    <row r="25" spans="1:26" x14ac:dyDescent="0.25">
      <c r="Q25" s="332"/>
      <c r="R25" s="332"/>
    </row>
    <row r="26" spans="1:26" x14ac:dyDescent="0.25">
      <c r="A26" s="334"/>
      <c r="G26" s="390"/>
      <c r="J26" s="332"/>
      <c r="K26" s="335"/>
      <c r="L26" s="335"/>
      <c r="Q26" s="336"/>
      <c r="R26" s="336"/>
    </row>
    <row r="27" spans="1:26" ht="13.8" x14ac:dyDescent="0.3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ht="13.8" x14ac:dyDescent="0.3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ht="13.8" x14ac:dyDescent="0.3">
      <c r="A29" s="324" t="s">
        <v>5</v>
      </c>
      <c r="C29" s="325">
        <f t="shared" ref="C29:Z29" si="6">SUM(C30:C33)</f>
        <v>207000</v>
      </c>
      <c r="D29" s="325">
        <f t="shared" si="6"/>
        <v>196570.68000000002</v>
      </c>
      <c r="E29" s="325">
        <f t="shared" si="6"/>
        <v>207000</v>
      </c>
      <c r="F29" s="325">
        <f t="shared" si="6"/>
        <v>167144.25999999998</v>
      </c>
      <c r="G29" s="325">
        <f t="shared" si="6"/>
        <v>207000</v>
      </c>
      <c r="H29" s="325">
        <f t="shared" si="6"/>
        <v>229018.47</v>
      </c>
      <c r="I29" s="325">
        <f t="shared" si="6"/>
        <v>227700</v>
      </c>
      <c r="J29" s="325">
        <f t="shared" si="6"/>
        <v>251047.64</v>
      </c>
      <c r="K29" s="325">
        <f t="shared" si="6"/>
        <v>227700</v>
      </c>
      <c r="L29" s="325">
        <f t="shared" si="6"/>
        <v>0</v>
      </c>
      <c r="M29" s="325">
        <f t="shared" si="6"/>
        <v>227700</v>
      </c>
      <c r="N29" s="325">
        <f t="shared" si="6"/>
        <v>0</v>
      </c>
      <c r="O29" s="325">
        <f t="shared" si="6"/>
        <v>241362</v>
      </c>
      <c r="P29" s="325">
        <f t="shared" si="6"/>
        <v>0</v>
      </c>
      <c r="Q29" s="325">
        <f t="shared" si="6"/>
        <v>241362</v>
      </c>
      <c r="R29" s="325">
        <f t="shared" si="6"/>
        <v>0</v>
      </c>
      <c r="S29" s="325">
        <f t="shared" si="6"/>
        <v>241362</v>
      </c>
      <c r="T29" s="325">
        <f t="shared" si="6"/>
        <v>0</v>
      </c>
      <c r="U29" s="325">
        <f t="shared" si="6"/>
        <v>253430.1</v>
      </c>
      <c r="V29" s="325">
        <f t="shared" si="6"/>
        <v>0</v>
      </c>
      <c r="W29" s="325">
        <f t="shared" si="6"/>
        <v>253430.1</v>
      </c>
      <c r="X29" s="325">
        <f t="shared" si="6"/>
        <v>0</v>
      </c>
      <c r="Y29" s="325">
        <f t="shared" si="6"/>
        <v>253430.1</v>
      </c>
      <c r="Z29" s="325">
        <f t="shared" si="6"/>
        <v>0</v>
      </c>
    </row>
    <row r="30" spans="1:26" ht="13.8" x14ac:dyDescent="0.3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ht="13.8" x14ac:dyDescent="0.3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 t="shared" ref="O31:O33" si="7"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 t="shared" ref="U31:U33" si="8"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ht="13.8" x14ac:dyDescent="0.3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 t="shared" si="7"/>
        <v>2332</v>
      </c>
      <c r="P32" s="338"/>
      <c r="Q32" s="338">
        <v>2332</v>
      </c>
      <c r="R32" s="338"/>
      <c r="S32" s="338">
        <v>2332</v>
      </c>
      <c r="T32" s="338"/>
      <c r="U32" s="338">
        <f t="shared" si="8"/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ht="13.8" x14ac:dyDescent="0.3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 t="shared" ref="I33" si="9">G33*0.1+G33</f>
        <v>0</v>
      </c>
      <c r="J33" s="338"/>
      <c r="K33" s="338">
        <v>0</v>
      </c>
      <c r="L33" s="338"/>
      <c r="M33" s="338">
        <v>0</v>
      </c>
      <c r="N33" s="338"/>
      <c r="O33" s="338">
        <f t="shared" si="7"/>
        <v>0</v>
      </c>
      <c r="P33" s="338"/>
      <c r="Q33" s="338">
        <v>0</v>
      </c>
      <c r="R33" s="338"/>
      <c r="S33" s="338">
        <v>0</v>
      </c>
      <c r="T33" s="338"/>
      <c r="U33" s="338">
        <f t="shared" si="8"/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ht="13.8" x14ac:dyDescent="0.3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4.4" thickBot="1" x14ac:dyDescent="0.3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3.8" x14ac:dyDescent="0.3">
      <c r="A36" s="327" t="s">
        <v>58</v>
      </c>
      <c r="C36" s="342">
        <f>SUM(C37:C49)</f>
        <v>182853.5</v>
      </c>
      <c r="D36" s="342">
        <f t="shared" ref="D36:Z36" si="10">SUM(D37:D49)</f>
        <v>71161.33</v>
      </c>
      <c r="E36" s="342">
        <f t="shared" si="10"/>
        <v>182853.5</v>
      </c>
      <c r="F36" s="342">
        <f t="shared" si="10"/>
        <v>86782.260000000009</v>
      </c>
      <c r="G36" s="342">
        <f t="shared" si="10"/>
        <v>182853.5</v>
      </c>
      <c r="H36" s="342">
        <f t="shared" si="10"/>
        <v>101713.57</v>
      </c>
      <c r="I36" s="342">
        <f t="shared" si="10"/>
        <v>194013.91</v>
      </c>
      <c r="J36" s="342">
        <f t="shared" si="10"/>
        <v>135846.60999999999</v>
      </c>
      <c r="K36" s="342">
        <f t="shared" si="10"/>
        <v>194496.31</v>
      </c>
      <c r="L36" s="342">
        <f t="shared" si="10"/>
        <v>0</v>
      </c>
      <c r="M36" s="342">
        <f t="shared" si="10"/>
        <v>194496.31</v>
      </c>
      <c r="N36" s="342">
        <f t="shared" si="10"/>
        <v>0</v>
      </c>
      <c r="O36" s="342">
        <f t="shared" si="10"/>
        <v>208108.53</v>
      </c>
      <c r="P36" s="342">
        <f t="shared" si="10"/>
        <v>0</v>
      </c>
      <c r="Q36" s="342">
        <f t="shared" si="10"/>
        <v>208108.53</v>
      </c>
      <c r="R36" s="342">
        <f t="shared" si="10"/>
        <v>0</v>
      </c>
      <c r="S36" s="342">
        <f t="shared" si="10"/>
        <v>208108.53</v>
      </c>
      <c r="T36" s="342">
        <f t="shared" si="10"/>
        <v>0</v>
      </c>
      <c r="U36" s="342">
        <f t="shared" si="10"/>
        <v>223545.99100000001</v>
      </c>
      <c r="V36" s="342">
        <f t="shared" si="10"/>
        <v>0</v>
      </c>
      <c r="W36" s="342">
        <f t="shared" si="10"/>
        <v>223545.99100000001</v>
      </c>
      <c r="X36" s="342">
        <f t="shared" si="10"/>
        <v>0</v>
      </c>
      <c r="Y36" s="342">
        <f>SUM(Y37:Y49)</f>
        <v>223545.99100000001</v>
      </c>
      <c r="Z36" s="340">
        <f t="shared" si="10"/>
        <v>0</v>
      </c>
    </row>
    <row r="37" spans="1:26" ht="13.8" x14ac:dyDescent="0.3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ht="13.8" x14ac:dyDescent="0.3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ht="13.8" x14ac:dyDescent="0.3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ht="13.8" x14ac:dyDescent="0.3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ht="13.8" x14ac:dyDescent="0.3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ht="13.8" x14ac:dyDescent="0.3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ht="13.8" x14ac:dyDescent="0.3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ht="13.8" x14ac:dyDescent="0.3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ht="13.8" x14ac:dyDescent="0.3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ht="13.8" x14ac:dyDescent="0.3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ht="13.8" x14ac:dyDescent="0.3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ht="13.8" x14ac:dyDescent="0.3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ht="13.8" x14ac:dyDescent="0.3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4.4" thickBot="1" x14ac:dyDescent="0.35">
      <c r="A50" s="330" t="s">
        <v>624</v>
      </c>
      <c r="C50" s="331">
        <f t="shared" ref="C50:Z50" si="11">C29-C36</f>
        <v>24146.5</v>
      </c>
      <c r="D50" s="331">
        <f t="shared" si="11"/>
        <v>125409.35000000002</v>
      </c>
      <c r="E50" s="331">
        <f t="shared" si="11"/>
        <v>24146.5</v>
      </c>
      <c r="F50" s="331">
        <f t="shared" si="11"/>
        <v>80361.999999999971</v>
      </c>
      <c r="G50" s="331">
        <f t="shared" si="11"/>
        <v>24146.5</v>
      </c>
      <c r="H50" s="331">
        <f t="shared" si="11"/>
        <v>127304.9</v>
      </c>
      <c r="I50" s="331">
        <f t="shared" si="11"/>
        <v>33686.089999999997</v>
      </c>
      <c r="J50" s="331">
        <f t="shared" si="11"/>
        <v>115201.03000000003</v>
      </c>
      <c r="K50" s="331">
        <f t="shared" si="11"/>
        <v>33203.69</v>
      </c>
      <c r="L50" s="331">
        <f t="shared" si="11"/>
        <v>0</v>
      </c>
      <c r="M50" s="331">
        <f t="shared" si="11"/>
        <v>33203.69</v>
      </c>
      <c r="N50" s="331">
        <f t="shared" si="11"/>
        <v>0</v>
      </c>
      <c r="O50" s="331">
        <f t="shared" si="11"/>
        <v>33253.47</v>
      </c>
      <c r="P50" s="331">
        <f t="shared" si="11"/>
        <v>0</v>
      </c>
      <c r="Q50" s="331">
        <f t="shared" si="11"/>
        <v>33253.47</v>
      </c>
      <c r="R50" s="331">
        <f t="shared" si="11"/>
        <v>0</v>
      </c>
      <c r="S50" s="331">
        <f t="shared" si="11"/>
        <v>33253.47</v>
      </c>
      <c r="T50" s="331">
        <f t="shared" si="11"/>
        <v>0</v>
      </c>
      <c r="U50" s="331">
        <f t="shared" si="11"/>
        <v>29884.108999999997</v>
      </c>
      <c r="V50" s="331">
        <f t="shared" si="11"/>
        <v>0</v>
      </c>
      <c r="W50" s="331">
        <f t="shared" si="11"/>
        <v>29884.108999999997</v>
      </c>
      <c r="X50" s="331">
        <f t="shared" si="11"/>
        <v>0</v>
      </c>
      <c r="Y50" s="331">
        <f t="shared" si="11"/>
        <v>29884.108999999997</v>
      </c>
      <c r="Z50" s="331">
        <f t="shared" si="11"/>
        <v>0</v>
      </c>
    </row>
    <row r="53" spans="1:26" ht="13.8" x14ac:dyDescent="0.3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ht="13.8" x14ac:dyDescent="0.3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ht="13.8" x14ac:dyDescent="0.3">
      <c r="A55" s="324" t="s">
        <v>5</v>
      </c>
      <c r="C55" s="325">
        <f t="shared" ref="C55:Z55" si="12">SUM(C56:C57)</f>
        <v>7500</v>
      </c>
      <c r="D55" s="325">
        <f t="shared" si="12"/>
        <v>2706</v>
      </c>
      <c r="E55" s="325">
        <f t="shared" si="12"/>
        <v>7500</v>
      </c>
      <c r="F55" s="325">
        <f t="shared" si="12"/>
        <v>3774.1</v>
      </c>
      <c r="G55" s="325">
        <f t="shared" si="12"/>
        <v>7500</v>
      </c>
      <c r="H55" s="325">
        <f t="shared" si="12"/>
        <v>3913</v>
      </c>
      <c r="I55" s="325">
        <f t="shared" si="12"/>
        <v>3913</v>
      </c>
      <c r="J55" s="325">
        <f t="shared" si="12"/>
        <v>3918</v>
      </c>
      <c r="K55" s="325">
        <f t="shared" si="12"/>
        <v>8250</v>
      </c>
      <c r="L55" s="325">
        <f t="shared" si="12"/>
        <v>0</v>
      </c>
      <c r="M55" s="325">
        <f t="shared" si="12"/>
        <v>8250</v>
      </c>
      <c r="N55" s="325">
        <f t="shared" si="12"/>
        <v>0</v>
      </c>
      <c r="O55" s="325">
        <f t="shared" si="12"/>
        <v>8745</v>
      </c>
      <c r="P55" s="325">
        <f t="shared" si="12"/>
        <v>0</v>
      </c>
      <c r="Q55" s="325">
        <f t="shared" si="12"/>
        <v>8745</v>
      </c>
      <c r="R55" s="325">
        <f t="shared" si="12"/>
        <v>0</v>
      </c>
      <c r="S55" s="325">
        <f t="shared" si="12"/>
        <v>8745</v>
      </c>
      <c r="T55" s="325">
        <f t="shared" si="12"/>
        <v>0</v>
      </c>
      <c r="U55" s="325">
        <f t="shared" si="12"/>
        <v>9182.25</v>
      </c>
      <c r="V55" s="325">
        <f t="shared" si="12"/>
        <v>0</v>
      </c>
      <c r="W55" s="325">
        <f t="shared" si="12"/>
        <v>9182.25</v>
      </c>
      <c r="X55" s="325">
        <f t="shared" si="12"/>
        <v>0</v>
      </c>
      <c r="Y55" s="325">
        <f t="shared" si="12"/>
        <v>9182.25</v>
      </c>
      <c r="Z55" s="325">
        <f t="shared" si="12"/>
        <v>0</v>
      </c>
    </row>
    <row r="56" spans="1:26" ht="13.8" x14ac:dyDescent="0.3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 t="shared" ref="O56:O57" si="13"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 t="shared" ref="U56:U57" si="14"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ht="13.8" x14ac:dyDescent="0.3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 t="shared" ref="I57" si="15">G57*0.1+G57</f>
        <v>0</v>
      </c>
      <c r="J57" s="338"/>
      <c r="K57" s="338">
        <v>0</v>
      </c>
      <c r="L57" s="338"/>
      <c r="M57" s="338">
        <v>0</v>
      </c>
      <c r="N57" s="338"/>
      <c r="O57" s="338">
        <f t="shared" si="13"/>
        <v>0</v>
      </c>
      <c r="P57" s="338"/>
      <c r="Q57" s="338">
        <v>0</v>
      </c>
      <c r="R57" s="338"/>
      <c r="S57" s="338">
        <v>0</v>
      </c>
      <c r="T57" s="338"/>
      <c r="U57" s="338">
        <f t="shared" si="14"/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ht="13.8" x14ac:dyDescent="0.3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4.4" thickBot="1" x14ac:dyDescent="0.3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3.8" x14ac:dyDescent="0.3">
      <c r="A60" s="327" t="s">
        <v>58</v>
      </c>
      <c r="C60" s="342">
        <f>SUM(C61:C73)</f>
        <v>2250</v>
      </c>
      <c r="D60" s="342">
        <f t="shared" ref="D60:Z60" si="16">SUM(D61:D73)</f>
        <v>578</v>
      </c>
      <c r="E60" s="342">
        <f t="shared" si="16"/>
        <v>2250</v>
      </c>
      <c r="F60" s="342">
        <f t="shared" si="16"/>
        <v>1002.38</v>
      </c>
      <c r="G60" s="342">
        <f t="shared" si="16"/>
        <v>2250</v>
      </c>
      <c r="H60" s="342">
        <f t="shared" si="16"/>
        <v>1205.54</v>
      </c>
      <c r="I60" s="342">
        <f t="shared" si="16"/>
        <v>1173.9000000000001</v>
      </c>
      <c r="J60" s="342">
        <f t="shared" si="16"/>
        <v>1404.5</v>
      </c>
      <c r="K60" s="342">
        <f t="shared" si="16"/>
        <v>2475</v>
      </c>
      <c r="L60" s="342">
        <f t="shared" si="16"/>
        <v>0</v>
      </c>
      <c r="M60" s="342">
        <f t="shared" si="16"/>
        <v>2475</v>
      </c>
      <c r="N60" s="342">
        <f t="shared" si="16"/>
        <v>0</v>
      </c>
      <c r="O60" s="342">
        <f t="shared" si="16"/>
        <v>2623.5</v>
      </c>
      <c r="P60" s="342">
        <f t="shared" si="16"/>
        <v>0</v>
      </c>
      <c r="Q60" s="342">
        <f t="shared" si="16"/>
        <v>2623.5</v>
      </c>
      <c r="R60" s="342">
        <f t="shared" si="16"/>
        <v>0</v>
      </c>
      <c r="S60" s="342">
        <f t="shared" si="16"/>
        <v>2623.5</v>
      </c>
      <c r="T60" s="342">
        <f t="shared" si="16"/>
        <v>0</v>
      </c>
      <c r="U60" s="342">
        <f t="shared" si="16"/>
        <v>2754.6750000000002</v>
      </c>
      <c r="V60" s="342">
        <f t="shared" si="16"/>
        <v>0</v>
      </c>
      <c r="W60" s="342">
        <f t="shared" si="16"/>
        <v>2754.6750000000002</v>
      </c>
      <c r="X60" s="342">
        <f t="shared" si="16"/>
        <v>0</v>
      </c>
      <c r="Y60" s="342">
        <f t="shared" si="16"/>
        <v>2754.6750000000002</v>
      </c>
      <c r="Z60" s="340">
        <f t="shared" si="16"/>
        <v>0</v>
      </c>
    </row>
    <row r="61" spans="1:26" ht="13.8" x14ac:dyDescent="0.3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ht="13.8" x14ac:dyDescent="0.3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ht="13.8" x14ac:dyDescent="0.3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ht="13.8" x14ac:dyDescent="0.3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ht="13.8" x14ac:dyDescent="0.3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ht="13.8" x14ac:dyDescent="0.3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ht="13.8" x14ac:dyDescent="0.3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ht="13.8" x14ac:dyDescent="0.3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ht="13.8" x14ac:dyDescent="0.3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ht="13.8" x14ac:dyDescent="0.3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ht="13.8" x14ac:dyDescent="0.3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ht="13.8" x14ac:dyDescent="0.3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ht="13.8" x14ac:dyDescent="0.3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4.4" thickBot="1" x14ac:dyDescent="0.35">
      <c r="A74" s="330" t="s">
        <v>624</v>
      </c>
      <c r="C74" s="331">
        <f>C55-C60</f>
        <v>5250</v>
      </c>
      <c r="D74" s="331">
        <f t="shared" ref="D74:Z74" si="17">D55-D60</f>
        <v>2128</v>
      </c>
      <c r="E74" s="331">
        <f t="shared" si="17"/>
        <v>5250</v>
      </c>
      <c r="F74" s="331">
        <f t="shared" si="17"/>
        <v>2771.72</v>
      </c>
      <c r="G74" s="331">
        <f t="shared" si="17"/>
        <v>5250</v>
      </c>
      <c r="H74" s="331">
        <f t="shared" si="17"/>
        <v>2707.46</v>
      </c>
      <c r="I74" s="331">
        <f t="shared" si="17"/>
        <v>2739.1</v>
      </c>
      <c r="J74" s="331">
        <f t="shared" si="17"/>
        <v>2513.5</v>
      </c>
      <c r="K74" s="331">
        <f t="shared" si="17"/>
        <v>5775</v>
      </c>
      <c r="L74" s="331">
        <f t="shared" si="17"/>
        <v>0</v>
      </c>
      <c r="M74" s="331">
        <f t="shared" si="17"/>
        <v>5775</v>
      </c>
      <c r="N74" s="331">
        <f t="shared" si="17"/>
        <v>0</v>
      </c>
      <c r="O74" s="331">
        <f t="shared" si="17"/>
        <v>6121.5</v>
      </c>
      <c r="P74" s="331">
        <f t="shared" si="17"/>
        <v>0</v>
      </c>
      <c r="Q74" s="331">
        <f t="shared" si="17"/>
        <v>6121.5</v>
      </c>
      <c r="R74" s="331">
        <f t="shared" si="17"/>
        <v>0</v>
      </c>
      <c r="S74" s="331">
        <f t="shared" si="17"/>
        <v>6121.5</v>
      </c>
      <c r="T74" s="331">
        <f t="shared" si="17"/>
        <v>0</v>
      </c>
      <c r="U74" s="331">
        <f t="shared" si="17"/>
        <v>6427.5749999999998</v>
      </c>
      <c r="V74" s="331">
        <f t="shared" si="17"/>
        <v>0</v>
      </c>
      <c r="W74" s="331">
        <f t="shared" si="17"/>
        <v>6427.5749999999998</v>
      </c>
      <c r="X74" s="331">
        <f t="shared" si="17"/>
        <v>0</v>
      </c>
      <c r="Y74" s="331">
        <f t="shared" si="17"/>
        <v>6427.5749999999998</v>
      </c>
      <c r="Z74" s="331">
        <f t="shared" si="17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5800-0445-4CA0-BBAE-734FECEC9095}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v>0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0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0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0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0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A730-9D62-45C3-AB13-88ACC0E80D84}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4.4" x14ac:dyDescent="0.3"/>
  <cols>
    <col min="2" max="2" width="27.109375" style="373" bestFit="1" customWidth="1"/>
    <col min="3" max="3" width="19.109375" style="378" customWidth="1"/>
    <col min="4" max="4" width="13.88671875" style="378" customWidth="1"/>
    <col min="5" max="5" width="16.44140625" style="359" bestFit="1" customWidth="1"/>
    <col min="6" max="6" width="19.44140625" style="379" bestFit="1" customWidth="1"/>
    <col min="7" max="7" width="19.44140625" style="379" customWidth="1"/>
    <col min="8" max="8" width="24" style="359" bestFit="1" customWidth="1"/>
    <col min="9" max="9" width="15.5546875" style="359" customWidth="1"/>
    <col min="10" max="10" width="13.33203125" bestFit="1" customWidth="1"/>
    <col min="12" max="12" width="9.5546875" bestFit="1" customWidth="1"/>
    <col min="16332" max="16332" width="10.109375" bestFit="1" customWidth="1"/>
  </cols>
  <sheetData>
    <row r="1" spans="2:9" ht="26.4" thickBot="1" x14ac:dyDescent="0.55000000000000004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" thickBot="1" x14ac:dyDescent="0.35">
      <c r="B2" s="409" t="s">
        <v>644</v>
      </c>
      <c r="C2" s="353"/>
      <c r="D2" s="353"/>
      <c r="E2" s="353"/>
      <c r="F2" s="353"/>
      <c r="G2" s="353"/>
      <c r="H2" s="353"/>
      <c r="I2" s="354"/>
    </row>
    <row r="3" spans="2:9" ht="15" thickBot="1" x14ac:dyDescent="0.35">
      <c r="B3" s="410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3">
      <c r="B4" s="360"/>
      <c r="C4" s="411"/>
      <c r="D4" s="411"/>
      <c r="E4" s="411"/>
      <c r="F4" s="411"/>
      <c r="G4" s="411"/>
      <c r="H4" s="412"/>
      <c r="I4" s="361">
        <v>0</v>
      </c>
    </row>
    <row r="5" spans="2:9" x14ac:dyDescent="0.3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3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3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3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3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3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3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3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3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3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3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3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3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3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3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3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3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3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3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3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3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3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3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3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3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3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3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3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3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3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" thickBot="1" x14ac:dyDescent="0.35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" thickBot="1" x14ac:dyDescent="0.35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" thickBot="1" x14ac:dyDescent="0.35"/>
    <row r="38" spans="2:9" ht="26.4" thickBot="1" x14ac:dyDescent="0.55000000000000004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" thickBot="1" x14ac:dyDescent="0.35">
      <c r="B39" s="409" t="s">
        <v>644</v>
      </c>
      <c r="C39" s="353"/>
      <c r="D39" s="353"/>
      <c r="E39" s="353"/>
      <c r="F39" s="353"/>
      <c r="G39" s="353"/>
      <c r="H39" s="353"/>
      <c r="I39" s="354"/>
    </row>
    <row r="40" spans="2:9" ht="15" thickBot="1" x14ac:dyDescent="0.35">
      <c r="B40" s="410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3">
      <c r="B41" s="360"/>
      <c r="C41" s="411"/>
      <c r="D41" s="411"/>
      <c r="E41" s="411"/>
      <c r="F41" s="411"/>
      <c r="G41" s="411"/>
      <c r="H41" s="412"/>
      <c r="I41" s="361">
        <f>I35</f>
        <v>-324733.03999999998</v>
      </c>
    </row>
    <row r="42" spans="2:9" x14ac:dyDescent="0.3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3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3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3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3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3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3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3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3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3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3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3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3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3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3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3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3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3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3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3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3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3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3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3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3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3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3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" thickBot="1" x14ac:dyDescent="0.35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" thickBot="1" x14ac:dyDescent="0.35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" thickBot="1" x14ac:dyDescent="0.35"/>
    <row r="72" spans="2:9" ht="26.4" thickBot="1" x14ac:dyDescent="0.55000000000000004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" thickBot="1" x14ac:dyDescent="0.35">
      <c r="B73" s="409" t="s">
        <v>644</v>
      </c>
      <c r="C73" s="353"/>
      <c r="D73" s="353"/>
      <c r="E73" s="353"/>
      <c r="F73" s="353"/>
      <c r="G73" s="353"/>
      <c r="H73" s="353"/>
      <c r="I73" s="354"/>
    </row>
    <row r="74" spans="2:9" ht="15" thickBot="1" x14ac:dyDescent="0.35">
      <c r="B74" s="410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3">
      <c r="B75" s="360"/>
      <c r="C75" s="411"/>
      <c r="D75" s="411"/>
      <c r="E75" s="411"/>
      <c r="F75" s="411"/>
      <c r="G75" s="411"/>
      <c r="H75" s="411"/>
      <c r="I75" s="387">
        <f>I69</f>
        <v>-564872.31000000006</v>
      </c>
    </row>
    <row r="76" spans="2:9" x14ac:dyDescent="0.3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3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3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3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3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3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3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3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3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3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3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3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3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3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3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3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3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3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3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3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3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3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3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3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3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3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3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3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3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3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" thickBot="1" x14ac:dyDescent="0.35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" thickBot="1" x14ac:dyDescent="0.35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" thickBot="1" x14ac:dyDescent="0.35"/>
    <row r="109" spans="2:9" ht="26.4" thickBot="1" x14ac:dyDescent="0.55000000000000004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" thickBot="1" x14ac:dyDescent="0.35">
      <c r="B110" s="409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" thickBot="1" x14ac:dyDescent="0.35">
      <c r="B111" s="410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3">
      <c r="B112" s="360"/>
      <c r="C112" s="411"/>
      <c r="D112" s="411"/>
      <c r="E112" s="411"/>
      <c r="F112" s="411"/>
      <c r="G112" s="411"/>
      <c r="H112" s="412"/>
      <c r="I112" s="361">
        <f>I106</f>
        <v>-654926.31000000006</v>
      </c>
    </row>
    <row r="113" spans="2:9" x14ac:dyDescent="0.3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3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3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3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3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3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3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3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3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3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3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3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3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3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3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3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3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3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3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3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3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3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3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3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3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3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3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3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3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" thickBot="1" x14ac:dyDescent="0.35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" thickBot="1" x14ac:dyDescent="0.35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" thickBot="1" x14ac:dyDescent="0.35"/>
    <row r="146" spans="2:9" ht="26.4" thickBot="1" x14ac:dyDescent="0.55000000000000004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" thickBot="1" x14ac:dyDescent="0.35">
      <c r="B147" s="409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" thickBot="1" x14ac:dyDescent="0.35">
      <c r="B148" s="410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3">
      <c r="B149" s="360"/>
      <c r="C149" s="411"/>
      <c r="D149" s="411"/>
      <c r="E149" s="411"/>
      <c r="F149" s="411"/>
      <c r="G149" s="411"/>
      <c r="H149" s="412"/>
      <c r="I149" s="361">
        <f>I142</f>
        <v>-745230.31</v>
      </c>
    </row>
    <row r="150" spans="2:9" x14ac:dyDescent="0.3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3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3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3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3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3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3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3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3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3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3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3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3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3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3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3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3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3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3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3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3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3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3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3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3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3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3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3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3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3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" thickBot="1" x14ac:dyDescent="0.35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" thickBot="1" x14ac:dyDescent="0.35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" thickBot="1" x14ac:dyDescent="0.35"/>
    <row r="184" spans="2:9" ht="26.4" thickBot="1" x14ac:dyDescent="0.55000000000000004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" thickBot="1" x14ac:dyDescent="0.35">
      <c r="B185" s="409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" thickBot="1" x14ac:dyDescent="0.35">
      <c r="B186" s="410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3">
      <c r="B187" s="360"/>
      <c r="C187" s="411"/>
      <c r="D187" s="411"/>
      <c r="E187" s="411"/>
      <c r="F187" s="411"/>
      <c r="G187" s="411"/>
      <c r="H187" s="412"/>
      <c r="I187" s="361">
        <f>I180</f>
        <v>-835534.31</v>
      </c>
    </row>
    <row r="188" spans="2:9" x14ac:dyDescent="0.3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3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3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3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3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3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3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3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3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3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3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3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3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3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3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3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3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3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3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3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3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3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3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3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3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3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3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3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3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" thickBot="1" x14ac:dyDescent="0.35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" thickBot="1" x14ac:dyDescent="0.35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" thickBot="1" x14ac:dyDescent="0.35"/>
    <row r="221" spans="2:9" ht="26.4" thickBot="1" x14ac:dyDescent="0.55000000000000004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" thickBot="1" x14ac:dyDescent="0.35">
      <c r="B222" s="409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" thickBot="1" x14ac:dyDescent="0.35">
      <c r="B223" s="410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3">
      <c r="B224" s="360"/>
      <c r="C224" s="411"/>
      <c r="D224" s="411"/>
      <c r="E224" s="411"/>
      <c r="F224" s="411"/>
      <c r="G224" s="411"/>
      <c r="H224" s="412"/>
      <c r="I224" s="361" t="e">
        <f>#REF!</f>
        <v>#REF!</v>
      </c>
    </row>
    <row r="225" spans="2:9" x14ac:dyDescent="0.3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3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3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3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3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3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3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3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3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3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3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3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3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3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3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3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3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3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3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3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3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3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" thickBot="1" x14ac:dyDescent="0.35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" thickBot="1" x14ac:dyDescent="0.35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3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" thickBot="1" x14ac:dyDescent="0.35"/>
    <row r="252" spans="2:9" ht="26.4" thickBot="1" x14ac:dyDescent="0.55000000000000004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" thickBot="1" x14ac:dyDescent="0.35">
      <c r="B253" s="409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" thickBot="1" x14ac:dyDescent="0.35">
      <c r="B254" s="410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3">
      <c r="B255" s="360"/>
      <c r="C255" s="411"/>
      <c r="D255" s="411"/>
      <c r="E255" s="411"/>
      <c r="F255" s="411"/>
      <c r="G255" s="411"/>
      <c r="H255" s="412"/>
      <c r="I255" s="361" t="e">
        <f>I247</f>
        <v>#REF!</v>
      </c>
    </row>
    <row r="256" spans="2:9" x14ac:dyDescent="0.3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3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3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3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3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3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3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3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3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3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3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3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3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3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3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3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3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3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3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3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3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3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" thickBot="1" x14ac:dyDescent="0.35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" thickBot="1" x14ac:dyDescent="0.35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3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" thickBot="1" x14ac:dyDescent="0.35"/>
    <row r="282" spans="2:9" ht="26.4" thickBot="1" x14ac:dyDescent="0.55000000000000004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" thickBot="1" x14ac:dyDescent="0.35">
      <c r="B283" s="409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" thickBot="1" x14ac:dyDescent="0.35">
      <c r="B284" s="410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3">
      <c r="B285" s="360"/>
      <c r="C285" s="411"/>
      <c r="D285" s="411"/>
      <c r="E285" s="411"/>
      <c r="F285" s="411"/>
      <c r="G285" s="411"/>
      <c r="H285" s="412"/>
      <c r="I285" s="361" t="e">
        <f>I277</f>
        <v>#REF!</v>
      </c>
    </row>
    <row r="286" spans="2:9" x14ac:dyDescent="0.3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3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3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3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3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3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3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3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3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3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3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3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3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3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3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3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3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3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3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3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3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3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" thickBot="1" x14ac:dyDescent="0.35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" thickBot="1" x14ac:dyDescent="0.35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3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" thickBot="1" x14ac:dyDescent="0.35"/>
    <row r="312" spans="2:9" ht="26.4" thickBot="1" x14ac:dyDescent="0.55000000000000004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" thickBot="1" x14ac:dyDescent="0.35">
      <c r="B313" s="409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" thickBot="1" x14ac:dyDescent="0.35">
      <c r="B314" s="410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3">
      <c r="B315" s="360"/>
      <c r="C315" s="411"/>
      <c r="D315" s="411"/>
      <c r="E315" s="411"/>
      <c r="F315" s="411"/>
      <c r="G315" s="411"/>
      <c r="H315" s="412"/>
      <c r="I315" s="361" t="e">
        <f>I307</f>
        <v>#REF!</v>
      </c>
    </row>
    <row r="316" spans="2:9" x14ac:dyDescent="0.3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3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3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3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3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3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3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3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3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3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3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3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3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3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3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3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3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3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3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3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3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3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" thickBot="1" x14ac:dyDescent="0.35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" thickBot="1" x14ac:dyDescent="0.35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3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" thickBot="1" x14ac:dyDescent="0.35"/>
    <row r="342" spans="2:9" ht="26.4" thickBot="1" x14ac:dyDescent="0.55000000000000004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" thickBot="1" x14ac:dyDescent="0.35">
      <c r="B343" s="409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" thickBot="1" x14ac:dyDescent="0.35">
      <c r="B344" s="410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3">
      <c r="B345" s="360"/>
      <c r="C345" s="411"/>
      <c r="D345" s="411"/>
      <c r="E345" s="411"/>
      <c r="F345" s="411"/>
      <c r="G345" s="411"/>
      <c r="H345" s="412"/>
      <c r="I345" s="361" t="e">
        <f>I338</f>
        <v>#REF!</v>
      </c>
    </row>
    <row r="346" spans="2:9" x14ac:dyDescent="0.3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3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3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3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3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3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3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3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3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3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3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3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3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3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3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3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3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3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3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3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3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3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" thickBot="1" x14ac:dyDescent="0.35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" thickBot="1" x14ac:dyDescent="0.35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3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" thickBot="1" x14ac:dyDescent="0.35"/>
    <row r="372" spans="2:9" ht="26.4" thickBot="1" x14ac:dyDescent="0.55000000000000004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" thickBot="1" x14ac:dyDescent="0.35">
      <c r="B373" s="409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" thickBot="1" x14ac:dyDescent="0.35">
      <c r="B374" s="410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3">
      <c r="B375" s="360"/>
      <c r="C375" s="411"/>
      <c r="D375" s="411"/>
      <c r="E375" s="411"/>
      <c r="F375" s="411"/>
      <c r="G375" s="411"/>
      <c r="H375" s="412"/>
      <c r="I375" s="361" t="e">
        <f>I367</f>
        <v>#REF!</v>
      </c>
    </row>
    <row r="376" spans="2:9" x14ac:dyDescent="0.3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3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3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3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3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3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3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3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3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3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3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3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3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3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3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3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3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3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3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3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3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3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" thickBot="1" x14ac:dyDescent="0.35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" thickBot="1" x14ac:dyDescent="0.35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3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8671875" defaultRowHeight="12" outlineLevelRow="1" x14ac:dyDescent="0.25"/>
  <cols>
    <col min="1" max="1" width="9.109375" style="1" bestFit="1" customWidth="1"/>
    <col min="2" max="2" width="50.109375" style="1" bestFit="1" customWidth="1"/>
    <col min="3" max="3" width="6.109375" style="1" bestFit="1" customWidth="1"/>
    <col min="4" max="4" width="14" style="4" customWidth="1"/>
    <col min="5" max="5" width="4.88671875" style="1" bestFit="1" customWidth="1"/>
    <col min="6" max="6" width="9" style="1" bestFit="1" customWidth="1"/>
    <col min="7" max="7" width="5" style="1" bestFit="1" customWidth="1"/>
    <col min="8" max="8" width="4.88671875" style="1" bestFit="1" customWidth="1"/>
    <col min="9" max="9" width="7.44140625" style="2" bestFit="1" customWidth="1"/>
    <col min="10" max="11" width="7.44140625" style="1" bestFit="1" customWidth="1"/>
    <col min="12" max="12" width="7.5546875" style="1" bestFit="1" customWidth="1"/>
    <col min="13" max="15" width="7.44140625" style="1" bestFit="1" customWidth="1"/>
    <col min="16" max="16" width="8.6640625" style="1" bestFit="1" customWidth="1"/>
    <col min="17" max="17" width="9.33203125" style="1" bestFit="1" customWidth="1"/>
    <col min="18" max="18" width="1" style="1" customWidth="1"/>
    <col min="19" max="19" width="14.44140625" style="1" customWidth="1"/>
    <col min="20" max="16384" width="13.88671875" style="1"/>
  </cols>
  <sheetData>
    <row r="1" spans="1:19" x14ac:dyDescent="0.25">
      <c r="B1" s="3"/>
      <c r="C1" s="3"/>
    </row>
    <row r="2" spans="1:19" x14ac:dyDescent="0.25">
      <c r="B2" s="3"/>
      <c r="C2" s="3"/>
    </row>
    <row r="3" spans="1:19" ht="13.5" customHeight="1" x14ac:dyDescent="0.25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5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5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5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5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5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5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5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5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5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5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5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5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5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5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5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5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5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5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5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5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5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5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5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5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5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5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5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5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5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5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5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5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5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5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5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5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5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5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5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5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5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5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5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5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5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5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5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5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5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5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5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5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5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5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5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5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5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5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5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5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5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5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5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5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5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5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5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5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5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5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5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5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5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5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5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5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5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5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5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5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5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5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5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5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5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5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5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5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5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5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5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5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5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5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5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5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5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5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5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5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5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5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5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5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5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5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5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5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5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5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5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5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5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5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5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5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5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5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5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5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5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5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5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5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5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5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5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5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5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5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5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5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5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5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5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5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5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5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5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5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5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5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5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5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5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5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5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5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5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5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5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5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5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5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5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5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5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5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5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5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5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5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5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5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5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5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5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5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5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5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5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5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5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5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5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5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5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5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5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5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5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5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5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5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5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5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5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5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5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5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5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5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5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5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5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5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5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5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5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5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5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5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5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5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5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5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5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5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5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5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5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5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5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5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5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5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5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5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5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5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5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5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5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5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5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5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5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5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5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5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6" outlineLevel="1" thickBot="1" x14ac:dyDescent="0.3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6" collapsed="1" thickBot="1" x14ac:dyDescent="0.3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6" thickBot="1" x14ac:dyDescent="0.3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6" thickBot="1" x14ac:dyDescent="0.3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5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5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5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5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5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5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5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5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5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5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5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5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5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5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529F-4383-4BD9-A6B5-CE851E1DE06D}">
  <dimension ref="A1:BJ432"/>
  <sheetViews>
    <sheetView topLeftCell="A401" zoomScale="130" zoomScaleNormal="130" workbookViewId="0">
      <selection activeCell="B430" sqref="B430"/>
    </sheetView>
  </sheetViews>
  <sheetFormatPr defaultColWidth="10.6640625" defaultRowHeight="14.4" x14ac:dyDescent="0.3"/>
  <cols>
    <col min="1" max="1" width="7" style="63" bestFit="1" customWidth="1"/>
    <col min="2" max="2" width="51" style="63" bestFit="1" customWidth="1"/>
    <col min="3" max="63" width="11.88671875" style="63" customWidth="1"/>
    <col min="64" max="16384" width="10.6640625" style="63"/>
  </cols>
  <sheetData>
    <row r="1" spans="1:61" ht="57" customHeight="1" x14ac:dyDescent="0.3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8.600000000000001" thickBot="1" x14ac:dyDescent="0.4">
      <c r="C2" s="156" t="s">
        <v>534</v>
      </c>
    </row>
    <row r="3" spans="1:61" ht="15" thickBot="1" x14ac:dyDescent="0.35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" thickTop="1" x14ac:dyDescent="0.3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6" x14ac:dyDescent="0.3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5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5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5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5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5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5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5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5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5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5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5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5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5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5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6" x14ac:dyDescent="0.3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5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5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5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5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5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5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5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5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5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5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5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5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5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5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6" x14ac:dyDescent="0.3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5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5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5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5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5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5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5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5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5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5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5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5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5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5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6" x14ac:dyDescent="0.3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5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5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5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5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5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5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5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5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5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5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5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5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3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3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6" x14ac:dyDescent="0.3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3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3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3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3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3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3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3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3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3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3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3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3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3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3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6" x14ac:dyDescent="0.3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3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3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3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3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3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3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3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3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3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3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3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3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3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6" x14ac:dyDescent="0.3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3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3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3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3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3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3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3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3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3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3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3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3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3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6" x14ac:dyDescent="0.3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3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3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3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3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3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3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3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3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3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3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3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3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3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6" x14ac:dyDescent="0.3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3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3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3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3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3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3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3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3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3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3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3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3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3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6" x14ac:dyDescent="0.3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3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3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3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3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3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3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3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3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3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3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3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3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3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6" x14ac:dyDescent="0.3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3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3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3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3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3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3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3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3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3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3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3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3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3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6" x14ac:dyDescent="0.3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3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3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3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3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3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3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3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3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3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3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3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3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3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3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6" x14ac:dyDescent="0.3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3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3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3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3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3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3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3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3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3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3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3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3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3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8.600000000000001" thickBot="1" x14ac:dyDescent="0.4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" thickTop="1" x14ac:dyDescent="0.3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5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5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5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5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5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5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5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5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3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3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3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3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3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3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3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3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3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3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3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3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3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3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8.600000000000001" thickBot="1" x14ac:dyDescent="0.4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" thickTop="1" x14ac:dyDescent="0.3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5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5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5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5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5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5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5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5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3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3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3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3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3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3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3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3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3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3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3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3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3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3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8.600000000000001" thickBot="1" x14ac:dyDescent="0.4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" thickTop="1" x14ac:dyDescent="0.3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5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5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5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5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5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5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5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5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3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3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3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3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3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3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3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3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3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3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3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3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3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3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8.600000000000001" thickBot="1" x14ac:dyDescent="0.4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" thickTop="1" x14ac:dyDescent="0.3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3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3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3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3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3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3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3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3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3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3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3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3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3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3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3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3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3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3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3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3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3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3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8.600000000000001" thickBot="1" x14ac:dyDescent="0.4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" thickTop="1" x14ac:dyDescent="0.3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3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3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3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3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3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3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3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3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3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3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3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3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3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3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3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3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3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3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3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3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8.600000000000001" thickBot="1" x14ac:dyDescent="0.4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" thickTop="1" x14ac:dyDescent="0.3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3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3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3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3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3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3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3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3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3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3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3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3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3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3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3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3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3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3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3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3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8.600000000000001" thickBot="1" x14ac:dyDescent="0.4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" thickTop="1" x14ac:dyDescent="0.3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3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3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3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3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3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3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3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3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3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3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3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3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3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3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3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3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3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3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3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3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8.600000000000001" thickBot="1" x14ac:dyDescent="0.4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" thickTop="1" x14ac:dyDescent="0.3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3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3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3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3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3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3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3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3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3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3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3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3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3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3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3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3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3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3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3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3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" x14ac:dyDescent="0.35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3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3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5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5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3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5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5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3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5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5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3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5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5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3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5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5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3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5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5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3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5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5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3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5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5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3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5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5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3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3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3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3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" x14ac:dyDescent="0.35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3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3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3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3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3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3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3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3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3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3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3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3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3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" thickBot="1" x14ac:dyDescent="0.35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" thickTop="1" x14ac:dyDescent="0.3"/>
    <row r="432" spans="1:26" x14ac:dyDescent="0.3">
      <c r="L432" s="63">
        <f>417.2/14.9</f>
        <v>28</v>
      </c>
    </row>
  </sheetData>
  <autoFilter ref="B1:B426" xr:uid="{4A432D01-EC85-4990-829B-64EC1CBC34F6}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04FC5F-5D9B-4152-A91A-954842BE4B87}">
  <ds:schemaRefs>
    <ds:schemaRef ds:uri="http://schemas.microsoft.com/office/2006/metadata/properties"/>
    <ds:schemaRef ds:uri="http://schemas.microsoft.com/office/infopath/2007/PartnerControls"/>
    <ds:schemaRef ds:uri="22174a81-e164-4f2a-ba06-472b28796078"/>
    <ds:schemaRef ds:uri="9d94cc49-c832-444c-b924-42c1f76129b8"/>
  </ds:schemaRefs>
</ds:datastoreItem>
</file>

<file path=customXml/itemProps2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Miranda</cp:lastModifiedBy>
  <cp:revision/>
  <dcterms:created xsi:type="dcterms:W3CDTF">2013-05-14T15:30:01Z</dcterms:created>
  <dcterms:modified xsi:type="dcterms:W3CDTF">2026-06-18T15:06:50Z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