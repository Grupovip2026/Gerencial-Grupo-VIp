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732" documentId="8_{04EA1580-011F-4535-ABF1-02B9CCBA3B27}" xr6:coauthVersionLast="47" xr6:coauthVersionMax="47" xr10:uidLastSave="{FB71A379-809F-4E66-AEC1-F611E84B1E0E}"/>
  <bookViews>
    <workbookView xWindow="-108" yWindow="-108" windowWidth="23256" windowHeight="12456" firstSheet="2" activeTab="2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Planilha1" sheetId="57" r:id="rId8"/>
    <sheet name="Fluxo De caixa - VIP" sheetId="49" r:id="rId9"/>
    <sheet name="Fluxo De caixa - VIDAL" sheetId="52" r:id="rId10"/>
    <sheet name="VIP MX" sheetId="23" r:id="rId11"/>
    <sheet name="VIDAL" sheetId="44" r:id="rId12"/>
    <sheet name="V3" sheetId="45" r:id="rId13"/>
    <sheet name="Divida Fornecedores" sheetId="56" r:id="rId14"/>
    <sheet name="DRE - VIP" sheetId="58" r:id="rId15"/>
    <sheet name="DRE - VIDAL" sheetId="59" r:id="rId16"/>
    <sheet name="Feira Santana" sheetId="8" state="hidden" r:id="rId17"/>
    <sheet name="Vendas" sheetId="39" state="hidden" r:id="rId18"/>
  </sheets>
  <externalReferences>
    <externalReference r:id="rId19"/>
  </externalReferences>
  <definedNames>
    <definedName name="__xlfn_IFERROR">#N/A</definedName>
    <definedName name="_xlnm._FilterDatabase" localSheetId="12" hidden="1">'V3'!$C$27:$O$173</definedName>
    <definedName name="_xlnm._FilterDatabase" localSheetId="17" hidden="1">Vendas!$B$1:$B$426</definedName>
    <definedName name="_xlnm._FilterDatabase" localSheetId="11" hidden="1">VIDAL!$C$27:$O$173</definedName>
    <definedName name="_xlnm._FilterDatabase" localSheetId="10" hidden="1">'VIP MX'!$C$27:$O$173</definedName>
    <definedName name="Excel_BuiltIn__FilterDatabase" localSheetId="16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7" l="1"/>
  <c r="J11" i="50"/>
  <c r="G6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I47" i="58"/>
  <c r="H47" i="58"/>
  <c r="G47" i="58"/>
  <c r="F47" i="58"/>
  <c r="F20" i="58"/>
  <c r="I20" i="58"/>
  <c r="H20" i="58"/>
  <c r="G20" i="58"/>
  <c r="I15" i="58"/>
  <c r="H15" i="58"/>
  <c r="G15" i="58"/>
  <c r="F15" i="58"/>
  <c r="F22" i="59" l="1"/>
  <c r="F37" i="59" s="1"/>
  <c r="F44" i="59" s="1"/>
  <c r="F47" i="59" s="1"/>
  <c r="F22" i="58"/>
  <c r="F37" i="58" s="1"/>
  <c r="F44" i="58" s="1"/>
  <c r="H22" i="58"/>
  <c r="H37" i="58" s="1"/>
  <c r="H44" i="58" s="1"/>
  <c r="G22" i="58"/>
  <c r="G37" i="58" s="1"/>
  <c r="G44" i="58" s="1"/>
  <c r="I22" i="58"/>
  <c r="I37" i="58" s="1"/>
  <c r="I44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43"/>
  <c r="J13" i="50"/>
  <c r="J12" i="43"/>
  <c r="J14" i="50"/>
  <c r="J4" i="43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O22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O21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O13" i="50"/>
  <c r="M13" i="50"/>
  <c r="K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T22" i="51" l="1"/>
  <c r="D22" i="5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<sst xmlns="http://schemas.openxmlformats.org/spreadsheetml/2006/main" count="2647" uniqueCount="757">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</sst>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530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43" fontId="0" fillId="0" borderId="0" xfId="0" applyNumberFormat="1"/>
    <xf numFmtId="166" fontId="6" fillId="14" borderId="56" xfId="13" applyFill="1" applyBorder="1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71" fillId="49" borderId="0" xfId="0" applyFont="1" applyFill="1" applyAlignment="1">
      <alignment horizontal="center"/>
    </xf>
    <xf numFmtId="0" fontId="71" fillId="12" borderId="0" xfId="0" applyFont="1" applyFill="1" applyAlignment="1">
      <alignment horizontal="center"/>
    </xf>
    <xf numFmtId="17" fontId="40" fillId="0" borderId="5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0" fontId="40" fillId="50" borderId="0" xfId="0" applyFont="1" applyFill="1" applyAlignment="1">
      <alignment horizontal="center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71" fillId="11" borderId="0" xfId="0" applyFont="1" applyFill="1" applyAlignment="1">
      <alignment horizontal="center"/>
    </xf>
    <xf numFmtId="0" fontId="71" fillId="48" borderId="0" xfId="0" applyFont="1" applyFill="1" applyAlignment="1">
      <alignment horizontal="center"/>
    </xf>
    <xf numFmtId="0" fontId="40" fillId="39" borderId="0" xfId="0" applyFont="1" applyFill="1" applyAlignment="1">
      <alignment horizontal="center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  <xf numFmtId="44" fontId="6" fillId="14" borderId="0" xfId="33" applyFill="1"/>
    <xf numFmtId="44" fontId="6" fillId="14" borderId="0" xfId="33" applyFill="1" applyBorder="1"/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06" t="s">
        <v>0</v>
      </c>
      <c r="C2" s="506"/>
      <c r="D2" s="506"/>
      <c r="E2" s="506"/>
      <c r="F2" s="506"/>
      <c r="G2" s="506"/>
      <c r="H2" s="506"/>
      <c r="I2" s="506"/>
      <c r="J2" s="506"/>
      <c r="K2" s="506"/>
      <c r="L2" s="506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3"/>
      <c r="M36" s="504"/>
    </row>
    <row r="37" spans="2:13" x14ac:dyDescent="0.25">
      <c r="B37" s="49" t="s">
        <v>28</v>
      </c>
      <c r="L37" s="503"/>
      <c r="M37" s="504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05" t="s">
        <v>34</v>
      </c>
      <c r="C60" s="505"/>
      <c r="D60" s="505"/>
      <c r="E60" s="505"/>
      <c r="F60" s="505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tabSelected="1" workbookViewId="0">
      <selection activeCell="D11" sqref="D11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507" t="s">
        <v>708</v>
      </c>
      <c r="C2" s="507"/>
      <c r="F2" s="508" t="s">
        <v>691</v>
      </c>
      <c r="G2" s="508"/>
    </row>
    <row r="3" spans="2:7" s="410" customFormat="1" x14ac:dyDescent="0.25">
      <c r="B3" s="444"/>
      <c r="C3" s="444"/>
      <c r="F3" s="445"/>
      <c r="G3" s="445"/>
    </row>
    <row r="4" spans="2:7" x14ac:dyDescent="0.25">
      <c r="B4" s="446" t="s">
        <v>692</v>
      </c>
      <c r="C4" s="446" t="s">
        <v>756</v>
      </c>
      <c r="F4" s="449" t="s">
        <v>692</v>
      </c>
      <c r="G4" s="449" t="s">
        <v>756</v>
      </c>
    </row>
    <row r="5" spans="2:7" x14ac:dyDescent="0.25">
      <c r="B5" s="410" t="s">
        <v>693</v>
      </c>
      <c r="C5" s="528">
        <f>'PLANO ORÇAMENTARIO - VIP'!K11+178.31+1098.6</f>
        <v>8322.65</v>
      </c>
      <c r="F5" s="410" t="s">
        <v>700</v>
      </c>
      <c r="G5" s="528">
        <v>5000</v>
      </c>
    </row>
    <row r="6" spans="2:7" x14ac:dyDescent="0.25">
      <c r="B6" s="410" t="s">
        <v>694</v>
      </c>
      <c r="C6" s="528">
        <v>17000</v>
      </c>
      <c r="F6" s="410" t="s">
        <v>702</v>
      </c>
      <c r="G6" s="528">
        <f>280000+120000</f>
        <v>400000</v>
      </c>
    </row>
    <row r="7" spans="2:7" x14ac:dyDescent="0.25">
      <c r="B7" s="410" t="s">
        <v>695</v>
      </c>
      <c r="C7" s="528">
        <v>1000</v>
      </c>
      <c r="F7" s="410" t="s">
        <v>25</v>
      </c>
      <c r="G7" s="528">
        <v>3000</v>
      </c>
    </row>
    <row r="8" spans="2:7" x14ac:dyDescent="0.25">
      <c r="B8" s="410" t="s">
        <v>696</v>
      </c>
      <c r="C8" s="528">
        <v>640</v>
      </c>
      <c r="F8" s="410" t="s">
        <v>704</v>
      </c>
      <c r="G8" s="529">
        <v>40000</v>
      </c>
    </row>
    <row r="9" spans="2:7" x14ac:dyDescent="0.25">
      <c r="B9" s="410" t="s">
        <v>697</v>
      </c>
      <c r="C9" s="529">
        <v>2150</v>
      </c>
      <c r="F9" s="410" t="s">
        <v>705</v>
      </c>
      <c r="G9" s="529">
        <v>110000</v>
      </c>
    </row>
    <row r="10" spans="2:7" x14ac:dyDescent="0.25">
      <c r="B10" s="410" t="s">
        <v>698</v>
      </c>
      <c r="C10" s="529">
        <v>850</v>
      </c>
      <c r="F10" s="410" t="s">
        <v>706</v>
      </c>
      <c r="G10" s="529">
        <v>35000</v>
      </c>
    </row>
    <row r="11" spans="2:7" x14ac:dyDescent="0.25">
      <c r="B11" s="410" t="s">
        <v>699</v>
      </c>
      <c r="C11" s="529">
        <v>250</v>
      </c>
      <c r="F11" s="450"/>
      <c r="G11" s="451">
        <f>SUM(G5:G10)</f>
        <v>593000</v>
      </c>
    </row>
    <row r="12" spans="2:7" x14ac:dyDescent="0.25">
      <c r="B12" s="410" t="s">
        <v>701</v>
      </c>
      <c r="C12" s="529">
        <v>450</v>
      </c>
    </row>
    <row r="13" spans="2:7" x14ac:dyDescent="0.25">
      <c r="B13" s="410" t="s">
        <v>703</v>
      </c>
      <c r="C13" s="529">
        <v>2000</v>
      </c>
    </row>
    <row r="14" spans="2:7" x14ac:dyDescent="0.25">
      <c r="B14" s="410" t="s">
        <v>707</v>
      </c>
      <c r="C14" s="529">
        <v>6602</v>
      </c>
    </row>
    <row r="15" spans="2:7" x14ac:dyDescent="0.25">
      <c r="B15" s="447"/>
      <c r="C15" s="448">
        <f>SUM(C5:C14)</f>
        <v>39264.65</v>
      </c>
    </row>
    <row r="18" spans="6:7" x14ac:dyDescent="0.25">
      <c r="G18" s="419"/>
    </row>
    <row r="19" spans="6:7" x14ac:dyDescent="0.25">
      <c r="F19" s="434"/>
      <c r="G19" s="434"/>
    </row>
    <row r="20" spans="6:7" x14ac:dyDescent="0.25">
      <c r="F20" s="434"/>
      <c r="G20" s="434"/>
    </row>
    <row r="21" spans="6:7" x14ac:dyDescent="0.25">
      <c r="F21" s="434"/>
      <c r="G21" s="434"/>
    </row>
    <row r="22" spans="6:7" x14ac:dyDescent="0.25">
      <c r="F22" s="434"/>
      <c r="G22" s="434"/>
    </row>
    <row r="23" spans="6:7" x14ac:dyDescent="0.25">
      <c r="F23" s="434"/>
      <c r="G23" s="434"/>
    </row>
    <row r="24" spans="6:7" x14ac:dyDescent="0.25">
      <c r="F24" s="434"/>
      <c r="G24" s="434"/>
    </row>
    <row r="25" spans="6:7" x14ac:dyDescent="0.25">
      <c r="F25" s="434"/>
      <c r="G25" s="434"/>
    </row>
    <row r="26" spans="6:7" x14ac:dyDescent="0.25">
      <c r="F26" s="434"/>
      <c r="G26" s="434"/>
    </row>
    <row r="27" spans="6:7" x14ac:dyDescent="0.25">
      <c r="F27" s="434"/>
      <c r="G27" s="434"/>
    </row>
    <row r="28" spans="6:7" x14ac:dyDescent="0.25">
      <c r="F28" s="434"/>
      <c r="G28" s="434"/>
    </row>
    <row r="29" spans="6:7" x14ac:dyDescent="0.25">
      <c r="F29" s="434"/>
      <c r="G29" s="434"/>
    </row>
    <row r="30" spans="6:7" x14ac:dyDescent="0.25">
      <c r="F30" s="434"/>
      <c r="G30" s="434"/>
    </row>
    <row r="31" spans="6:7" x14ac:dyDescent="0.25">
      <c r="F31" s="434"/>
      <c r="G31" s="434"/>
    </row>
    <row r="32" spans="6:7" x14ac:dyDescent="0.25">
      <c r="F32" s="434"/>
      <c r="G32" s="434"/>
    </row>
    <row r="33" spans="6:7" x14ac:dyDescent="0.25">
      <c r="F33" s="434"/>
      <c r="G33" s="434"/>
    </row>
    <row r="34" spans="6:7" x14ac:dyDescent="0.25">
      <c r="F34" s="434"/>
      <c r="G34" s="434"/>
    </row>
    <row r="35" spans="6:7" x14ac:dyDescent="0.25">
      <c r="F35" s="434"/>
      <c r="G35" s="434"/>
    </row>
    <row r="36" spans="6:7" x14ac:dyDescent="0.25">
      <c r="F36" s="434"/>
      <c r="G36" s="434"/>
    </row>
    <row r="37" spans="6:7" x14ac:dyDescent="0.25">
      <c r="F37" s="434"/>
      <c r="G37" s="434"/>
    </row>
    <row r="38" spans="6:7" x14ac:dyDescent="0.25">
      <c r="F38" s="434"/>
      <c r="G38" s="434"/>
    </row>
    <row r="39" spans="6:7" x14ac:dyDescent="0.25">
      <c r="F39" s="434"/>
      <c r="G39" s="434"/>
    </row>
    <row r="40" spans="6:7" x14ac:dyDescent="0.25">
      <c r="F40" s="434"/>
      <c r="G40" s="434"/>
    </row>
    <row r="41" spans="6:7" x14ac:dyDescent="0.25">
      <c r="F41" s="434"/>
      <c r="G41" s="434"/>
    </row>
    <row r="42" spans="6:7" x14ac:dyDescent="0.25">
      <c r="F42" s="434"/>
      <c r="G42" s="434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G20" sqref="G20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09" t="s">
        <v>689</v>
      </c>
      <c r="C5" s="509"/>
      <c r="D5" s="509"/>
      <c r="E5" s="509"/>
      <c r="F5" s="509"/>
      <c r="G5" s="509"/>
      <c r="H5" s="509"/>
      <c r="I5" s="509"/>
      <c r="J5" s="509"/>
      <c r="K5" s="509"/>
      <c r="L5" s="509"/>
      <c r="M5" s="509"/>
      <c r="N5" s="509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J11" sqref="J1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0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/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/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1">G7*0.1+G7</f>
        <v>0</v>
      </c>
      <c r="J7" s="432"/>
      <c r="K7" s="432">
        <v>0</v>
      </c>
      <c r="L7" s="432"/>
      <c r="M7" s="432">
        <v>0</v>
      </c>
      <c r="N7" s="432"/>
      <c r="O7" s="432"/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2">SUM(D11:D23)</f>
        <v>439765.25</v>
      </c>
      <c r="E10" s="443">
        <f t="shared" si="2"/>
        <v>343180.70999999996</v>
      </c>
      <c r="F10" s="443">
        <f t="shared" si="2"/>
        <v>389391.98</v>
      </c>
      <c r="G10" s="443">
        <f t="shared" si="2"/>
        <v>301860.87</v>
      </c>
      <c r="H10" s="443">
        <f t="shared" si="2"/>
        <v>464461.03</v>
      </c>
      <c r="I10" s="443">
        <f t="shared" si="2"/>
        <v>228299.94</v>
      </c>
      <c r="J10" s="443">
        <f t="shared" si="2"/>
        <v>409521.58999999997</v>
      </c>
      <c r="K10" s="443">
        <f t="shared" si="2"/>
        <v>186047.12</v>
      </c>
      <c r="L10" s="443">
        <f t="shared" si="2"/>
        <v>0</v>
      </c>
      <c r="M10" s="443">
        <f t="shared" si="2"/>
        <v>158885.35999999999</v>
      </c>
      <c r="N10" s="443">
        <f t="shared" si="2"/>
        <v>0</v>
      </c>
      <c r="O10" s="443">
        <f t="shared" si="2"/>
        <v>0</v>
      </c>
      <c r="P10" s="443">
        <f t="shared" si="2"/>
        <v>0</v>
      </c>
      <c r="Q10" s="443">
        <f t="shared" si="2"/>
        <v>0</v>
      </c>
      <c r="R10" s="443">
        <f t="shared" si="2"/>
        <v>0</v>
      </c>
      <c r="S10" s="443">
        <f t="shared" si="2"/>
        <v>0</v>
      </c>
      <c r="T10" s="443">
        <f t="shared" si="2"/>
        <v>0</v>
      </c>
      <c r="U10" s="443">
        <f t="shared" si="2"/>
        <v>0</v>
      </c>
      <c r="V10" s="443">
        <f t="shared" si="2"/>
        <v>0</v>
      </c>
      <c r="W10" s="443">
        <f t="shared" si="2"/>
        <v>0</v>
      </c>
      <c r="X10" s="443">
        <f t="shared" si="2"/>
        <v>0</v>
      </c>
      <c r="Y10" s="443">
        <f t="shared" si="2"/>
        <v>0</v>
      </c>
      <c r="Z10" s="441">
        <f t="shared" si="2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/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/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/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/>
      <c r="P16" s="442"/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/>
      <c r="P17" s="442"/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/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/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/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/>
      <c r="P23" s="442"/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3">C3-C10</f>
        <v>-128848.93</v>
      </c>
      <c r="D24" s="418">
        <f>D3-D10</f>
        <v>-4409.7800000000279</v>
      </c>
      <c r="E24" s="418">
        <f t="shared" si="3"/>
        <v>-76680.709999999963</v>
      </c>
      <c r="F24" s="418">
        <f t="shared" si="3"/>
        <v>-26198.189999999944</v>
      </c>
      <c r="G24" s="418">
        <f t="shared" si="3"/>
        <v>-38860.869999999995</v>
      </c>
      <c r="H24" s="418">
        <f t="shared" si="3"/>
        <v>-18203.489999999991</v>
      </c>
      <c r="I24" s="418">
        <f t="shared" si="3"/>
        <v>64850.06</v>
      </c>
      <c r="J24" s="418">
        <f>J3-J10</f>
        <v>136391.74</v>
      </c>
      <c r="K24" s="418">
        <f t="shared" si="3"/>
        <v>107102.88</v>
      </c>
      <c r="L24" s="418">
        <f t="shared" si="3"/>
        <v>0</v>
      </c>
      <c r="M24" s="418">
        <f t="shared" si="3"/>
        <v>134264.64000000001</v>
      </c>
      <c r="N24" s="418">
        <f t="shared" si="3"/>
        <v>0</v>
      </c>
      <c r="O24" s="418">
        <f t="shared" si="3"/>
        <v>0</v>
      </c>
      <c r="P24" s="418">
        <f t="shared" si="3"/>
        <v>0</v>
      </c>
      <c r="Q24" s="418">
        <f t="shared" si="3"/>
        <v>0</v>
      </c>
      <c r="R24" s="418">
        <f t="shared" si="3"/>
        <v>0</v>
      </c>
      <c r="S24" s="418">
        <f t="shared" si="3"/>
        <v>0</v>
      </c>
      <c r="T24" s="418">
        <f t="shared" si="3"/>
        <v>0</v>
      </c>
      <c r="U24" s="418">
        <f t="shared" si="3"/>
        <v>0</v>
      </c>
      <c r="V24" s="418">
        <f t="shared" si="3"/>
        <v>0</v>
      </c>
      <c r="W24" s="418">
        <f t="shared" si="3"/>
        <v>0</v>
      </c>
      <c r="X24" s="418">
        <f t="shared" si="3"/>
        <v>0</v>
      </c>
      <c r="Y24" s="418">
        <f t="shared" si="3"/>
        <v>0</v>
      </c>
      <c r="Z24" s="418">
        <f t="shared" si="3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1"/>
      <c r="L27" s="491"/>
      <c r="N27" s="491"/>
      <c r="Q27" s="421"/>
      <c r="R27" s="421"/>
    </row>
    <row r="28" spans="1:26" x14ac:dyDescent="0.25">
      <c r="A28" s="421"/>
      <c r="C28" s="424"/>
      <c r="J28" s="419"/>
      <c r="Q28" s="434"/>
      <c r="R28" s="434"/>
    </row>
    <row r="29" spans="1:26" x14ac:dyDescent="0.25">
      <c r="A29" s="424"/>
      <c r="C29" s="424"/>
      <c r="E29" s="491"/>
      <c r="H29" s="423"/>
    </row>
    <row r="30" spans="1:26" x14ac:dyDescent="0.25">
      <c r="A30" s="421"/>
      <c r="C30" s="420"/>
      <c r="D30" s="493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J12" sqref="J12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2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3">SUM(D11:D23)</f>
        <v>71161.33</v>
      </c>
      <c r="E10" s="443">
        <f t="shared" si="3"/>
        <v>182853.5</v>
      </c>
      <c r="F10" s="443">
        <f t="shared" si="3"/>
        <v>86782.260000000009</v>
      </c>
      <c r="G10" s="443">
        <f t="shared" si="3"/>
        <v>182853.5</v>
      </c>
      <c r="H10" s="443">
        <f t="shared" si="3"/>
        <v>101713.57</v>
      </c>
      <c r="I10" s="443">
        <f t="shared" si="3"/>
        <v>194013.91</v>
      </c>
      <c r="J10" s="443">
        <f t="shared" si="3"/>
        <v>135846.60999999999</v>
      </c>
      <c r="K10" s="443">
        <f t="shared" si="3"/>
        <v>194496.31</v>
      </c>
      <c r="L10" s="443">
        <f t="shared" si="3"/>
        <v>0</v>
      </c>
      <c r="M10" s="443">
        <f t="shared" si="3"/>
        <v>194496.31</v>
      </c>
      <c r="N10" s="443">
        <f t="shared" si="3"/>
        <v>0</v>
      </c>
      <c r="O10" s="443">
        <f t="shared" si="3"/>
        <v>208108.53</v>
      </c>
      <c r="P10" s="443">
        <f t="shared" si="3"/>
        <v>0</v>
      </c>
      <c r="Q10" s="443">
        <f t="shared" si="3"/>
        <v>0</v>
      </c>
      <c r="R10" s="443">
        <f t="shared" si="3"/>
        <v>0</v>
      </c>
      <c r="S10" s="443">
        <f t="shared" si="3"/>
        <v>0</v>
      </c>
      <c r="T10" s="443">
        <f t="shared" si="3"/>
        <v>0</v>
      </c>
      <c r="U10" s="443">
        <f t="shared" si="3"/>
        <v>0</v>
      </c>
      <c r="V10" s="443">
        <f t="shared" si="3"/>
        <v>0</v>
      </c>
      <c r="W10" s="443">
        <f t="shared" si="3"/>
        <v>0</v>
      </c>
      <c r="X10" s="443">
        <f t="shared" si="3"/>
        <v>0</v>
      </c>
      <c r="Y10" s="443">
        <f>SUM(Y11:Y23)</f>
        <v>0</v>
      </c>
      <c r="Z10" s="441">
        <f t="shared" si="3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4">C3-C10</f>
        <v>24146.5</v>
      </c>
      <c r="D24" s="418">
        <f t="shared" si="4"/>
        <v>125409.35000000002</v>
      </c>
      <c r="E24" s="418">
        <f t="shared" si="4"/>
        <v>24146.5</v>
      </c>
      <c r="F24" s="418">
        <f t="shared" si="4"/>
        <v>80361.999999999971</v>
      </c>
      <c r="G24" s="418">
        <f t="shared" si="4"/>
        <v>24146.5</v>
      </c>
      <c r="H24" s="418">
        <f t="shared" si="4"/>
        <v>127304.9</v>
      </c>
      <c r="I24" s="418">
        <f t="shared" si="4"/>
        <v>33686.089999999997</v>
      </c>
      <c r="J24" s="418">
        <f t="shared" si="4"/>
        <v>115201.03000000003</v>
      </c>
      <c r="K24" s="418">
        <f t="shared" si="4"/>
        <v>33203.69</v>
      </c>
      <c r="L24" s="418">
        <f t="shared" si="4"/>
        <v>0</v>
      </c>
      <c r="M24" s="418">
        <f t="shared" si="4"/>
        <v>33203.69</v>
      </c>
      <c r="N24" s="418">
        <f t="shared" si="4"/>
        <v>0</v>
      </c>
      <c r="O24" s="418">
        <f t="shared" si="4"/>
        <v>33253.47</v>
      </c>
      <c r="P24" s="418">
        <f t="shared" si="4"/>
        <v>0</v>
      </c>
      <c r="Q24" s="418">
        <f t="shared" si="4"/>
        <v>0</v>
      </c>
      <c r="R24" s="418">
        <f t="shared" si="4"/>
        <v>0</v>
      </c>
      <c r="S24" s="418">
        <f t="shared" si="4"/>
        <v>0</v>
      </c>
      <c r="T24" s="418">
        <f t="shared" si="4"/>
        <v>0</v>
      </c>
      <c r="U24" s="418">
        <f t="shared" si="4"/>
        <v>0</v>
      </c>
      <c r="V24" s="418">
        <f t="shared" si="4"/>
        <v>0</v>
      </c>
      <c r="W24" s="418">
        <f t="shared" si="4"/>
        <v>0</v>
      </c>
      <c r="X24" s="418">
        <f t="shared" si="4"/>
        <v>0</v>
      </c>
      <c r="Y24" s="418">
        <f t="shared" si="4"/>
        <v>0</v>
      </c>
      <c r="Z24" s="418">
        <f t="shared" si="4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1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2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ref="U5" si="3">S5*0.05+S5</f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0</v>
      </c>
      <c r="R8" s="443">
        <f t="shared" si="4"/>
        <v>0</v>
      </c>
      <c r="S8" s="443">
        <f t="shared" si="4"/>
        <v>0</v>
      </c>
      <c r="T8" s="443">
        <f t="shared" si="4"/>
        <v>0</v>
      </c>
      <c r="U8" s="443">
        <f t="shared" si="4"/>
        <v>0</v>
      </c>
      <c r="V8" s="443">
        <f t="shared" si="4"/>
        <v>0</v>
      </c>
      <c r="W8" s="443">
        <f t="shared" si="4"/>
        <v>0</v>
      </c>
      <c r="X8" s="443">
        <f t="shared" si="4"/>
        <v>0</v>
      </c>
      <c r="Y8" s="443">
        <f t="shared" si="4"/>
        <v>0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0</v>
      </c>
      <c r="R19" s="442">
        <v>0</v>
      </c>
      <c r="S19" s="442">
        <f>S4*0.25</f>
        <v>0</v>
      </c>
      <c r="T19" s="442">
        <v>0</v>
      </c>
      <c r="U19" s="442">
        <f>U4*0.25</f>
        <v>0</v>
      </c>
      <c r="V19" s="442">
        <v>0</v>
      </c>
      <c r="W19" s="442">
        <f>W4*0.25</f>
        <v>0</v>
      </c>
      <c r="X19" s="442">
        <v>0</v>
      </c>
      <c r="Y19" s="442">
        <f>Y4*0.25</f>
        <v>0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0</v>
      </c>
      <c r="R20" s="442">
        <v>0</v>
      </c>
      <c r="S20" s="442">
        <f>S4*0.05</f>
        <v>0</v>
      </c>
      <c r="T20" s="442">
        <v>0</v>
      </c>
      <c r="U20" s="442">
        <f>U4*0.05</f>
        <v>0</v>
      </c>
      <c r="V20" s="442">
        <v>0</v>
      </c>
      <c r="W20" s="442">
        <f>W4*0.05</f>
        <v>0</v>
      </c>
      <c r="X20" s="442">
        <v>0</v>
      </c>
      <c r="Y20" s="442">
        <f>Y4*0.05</f>
        <v>0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0</v>
      </c>
      <c r="R22" s="418">
        <f t="shared" si="5"/>
        <v>0</v>
      </c>
      <c r="S22" s="418">
        <f t="shared" si="5"/>
        <v>0</v>
      </c>
      <c r="T22" s="418">
        <f t="shared" si="5"/>
        <v>0</v>
      </c>
      <c r="U22" s="418">
        <f t="shared" si="5"/>
        <v>0</v>
      </c>
      <c r="V22" s="418">
        <f t="shared" si="5"/>
        <v>0</v>
      </c>
      <c r="W22" s="418">
        <f t="shared" si="5"/>
        <v>0</v>
      </c>
      <c r="X22" s="418">
        <f t="shared" si="5"/>
        <v>0</v>
      </c>
      <c r="Y22" s="418">
        <f t="shared" si="5"/>
        <v>0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18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ht="13.8" x14ac:dyDescent="0.3">
      <c r="A27" s="407" t="s">
        <v>651</v>
      </c>
      <c r="C27" s="204" t="s">
        <v>690</v>
      </c>
      <c r="D27" s="204" t="s">
        <v>55</v>
      </c>
      <c r="E27" s="204" t="s">
        <v>690</v>
      </c>
      <c r="F27" s="204" t="s">
        <v>55</v>
      </c>
      <c r="G27" s="204" t="s">
        <v>690</v>
      </c>
      <c r="H27" s="204" t="s">
        <v>55</v>
      </c>
      <c r="I27" s="204" t="s">
        <v>690</v>
      </c>
      <c r="J27" s="204" t="s">
        <v>55</v>
      </c>
      <c r="K27" s="204" t="s">
        <v>690</v>
      </c>
      <c r="L27" s="204" t="s">
        <v>55</v>
      </c>
      <c r="M27" s="204" t="s">
        <v>690</v>
      </c>
      <c r="N27" s="204" t="s">
        <v>55</v>
      </c>
      <c r="O27" s="204" t="s">
        <v>690</v>
      </c>
      <c r="P27" s="204" t="s">
        <v>55</v>
      </c>
      <c r="Q27" s="204" t="s">
        <v>690</v>
      </c>
      <c r="R27" s="204" t="s">
        <v>55</v>
      </c>
      <c r="S27" s="204" t="s">
        <v>690</v>
      </c>
      <c r="T27" s="204" t="s">
        <v>55</v>
      </c>
      <c r="U27" s="204" t="s">
        <v>690</v>
      </c>
      <c r="V27" s="204" t="s">
        <v>55</v>
      </c>
      <c r="W27" s="204" t="s">
        <v>690</v>
      </c>
      <c r="X27" s="204" t="s">
        <v>55</v>
      </c>
      <c r="Y27" s="204" t="s">
        <v>690</v>
      </c>
      <c r="Z27" s="204" t="s">
        <v>55</v>
      </c>
    </row>
    <row r="28" spans="1:26" ht="13.8" x14ac:dyDescent="0.3">
      <c r="C28" s="408">
        <v>46023</v>
      </c>
      <c r="D28" s="408">
        <v>46023</v>
      </c>
      <c r="E28" s="409">
        <v>46054</v>
      </c>
      <c r="F28" s="409">
        <v>46054</v>
      </c>
      <c r="G28" s="408">
        <v>46082</v>
      </c>
      <c r="H28" s="408">
        <v>46082</v>
      </c>
      <c r="I28" s="409">
        <v>46113</v>
      </c>
      <c r="J28" s="409">
        <v>46113</v>
      </c>
      <c r="K28" s="408">
        <v>46143</v>
      </c>
      <c r="L28" s="408">
        <v>46143</v>
      </c>
      <c r="M28" s="409">
        <v>46174</v>
      </c>
      <c r="N28" s="409">
        <v>46174</v>
      </c>
      <c r="O28" s="408">
        <v>46204</v>
      </c>
      <c r="P28" s="408">
        <v>46204</v>
      </c>
      <c r="Q28" s="409">
        <v>46235</v>
      </c>
      <c r="R28" s="409">
        <v>46235</v>
      </c>
      <c r="S28" s="408">
        <v>46266</v>
      </c>
      <c r="T28" s="408">
        <v>46266</v>
      </c>
      <c r="U28" s="409">
        <v>46296</v>
      </c>
      <c r="V28" s="409">
        <v>46296</v>
      </c>
      <c r="W28" s="408">
        <v>46327</v>
      </c>
      <c r="X28" s="408">
        <v>46327</v>
      </c>
      <c r="Y28" s="409">
        <v>46357</v>
      </c>
      <c r="Z28" s="409">
        <v>46357</v>
      </c>
    </row>
    <row r="29" spans="1:26" ht="13.8" x14ac:dyDescent="0.3">
      <c r="A29" s="411" t="s">
        <v>5</v>
      </c>
      <c r="C29" s="412">
        <f t="shared" ref="C29:Z29" si="6">SUM(C30:C33)</f>
        <v>207000</v>
      </c>
      <c r="D29" s="412">
        <f t="shared" si="6"/>
        <v>196570.68000000002</v>
      </c>
      <c r="E29" s="412">
        <f t="shared" si="6"/>
        <v>207000</v>
      </c>
      <c r="F29" s="412">
        <f t="shared" si="6"/>
        <v>167144.25999999998</v>
      </c>
      <c r="G29" s="412">
        <f t="shared" si="6"/>
        <v>207000</v>
      </c>
      <c r="H29" s="412">
        <f t="shared" si="6"/>
        <v>229018.47</v>
      </c>
      <c r="I29" s="412">
        <f t="shared" si="6"/>
        <v>227700</v>
      </c>
      <c r="J29" s="412">
        <f t="shared" si="6"/>
        <v>251047.64</v>
      </c>
      <c r="K29" s="412">
        <f t="shared" si="6"/>
        <v>227700</v>
      </c>
      <c r="L29" s="412">
        <f t="shared" si="6"/>
        <v>0</v>
      </c>
      <c r="M29" s="412">
        <f t="shared" si="6"/>
        <v>227700</v>
      </c>
      <c r="N29" s="412">
        <f t="shared" si="6"/>
        <v>0</v>
      </c>
      <c r="O29" s="412">
        <f t="shared" si="6"/>
        <v>241362</v>
      </c>
      <c r="P29" s="412">
        <f t="shared" si="6"/>
        <v>0</v>
      </c>
      <c r="Q29" s="412">
        <f t="shared" si="6"/>
        <v>241362</v>
      </c>
      <c r="R29" s="412">
        <f t="shared" si="6"/>
        <v>0</v>
      </c>
      <c r="S29" s="412">
        <f t="shared" si="6"/>
        <v>241362</v>
      </c>
      <c r="T29" s="412">
        <f t="shared" si="6"/>
        <v>0</v>
      </c>
      <c r="U29" s="412">
        <f t="shared" si="6"/>
        <v>253430.1</v>
      </c>
      <c r="V29" s="412">
        <f t="shared" si="6"/>
        <v>0</v>
      </c>
      <c r="W29" s="412">
        <f t="shared" si="6"/>
        <v>253430.1</v>
      </c>
      <c r="X29" s="412">
        <f t="shared" si="6"/>
        <v>0</v>
      </c>
      <c r="Y29" s="412">
        <f t="shared" si="6"/>
        <v>253430.1</v>
      </c>
      <c r="Z29" s="412">
        <f t="shared" si="6"/>
        <v>0</v>
      </c>
    </row>
    <row r="30" spans="1:26" ht="13.8" x14ac:dyDescent="0.3">
      <c r="A30" s="32" t="s">
        <v>653</v>
      </c>
      <c r="C30" s="432">
        <v>50000</v>
      </c>
      <c r="D30" s="432">
        <v>44021.86</v>
      </c>
      <c r="E30" s="432">
        <v>50000</v>
      </c>
      <c r="F30" s="432">
        <v>29797.32</v>
      </c>
      <c r="G30" s="432">
        <v>50000</v>
      </c>
      <c r="H30" s="432">
        <v>56728.92</v>
      </c>
      <c r="I30" s="432">
        <v>55000</v>
      </c>
      <c r="J30" s="432">
        <v>58148.23</v>
      </c>
      <c r="K30" s="432">
        <v>55000</v>
      </c>
      <c r="L30" s="432"/>
      <c r="M30" s="432">
        <v>55000</v>
      </c>
      <c r="N30" s="432"/>
      <c r="O30" s="432">
        <f>M30*0.06+M30</f>
        <v>58300</v>
      </c>
      <c r="P30" s="432"/>
      <c r="Q30" s="432">
        <v>58300</v>
      </c>
      <c r="R30" s="432"/>
      <c r="S30" s="432">
        <v>58300</v>
      </c>
      <c r="T30" s="432"/>
      <c r="U30" s="432">
        <f>S30*0.05+S30</f>
        <v>61215</v>
      </c>
      <c r="V30" s="432"/>
      <c r="W30" s="432">
        <v>61215</v>
      </c>
      <c r="X30" s="432"/>
      <c r="Y30" s="432">
        <v>61215</v>
      </c>
      <c r="Z30" s="432">
        <v>0</v>
      </c>
    </row>
    <row r="31" spans="1:26" ht="13.8" x14ac:dyDescent="0.3">
      <c r="A31" s="32" t="s">
        <v>655</v>
      </c>
      <c r="C31" s="432">
        <v>155000</v>
      </c>
      <c r="D31" s="432">
        <v>138853.28</v>
      </c>
      <c r="E31" s="432">
        <v>155000</v>
      </c>
      <c r="F31" s="432">
        <v>120539.51</v>
      </c>
      <c r="G31" s="432">
        <v>155000</v>
      </c>
      <c r="H31" s="432">
        <v>144159.46</v>
      </c>
      <c r="I31" s="432">
        <v>170500</v>
      </c>
      <c r="J31" s="432">
        <f>167726.63+2481.96</f>
        <v>170208.59</v>
      </c>
      <c r="K31" s="432">
        <v>170500</v>
      </c>
      <c r="L31" s="432"/>
      <c r="M31" s="432">
        <v>170500</v>
      </c>
      <c r="N31" s="432"/>
      <c r="O31" s="432">
        <f t="shared" ref="O31:O33" si="7">M31*0.06+M31</f>
        <v>180730</v>
      </c>
      <c r="P31" s="432"/>
      <c r="Q31" s="432">
        <v>180730</v>
      </c>
      <c r="R31" s="432"/>
      <c r="S31" s="432">
        <v>180730</v>
      </c>
      <c r="T31" s="432"/>
      <c r="U31" s="432">
        <f t="shared" ref="U31:U33" si="8">S31*0.05+S31</f>
        <v>189766.5</v>
      </c>
      <c r="V31" s="432"/>
      <c r="W31" s="432">
        <v>189766.5</v>
      </c>
      <c r="X31" s="432"/>
      <c r="Y31" s="432">
        <v>189766.5</v>
      </c>
      <c r="Z31" s="432">
        <v>0</v>
      </c>
    </row>
    <row r="32" spans="1:26" ht="13.8" x14ac:dyDescent="0.3">
      <c r="A32" s="32" t="s">
        <v>659</v>
      </c>
      <c r="C32" s="432">
        <v>2000</v>
      </c>
      <c r="D32" s="432">
        <v>13695.54</v>
      </c>
      <c r="E32" s="432">
        <v>2000</v>
      </c>
      <c r="F32" s="432">
        <v>16807.43</v>
      </c>
      <c r="G32" s="432">
        <v>2000</v>
      </c>
      <c r="H32" s="432">
        <v>28130.09</v>
      </c>
      <c r="I32" s="432">
        <v>2200</v>
      </c>
      <c r="J32" s="432">
        <v>22690.82</v>
      </c>
      <c r="K32" s="432">
        <v>2200</v>
      </c>
      <c r="L32" s="432"/>
      <c r="M32" s="432">
        <v>2200</v>
      </c>
      <c r="N32" s="432"/>
      <c r="O32" s="432">
        <f t="shared" si="7"/>
        <v>2332</v>
      </c>
      <c r="P32" s="432"/>
      <c r="Q32" s="432">
        <v>2332</v>
      </c>
      <c r="R32" s="432"/>
      <c r="S32" s="432">
        <v>2332</v>
      </c>
      <c r="T32" s="432"/>
      <c r="U32" s="432">
        <f t="shared" si="8"/>
        <v>2448.6</v>
      </c>
      <c r="V32" s="432"/>
      <c r="W32" s="432">
        <v>2448.6</v>
      </c>
      <c r="X32" s="432"/>
      <c r="Y32" s="432">
        <v>2448.6</v>
      </c>
      <c r="Z32" s="432">
        <v>0</v>
      </c>
    </row>
    <row r="33" spans="1:26" ht="13.8" x14ac:dyDescent="0.3">
      <c r="A33" s="32" t="s">
        <v>660</v>
      </c>
      <c r="C33" s="432">
        <v>0</v>
      </c>
      <c r="D33" s="432">
        <v>0</v>
      </c>
      <c r="E33" s="432">
        <v>0</v>
      </c>
      <c r="F33" s="432"/>
      <c r="G33" s="432">
        <v>0</v>
      </c>
      <c r="H33" s="432"/>
      <c r="I33" s="432">
        <f t="shared" ref="I33" si="9">G33*0.1+G33</f>
        <v>0</v>
      </c>
      <c r="J33" s="432"/>
      <c r="K33" s="432">
        <v>0</v>
      </c>
      <c r="L33" s="432"/>
      <c r="M33" s="432">
        <v>0</v>
      </c>
      <c r="N33" s="432"/>
      <c r="O33" s="432">
        <f t="shared" si="7"/>
        <v>0</v>
      </c>
      <c r="P33" s="432"/>
      <c r="Q33" s="432">
        <v>0</v>
      </c>
      <c r="R33" s="432"/>
      <c r="S33" s="432">
        <v>0</v>
      </c>
      <c r="T33" s="432"/>
      <c r="U33" s="432">
        <f t="shared" si="8"/>
        <v>0</v>
      </c>
      <c r="V33" s="432"/>
      <c r="W33" s="432">
        <v>0</v>
      </c>
      <c r="X33" s="432"/>
      <c r="Y33" s="432">
        <v>0</v>
      </c>
      <c r="Z33" s="432">
        <v>0</v>
      </c>
    </row>
    <row r="34" spans="1:26" ht="13.8" x14ac:dyDescent="0.3">
      <c r="A34" s="411"/>
      <c r="C34" s="413"/>
      <c r="D34" s="413"/>
      <c r="E34" s="413"/>
      <c r="F34" s="413"/>
      <c r="G34" s="413"/>
      <c r="H34" s="413"/>
      <c r="I34" s="413"/>
      <c r="J34" s="413"/>
      <c r="K34" s="413"/>
      <c r="L34" s="413"/>
      <c r="M34" s="413"/>
      <c r="N34" s="413"/>
      <c r="O34" s="413"/>
      <c r="P34" s="413"/>
      <c r="Q34" s="413"/>
      <c r="R34" s="413"/>
      <c r="S34" s="413"/>
      <c r="T34" s="413"/>
      <c r="U34" s="413"/>
      <c r="V34" s="413"/>
      <c r="W34" s="413"/>
      <c r="X34" s="413"/>
      <c r="Y34" s="413"/>
      <c r="Z34" s="413"/>
    </row>
    <row r="35" spans="1:26" ht="14.4" thickBot="1" x14ac:dyDescent="0.35">
      <c r="C35" s="31"/>
      <c r="D35" s="31"/>
      <c r="E35" s="207"/>
      <c r="F35" s="207"/>
      <c r="G35" s="33"/>
      <c r="H35" s="33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3.8" x14ac:dyDescent="0.3">
      <c r="A36" s="414" t="s">
        <v>58</v>
      </c>
      <c r="C36" s="443">
        <f>SUM(C37:C49)</f>
        <v>182853.5</v>
      </c>
      <c r="D36" s="443">
        <f t="shared" ref="D36:Z36" si="10">SUM(D37:D49)</f>
        <v>71161.33</v>
      </c>
      <c r="E36" s="443">
        <f t="shared" si="10"/>
        <v>182853.5</v>
      </c>
      <c r="F36" s="443">
        <f t="shared" si="10"/>
        <v>86782.260000000009</v>
      </c>
      <c r="G36" s="443">
        <f t="shared" si="10"/>
        <v>182853.5</v>
      </c>
      <c r="H36" s="443">
        <f t="shared" si="10"/>
        <v>101713.57</v>
      </c>
      <c r="I36" s="443">
        <f t="shared" si="10"/>
        <v>194013.91</v>
      </c>
      <c r="J36" s="443">
        <f t="shared" si="10"/>
        <v>135846.60999999999</v>
      </c>
      <c r="K36" s="443">
        <f t="shared" si="10"/>
        <v>194496.31</v>
      </c>
      <c r="L36" s="443">
        <f t="shared" si="10"/>
        <v>0</v>
      </c>
      <c r="M36" s="443">
        <f t="shared" si="10"/>
        <v>194496.31</v>
      </c>
      <c r="N36" s="443">
        <f t="shared" si="10"/>
        <v>0</v>
      </c>
      <c r="O36" s="443">
        <f t="shared" si="10"/>
        <v>208108.53</v>
      </c>
      <c r="P36" s="443">
        <f t="shared" si="10"/>
        <v>0</v>
      </c>
      <c r="Q36" s="443">
        <f t="shared" si="10"/>
        <v>208108.53</v>
      </c>
      <c r="R36" s="443">
        <f t="shared" si="10"/>
        <v>0</v>
      </c>
      <c r="S36" s="443">
        <f t="shared" si="10"/>
        <v>208108.53</v>
      </c>
      <c r="T36" s="443">
        <f t="shared" si="10"/>
        <v>0</v>
      </c>
      <c r="U36" s="443">
        <f t="shared" si="10"/>
        <v>223545.99100000001</v>
      </c>
      <c r="V36" s="443">
        <f t="shared" si="10"/>
        <v>0</v>
      </c>
      <c r="W36" s="443">
        <f t="shared" si="10"/>
        <v>223545.99100000001</v>
      </c>
      <c r="X36" s="443">
        <f t="shared" si="10"/>
        <v>0</v>
      </c>
      <c r="Y36" s="443">
        <f>SUM(Y37:Y49)</f>
        <v>223545.99100000001</v>
      </c>
      <c r="Z36" s="441">
        <f t="shared" si="10"/>
        <v>0</v>
      </c>
    </row>
    <row r="37" spans="1:26" ht="13.8" x14ac:dyDescent="0.3">
      <c r="A37" s="415" t="s">
        <v>59</v>
      </c>
      <c r="C37" s="442">
        <f>20000+2240.5+493</f>
        <v>22733.5</v>
      </c>
      <c r="D37" s="442">
        <f>17000+178.31</f>
        <v>17178.310000000001</v>
      </c>
      <c r="E37" s="442">
        <f>20000+2240.5+493</f>
        <v>22733.5</v>
      </c>
      <c r="F37" s="442">
        <f>17000+178.31</f>
        <v>17178.310000000001</v>
      </c>
      <c r="G37" s="442">
        <f>20000+2240.5+493</f>
        <v>22733.5</v>
      </c>
      <c r="H37" s="442">
        <f>17000+178.31+800</f>
        <v>17978.310000000001</v>
      </c>
      <c r="I37" s="442">
        <f>17000+178.31+1098.6</f>
        <v>18276.91</v>
      </c>
      <c r="J37" s="442">
        <f>17000+178.31+1098.6</f>
        <v>18276.91</v>
      </c>
      <c r="K37" s="442">
        <f>17000+178.31+1831</f>
        <v>19009.310000000001</v>
      </c>
      <c r="L37" s="442"/>
      <c r="M37" s="442">
        <f>17000+178.31+1831</f>
        <v>19009.310000000001</v>
      </c>
      <c r="N37" s="442"/>
      <c r="O37" s="442">
        <f>17000+178.31+1831</f>
        <v>19009.310000000001</v>
      </c>
      <c r="P37" s="442"/>
      <c r="Q37" s="442">
        <f>17000+178.31+1831</f>
        <v>19009.310000000001</v>
      </c>
      <c r="R37" s="442"/>
      <c r="S37" s="442">
        <f>17000+178.31+1831</f>
        <v>19009.310000000001</v>
      </c>
      <c r="T37" s="442"/>
      <c r="U37" s="442">
        <f>17000+178.31+1831</f>
        <v>19009.310000000001</v>
      </c>
      <c r="V37" s="442"/>
      <c r="W37" s="442">
        <f>17000+178.31+1831</f>
        <v>19009.310000000001</v>
      </c>
      <c r="X37" s="442"/>
      <c r="Y37" s="442">
        <f>17000+178.31+1831</f>
        <v>19009.310000000001</v>
      </c>
      <c r="Z37" s="442">
        <v>0</v>
      </c>
    </row>
    <row r="38" spans="1:26" ht="13.8" x14ac:dyDescent="0.3">
      <c r="A38" s="416" t="s">
        <v>661</v>
      </c>
      <c r="C38" s="442">
        <v>0</v>
      </c>
      <c r="D38" s="442">
        <v>0</v>
      </c>
      <c r="E38" s="442">
        <v>0</v>
      </c>
      <c r="F38" s="442">
        <v>0</v>
      </c>
      <c r="G38" s="442">
        <v>0</v>
      </c>
      <c r="H38" s="442">
        <v>0</v>
      </c>
      <c r="I38" s="442">
        <v>0</v>
      </c>
      <c r="J38" s="442">
        <v>0</v>
      </c>
      <c r="K38" s="442">
        <v>0</v>
      </c>
      <c r="L38" s="442">
        <v>0</v>
      </c>
      <c r="M38" s="442">
        <v>0</v>
      </c>
      <c r="N38" s="442">
        <v>0</v>
      </c>
      <c r="O38" s="442">
        <v>0</v>
      </c>
      <c r="P38" s="442">
        <v>0</v>
      </c>
      <c r="Q38" s="442">
        <v>0</v>
      </c>
      <c r="R38" s="442">
        <v>0</v>
      </c>
      <c r="S38" s="442">
        <v>0</v>
      </c>
      <c r="T38" s="442">
        <v>0</v>
      </c>
      <c r="U38" s="442">
        <v>0</v>
      </c>
      <c r="V38" s="442">
        <v>0</v>
      </c>
      <c r="W38" s="442">
        <v>0</v>
      </c>
      <c r="X38" s="442">
        <v>0</v>
      </c>
      <c r="Y38" s="442">
        <v>0</v>
      </c>
      <c r="Z38" s="442">
        <v>0</v>
      </c>
    </row>
    <row r="39" spans="1:26" ht="13.8" x14ac:dyDescent="0.3">
      <c r="A39" s="416" t="s">
        <v>60</v>
      </c>
      <c r="C39" s="442">
        <f>2150+850+250+5000</f>
        <v>8250</v>
      </c>
      <c r="D39" s="442">
        <f>2150+857.07+250+2795.79</f>
        <v>6052.8600000000006</v>
      </c>
      <c r="E39" s="442">
        <f>2150+850+250+5000</f>
        <v>8250</v>
      </c>
      <c r="F39" s="442">
        <f>2150+850+250+3000+1000+1822.82</f>
        <v>9072.82</v>
      </c>
      <c r="G39" s="442">
        <f>2150+850+250+5000</f>
        <v>8250</v>
      </c>
      <c r="H39" s="442">
        <f>1100+826.94+250+2844.98</f>
        <v>5021.92</v>
      </c>
      <c r="I39" s="442">
        <f>2150+850+250+5000</f>
        <v>8250</v>
      </c>
      <c r="J39" s="442">
        <f>2100+826.94+250+3393.01+161.39</f>
        <v>6731.3400000000011</v>
      </c>
      <c r="K39" s="442">
        <f>2150+850+250+5000</f>
        <v>8250</v>
      </c>
      <c r="L39" s="442"/>
      <c r="M39" s="442">
        <f>2150+850+250+5000</f>
        <v>8250</v>
      </c>
      <c r="N39" s="442"/>
      <c r="O39" s="442">
        <f>2150+850+250+5000</f>
        <v>8250</v>
      </c>
      <c r="P39" s="442"/>
      <c r="Q39" s="442">
        <f>2150+850+250+5000</f>
        <v>8250</v>
      </c>
      <c r="R39" s="442"/>
      <c r="S39" s="442">
        <f>2150+850+250+5000</f>
        <v>8250</v>
      </c>
      <c r="T39" s="442"/>
      <c r="U39" s="442">
        <f>2150+850+250+5000</f>
        <v>8250</v>
      </c>
      <c r="V39" s="442"/>
      <c r="W39" s="442">
        <f>2150+850+250+5000</f>
        <v>8250</v>
      </c>
      <c r="X39" s="442"/>
      <c r="Y39" s="442">
        <f>2150+850+250+5000</f>
        <v>8250</v>
      </c>
      <c r="Z39" s="442">
        <v>0</v>
      </c>
    </row>
    <row r="40" spans="1:26" ht="13.8" x14ac:dyDescent="0.3">
      <c r="A40" s="416" t="s">
        <v>61</v>
      </c>
      <c r="C40" s="442">
        <v>200</v>
      </c>
      <c r="D40" s="442">
        <v>200</v>
      </c>
      <c r="E40" s="442">
        <v>200</v>
      </c>
      <c r="F40" s="442">
        <v>200</v>
      </c>
      <c r="G40" s="442">
        <v>200</v>
      </c>
      <c r="H40" s="442">
        <f>200+500</f>
        <v>700</v>
      </c>
      <c r="I40" s="442">
        <f>200+250</f>
        <v>450</v>
      </c>
      <c r="J40" s="442">
        <f>200+250+149</f>
        <v>599</v>
      </c>
      <c r="K40" s="442">
        <v>200</v>
      </c>
      <c r="L40" s="442"/>
      <c r="M40" s="442">
        <v>200</v>
      </c>
      <c r="N40" s="442"/>
      <c r="O40" s="442">
        <v>200</v>
      </c>
      <c r="P40" s="442"/>
      <c r="Q40" s="442">
        <v>200</v>
      </c>
      <c r="R40" s="442"/>
      <c r="S40" s="442">
        <v>200</v>
      </c>
      <c r="T40" s="442"/>
      <c r="U40" s="442">
        <v>200</v>
      </c>
      <c r="V40" s="442"/>
      <c r="W40" s="442">
        <v>200</v>
      </c>
      <c r="X40" s="442"/>
      <c r="Y40" s="442">
        <v>200</v>
      </c>
      <c r="Z40" s="442">
        <v>0</v>
      </c>
    </row>
    <row r="41" spans="1:26" ht="13.8" x14ac:dyDescent="0.3">
      <c r="A41" s="416" t="s">
        <v>662</v>
      </c>
      <c r="C41" s="442">
        <v>90000</v>
      </c>
      <c r="D41" s="442">
        <v>0</v>
      </c>
      <c r="E41" s="442">
        <v>90000</v>
      </c>
      <c r="F41" s="442">
        <v>3059.34</v>
      </c>
      <c r="G41" s="442">
        <v>90000</v>
      </c>
      <c r="H41" s="442">
        <v>10570.07</v>
      </c>
      <c r="I41" s="442">
        <v>98000</v>
      </c>
      <c r="J41" s="442">
        <v>30495.45</v>
      </c>
      <c r="K41" s="442">
        <v>98000</v>
      </c>
      <c r="L41" s="442"/>
      <c r="M41" s="442">
        <v>98000</v>
      </c>
      <c r="N41" s="442"/>
      <c r="O41" s="442">
        <v>105000</v>
      </c>
      <c r="P41" s="442"/>
      <c r="Q41" s="442">
        <v>105000</v>
      </c>
      <c r="R41" s="442"/>
      <c r="S41" s="442">
        <v>105000</v>
      </c>
      <c r="T41" s="442"/>
      <c r="U41" s="442">
        <v>113500</v>
      </c>
      <c r="V41" s="442"/>
      <c r="W41" s="442">
        <v>113500</v>
      </c>
      <c r="X41" s="442"/>
      <c r="Y41" s="442">
        <v>113500</v>
      </c>
      <c r="Z41" s="442">
        <v>0</v>
      </c>
    </row>
    <row r="42" spans="1:26" ht="13.8" x14ac:dyDescent="0.3">
      <c r="A42" s="416" t="s">
        <v>62</v>
      </c>
      <c r="C42" s="442">
        <v>0</v>
      </c>
      <c r="D42" s="442">
        <v>0</v>
      </c>
      <c r="E42" s="442">
        <v>0</v>
      </c>
      <c r="F42" s="442">
        <v>0</v>
      </c>
      <c r="G42" s="442">
        <v>0</v>
      </c>
      <c r="H42" s="442">
        <v>0</v>
      </c>
      <c r="I42" s="442">
        <v>0</v>
      </c>
      <c r="J42" s="442">
        <v>0</v>
      </c>
      <c r="K42" s="442">
        <v>0</v>
      </c>
      <c r="L42" s="442">
        <v>0</v>
      </c>
      <c r="M42" s="442">
        <v>0</v>
      </c>
      <c r="N42" s="442">
        <v>0</v>
      </c>
      <c r="O42" s="442">
        <v>0</v>
      </c>
      <c r="P42" s="442">
        <v>0</v>
      </c>
      <c r="Q42" s="442">
        <v>0</v>
      </c>
      <c r="R42" s="442">
        <v>0</v>
      </c>
      <c r="S42" s="442">
        <v>0</v>
      </c>
      <c r="T42" s="442">
        <v>0</v>
      </c>
      <c r="U42" s="442">
        <v>0</v>
      </c>
      <c r="V42" s="442">
        <v>0</v>
      </c>
      <c r="W42" s="442">
        <v>0</v>
      </c>
      <c r="X42" s="442">
        <v>0</v>
      </c>
      <c r="Y42" s="442">
        <v>0</v>
      </c>
      <c r="Z42" s="442">
        <v>0</v>
      </c>
    </row>
    <row r="43" spans="1:26" ht="13.8" x14ac:dyDescent="0.3">
      <c r="A43" s="416" t="s">
        <v>63</v>
      </c>
      <c r="C43" s="442">
        <v>0</v>
      </c>
      <c r="D43" s="442">
        <v>0</v>
      </c>
      <c r="E43" s="442">
        <v>0</v>
      </c>
      <c r="F43" s="442">
        <v>0</v>
      </c>
      <c r="G43" s="442">
        <v>0</v>
      </c>
      <c r="H43" s="442">
        <v>440</v>
      </c>
      <c r="I43" s="442">
        <v>0</v>
      </c>
      <c r="J43" s="442">
        <v>500</v>
      </c>
      <c r="K43" s="442">
        <v>0</v>
      </c>
      <c r="L43" s="442">
        <v>0</v>
      </c>
      <c r="M43" s="442">
        <v>0</v>
      </c>
      <c r="N43" s="442">
        <v>0</v>
      </c>
      <c r="O43" s="442">
        <v>0</v>
      </c>
      <c r="P43" s="442">
        <v>0</v>
      </c>
      <c r="Q43" s="442">
        <v>0</v>
      </c>
      <c r="R43" s="442">
        <v>0</v>
      </c>
      <c r="S43" s="442">
        <v>0</v>
      </c>
      <c r="T43" s="442">
        <v>0</v>
      </c>
      <c r="U43" s="442">
        <v>0</v>
      </c>
      <c r="V43" s="442">
        <v>0</v>
      </c>
      <c r="W43" s="442">
        <v>0</v>
      </c>
      <c r="X43" s="442">
        <v>0</v>
      </c>
      <c r="Y43" s="442">
        <v>0</v>
      </c>
      <c r="Z43" s="442">
        <v>0</v>
      </c>
    </row>
    <row r="44" spans="1:26" ht="13.8" x14ac:dyDescent="0.3">
      <c r="A44" s="416" t="s">
        <v>64</v>
      </c>
      <c r="C44" s="442">
        <v>0</v>
      </c>
      <c r="D44" s="442">
        <v>0</v>
      </c>
      <c r="E44" s="442">
        <v>0</v>
      </c>
      <c r="F44" s="442"/>
      <c r="G44" s="442">
        <v>0</v>
      </c>
      <c r="H44" s="442">
        <v>0</v>
      </c>
      <c r="I44" s="442">
        <v>0</v>
      </c>
      <c r="J44" s="442"/>
      <c r="K44" s="442">
        <v>0</v>
      </c>
      <c r="L44" s="442"/>
      <c r="M44" s="442">
        <v>0</v>
      </c>
      <c r="N44" s="442"/>
      <c r="O44" s="442">
        <v>0</v>
      </c>
      <c r="P44" s="442"/>
      <c r="Q44" s="442">
        <v>0</v>
      </c>
      <c r="R44" s="442"/>
      <c r="S44" s="442">
        <v>0</v>
      </c>
      <c r="T44" s="442"/>
      <c r="U44" s="442">
        <v>0</v>
      </c>
      <c r="V44" s="442"/>
      <c r="W44" s="442">
        <v>0</v>
      </c>
      <c r="X44" s="442"/>
      <c r="Y44" s="442">
        <v>0</v>
      </c>
      <c r="Z44" s="442">
        <v>0</v>
      </c>
    </row>
    <row r="45" spans="1:26" ht="13.8" x14ac:dyDescent="0.3">
      <c r="A45" s="416" t="s">
        <v>663</v>
      </c>
      <c r="C45" s="442">
        <v>13000</v>
      </c>
      <c r="D45" s="442">
        <v>8842.69</v>
      </c>
      <c r="E45" s="442">
        <v>13000</v>
      </c>
      <c r="F45" s="442">
        <f>68.72+8852.98</f>
        <v>8921.6999999999989</v>
      </c>
      <c r="G45" s="442">
        <v>13000</v>
      </c>
      <c r="H45" s="442">
        <v>10958.27</v>
      </c>
      <c r="I45" s="442">
        <v>15500</v>
      </c>
      <c r="J45" s="442">
        <v>11197.46</v>
      </c>
      <c r="K45" s="442">
        <v>15500</v>
      </c>
      <c r="L45" s="442"/>
      <c r="M45" s="442">
        <v>15500</v>
      </c>
      <c r="N45" s="442"/>
      <c r="O45" s="442">
        <v>18900</v>
      </c>
      <c r="P45" s="442"/>
      <c r="Q45" s="442">
        <v>18900</v>
      </c>
      <c r="R45" s="442"/>
      <c r="S45" s="442">
        <v>18900</v>
      </c>
      <c r="T45" s="442"/>
      <c r="U45" s="442">
        <v>23000</v>
      </c>
      <c r="V45" s="442"/>
      <c r="W45" s="442">
        <v>23000</v>
      </c>
      <c r="X45" s="442"/>
      <c r="Y45" s="442">
        <v>23000</v>
      </c>
      <c r="Z45" s="442">
        <v>0</v>
      </c>
    </row>
    <row r="46" spans="1:26" ht="13.8" x14ac:dyDescent="0.3">
      <c r="A46" s="416" t="s">
        <v>65</v>
      </c>
      <c r="C46" s="442">
        <v>0</v>
      </c>
      <c r="D46" s="442">
        <v>0</v>
      </c>
      <c r="E46" s="442">
        <v>0</v>
      </c>
      <c r="F46" s="442"/>
      <c r="G46" s="442">
        <v>0</v>
      </c>
      <c r="H46" s="442">
        <v>0</v>
      </c>
      <c r="I46" s="442">
        <v>0</v>
      </c>
      <c r="J46" s="442"/>
      <c r="K46" s="442">
        <v>0</v>
      </c>
      <c r="L46" s="442"/>
      <c r="M46" s="442">
        <v>0</v>
      </c>
      <c r="N46" s="442"/>
      <c r="O46" s="442">
        <v>0</v>
      </c>
      <c r="P46" s="442"/>
      <c r="Q46" s="442">
        <v>0</v>
      </c>
      <c r="R46" s="442"/>
      <c r="S46" s="442">
        <v>0</v>
      </c>
      <c r="T46" s="442"/>
      <c r="U46" s="442">
        <v>0</v>
      </c>
      <c r="V46" s="442"/>
      <c r="W46" s="442">
        <v>0</v>
      </c>
      <c r="X46" s="442"/>
      <c r="Y46" s="442">
        <v>0</v>
      </c>
      <c r="Z46" s="442">
        <v>0</v>
      </c>
    </row>
    <row r="47" spans="1:26" ht="13.8" x14ac:dyDescent="0.3">
      <c r="A47" s="416" t="s">
        <v>664</v>
      </c>
      <c r="C47" s="442">
        <f>(C31+C32)*0.26</f>
        <v>40820</v>
      </c>
      <c r="D47" s="442">
        <v>22834.91</v>
      </c>
      <c r="E47" s="442">
        <f>(E31+E32)*0.26</f>
        <v>40820</v>
      </c>
      <c r="F47" s="442">
        <v>32636.18</v>
      </c>
      <c r="G47" s="442">
        <f>(G31+G32)*0.26</f>
        <v>40820</v>
      </c>
      <c r="H47" s="442">
        <v>39540.71</v>
      </c>
      <c r="I47" s="442">
        <f>(I31+I32)*0.26</f>
        <v>44902</v>
      </c>
      <c r="J47" s="442">
        <f>25220.26+20695.89</f>
        <v>45916.149999999994</v>
      </c>
      <c r="K47" s="442">
        <f>(K31+K32)*0.26</f>
        <v>44902</v>
      </c>
      <c r="L47" s="442"/>
      <c r="M47" s="442">
        <f>(M31+M32)*0.26</f>
        <v>44902</v>
      </c>
      <c r="N47" s="442"/>
      <c r="O47" s="442">
        <f>(O31+O32)*0.26</f>
        <v>47596.12</v>
      </c>
      <c r="P47" s="442"/>
      <c r="Q47" s="442">
        <f>(Q31+Q32)*0.26</f>
        <v>47596.12</v>
      </c>
      <c r="R47" s="442"/>
      <c r="S47" s="442">
        <f>(S31+S32)*0.26</f>
        <v>47596.12</v>
      </c>
      <c r="T47" s="442"/>
      <c r="U47" s="442">
        <f>(U31+U32)*0.26</f>
        <v>49975.926000000007</v>
      </c>
      <c r="V47" s="442"/>
      <c r="W47" s="442">
        <f>(W31+W32)*0.26</f>
        <v>49975.926000000007</v>
      </c>
      <c r="X47" s="442"/>
      <c r="Y47" s="442">
        <f>(Y31+Y32)*0.26</f>
        <v>49975.926000000007</v>
      </c>
      <c r="Z47" s="442">
        <v>0</v>
      </c>
    </row>
    <row r="48" spans="1:26" ht="13.8" x14ac:dyDescent="0.3">
      <c r="A48" s="416" t="s">
        <v>665</v>
      </c>
      <c r="C48" s="442">
        <f>(C31+C32)*0.05</f>
        <v>7850</v>
      </c>
      <c r="D48" s="442">
        <v>16052.56</v>
      </c>
      <c r="E48" s="442">
        <f>(E31+E32)*0.05</f>
        <v>7850</v>
      </c>
      <c r="F48" s="442">
        <v>15713.91</v>
      </c>
      <c r="G48" s="442">
        <f>(G31+G32)*0.05</f>
        <v>7850</v>
      </c>
      <c r="H48" s="442">
        <v>16504.29</v>
      </c>
      <c r="I48" s="442">
        <f>(I31+I32)*0.05</f>
        <v>8635</v>
      </c>
      <c r="J48" s="442">
        <f>22130.3</f>
        <v>22130.3</v>
      </c>
      <c r="K48" s="442">
        <f>(K31+K32)*0.05</f>
        <v>8635</v>
      </c>
      <c r="L48" s="442"/>
      <c r="M48" s="442">
        <f>(M31+M32)*0.05</f>
        <v>8635</v>
      </c>
      <c r="N48" s="442"/>
      <c r="O48" s="442">
        <f>(O31+O32)*0.05</f>
        <v>9153.1</v>
      </c>
      <c r="P48" s="442"/>
      <c r="Q48" s="442">
        <f>(Q31+Q32)*0.05</f>
        <v>9153.1</v>
      </c>
      <c r="R48" s="442"/>
      <c r="S48" s="442">
        <f>(S31+S32)*0.05</f>
        <v>9153.1</v>
      </c>
      <c r="T48" s="442"/>
      <c r="U48" s="442">
        <f>(U31+U32)*0.05</f>
        <v>9610.755000000001</v>
      </c>
      <c r="V48" s="442"/>
      <c r="W48" s="442">
        <f>(W31+W32)*0.05</f>
        <v>9610.755000000001</v>
      </c>
      <c r="X48" s="442"/>
      <c r="Y48" s="442">
        <f>(Y31+Y32)*0.05</f>
        <v>9610.755000000001</v>
      </c>
      <c r="Z48" s="442">
        <v>0</v>
      </c>
    </row>
    <row r="49" spans="1:26" ht="13.8" x14ac:dyDescent="0.3">
      <c r="A49" s="415" t="s">
        <v>666</v>
      </c>
      <c r="C49" s="442">
        <v>0</v>
      </c>
      <c r="D49" s="442">
        <v>0</v>
      </c>
      <c r="E49" s="442">
        <v>0</v>
      </c>
      <c r="F49" s="442">
        <v>0</v>
      </c>
      <c r="G49" s="442">
        <v>0</v>
      </c>
      <c r="H49" s="442">
        <v>0</v>
      </c>
      <c r="I49" s="442">
        <v>0</v>
      </c>
      <c r="J49" s="442">
        <v>0</v>
      </c>
      <c r="K49" s="442">
        <v>0</v>
      </c>
      <c r="L49" s="442">
        <v>0</v>
      </c>
      <c r="M49" s="442">
        <v>0</v>
      </c>
      <c r="N49" s="442">
        <v>0</v>
      </c>
      <c r="O49" s="442">
        <v>0</v>
      </c>
      <c r="P49" s="442">
        <v>0</v>
      </c>
      <c r="Q49" s="442">
        <v>0</v>
      </c>
      <c r="R49" s="442">
        <v>0</v>
      </c>
      <c r="S49" s="442">
        <v>0</v>
      </c>
      <c r="T49" s="442">
        <v>0</v>
      </c>
      <c r="U49" s="442">
        <v>0</v>
      </c>
      <c r="V49" s="442">
        <v>0</v>
      </c>
      <c r="W49" s="442">
        <v>0</v>
      </c>
      <c r="X49" s="442">
        <v>0</v>
      </c>
      <c r="Y49" s="442">
        <v>0</v>
      </c>
      <c r="Z49" s="442">
        <v>0</v>
      </c>
    </row>
    <row r="50" spans="1:26" ht="14.4" thickBot="1" x14ac:dyDescent="0.35">
      <c r="A50" s="417" t="s">
        <v>667</v>
      </c>
      <c r="C50" s="418">
        <f t="shared" ref="C50:Z50" si="11">C29-C36</f>
        <v>24146.5</v>
      </c>
      <c r="D50" s="418">
        <f t="shared" si="11"/>
        <v>125409.35000000002</v>
      </c>
      <c r="E50" s="418">
        <f t="shared" si="11"/>
        <v>24146.5</v>
      </c>
      <c r="F50" s="418">
        <f t="shared" si="11"/>
        <v>80361.999999999971</v>
      </c>
      <c r="G50" s="418">
        <f t="shared" si="11"/>
        <v>24146.5</v>
      </c>
      <c r="H50" s="418">
        <f t="shared" si="11"/>
        <v>127304.9</v>
      </c>
      <c r="I50" s="418">
        <f t="shared" si="11"/>
        <v>33686.089999999997</v>
      </c>
      <c r="J50" s="418">
        <f t="shared" si="11"/>
        <v>115201.03000000003</v>
      </c>
      <c r="K50" s="418">
        <f t="shared" si="11"/>
        <v>33203.69</v>
      </c>
      <c r="L50" s="418">
        <f t="shared" si="11"/>
        <v>0</v>
      </c>
      <c r="M50" s="418">
        <f t="shared" si="11"/>
        <v>33203.69</v>
      </c>
      <c r="N50" s="418">
        <f t="shared" si="11"/>
        <v>0</v>
      </c>
      <c r="O50" s="418">
        <f t="shared" si="11"/>
        <v>33253.47</v>
      </c>
      <c r="P50" s="418">
        <f t="shared" si="11"/>
        <v>0</v>
      </c>
      <c r="Q50" s="418">
        <f t="shared" si="11"/>
        <v>33253.47</v>
      </c>
      <c r="R50" s="418">
        <f t="shared" si="11"/>
        <v>0</v>
      </c>
      <c r="S50" s="418">
        <f t="shared" si="11"/>
        <v>33253.47</v>
      </c>
      <c r="T50" s="418">
        <f t="shared" si="11"/>
        <v>0</v>
      </c>
      <c r="U50" s="418">
        <f t="shared" si="11"/>
        <v>29884.108999999997</v>
      </c>
      <c r="V50" s="418">
        <f t="shared" si="11"/>
        <v>0</v>
      </c>
      <c r="W50" s="418">
        <f t="shared" si="11"/>
        <v>29884.108999999997</v>
      </c>
      <c r="X50" s="418">
        <f t="shared" si="11"/>
        <v>0</v>
      </c>
      <c r="Y50" s="418">
        <f t="shared" si="11"/>
        <v>29884.108999999997</v>
      </c>
      <c r="Z50" s="418">
        <f t="shared" si="11"/>
        <v>0</v>
      </c>
    </row>
    <row r="53" spans="1:26" ht="13.8" x14ac:dyDescent="0.3">
      <c r="A53" s="407" t="s">
        <v>652</v>
      </c>
      <c r="C53" s="204" t="s">
        <v>690</v>
      </c>
      <c r="D53" s="204" t="s">
        <v>55</v>
      </c>
      <c r="E53" s="204" t="s">
        <v>690</v>
      </c>
      <c r="F53" s="204" t="s">
        <v>55</v>
      </c>
      <c r="G53" s="204" t="s">
        <v>690</v>
      </c>
      <c r="H53" s="204" t="s">
        <v>55</v>
      </c>
      <c r="I53" s="204" t="s">
        <v>690</v>
      </c>
      <c r="J53" s="204" t="s">
        <v>55</v>
      </c>
      <c r="K53" s="204" t="s">
        <v>690</v>
      </c>
      <c r="L53" s="204" t="s">
        <v>55</v>
      </c>
      <c r="M53" s="204" t="s">
        <v>690</v>
      </c>
      <c r="N53" s="204" t="s">
        <v>55</v>
      </c>
      <c r="O53" s="204" t="s">
        <v>690</v>
      </c>
      <c r="P53" s="204" t="s">
        <v>55</v>
      </c>
      <c r="Q53" s="204" t="s">
        <v>690</v>
      </c>
      <c r="R53" s="204" t="s">
        <v>55</v>
      </c>
      <c r="S53" s="204" t="s">
        <v>690</v>
      </c>
      <c r="T53" s="204" t="s">
        <v>55</v>
      </c>
      <c r="U53" s="204" t="s">
        <v>690</v>
      </c>
      <c r="V53" s="204" t="s">
        <v>55</v>
      </c>
      <c r="W53" s="204" t="s">
        <v>690</v>
      </c>
      <c r="X53" s="204" t="s">
        <v>55</v>
      </c>
      <c r="Y53" s="204" t="s">
        <v>690</v>
      </c>
      <c r="Z53" s="204" t="s">
        <v>55</v>
      </c>
    </row>
    <row r="54" spans="1:26" ht="13.8" x14ac:dyDescent="0.3">
      <c r="C54" s="408">
        <v>46023</v>
      </c>
      <c r="D54" s="408">
        <v>46023</v>
      </c>
      <c r="E54" s="409">
        <v>46054</v>
      </c>
      <c r="F54" s="409">
        <v>46054</v>
      </c>
      <c r="G54" s="408">
        <v>46082</v>
      </c>
      <c r="H54" s="408">
        <v>46082</v>
      </c>
      <c r="I54" s="409">
        <v>46113</v>
      </c>
      <c r="J54" s="409">
        <v>46113</v>
      </c>
      <c r="K54" s="408">
        <v>46143</v>
      </c>
      <c r="L54" s="408">
        <v>46143</v>
      </c>
      <c r="M54" s="409">
        <v>46174</v>
      </c>
      <c r="N54" s="409">
        <v>46174</v>
      </c>
      <c r="O54" s="408">
        <v>46204</v>
      </c>
      <c r="P54" s="408">
        <v>46204</v>
      </c>
      <c r="Q54" s="409">
        <v>46235</v>
      </c>
      <c r="R54" s="409">
        <v>46235</v>
      </c>
      <c r="S54" s="408">
        <v>46266</v>
      </c>
      <c r="T54" s="408">
        <v>46266</v>
      </c>
      <c r="U54" s="409">
        <v>46296</v>
      </c>
      <c r="V54" s="409">
        <v>46296</v>
      </c>
      <c r="W54" s="408">
        <v>46327</v>
      </c>
      <c r="X54" s="408">
        <v>46327</v>
      </c>
      <c r="Y54" s="409">
        <v>46357</v>
      </c>
      <c r="Z54" s="409">
        <v>46357</v>
      </c>
    </row>
    <row r="55" spans="1:26" ht="13.8" x14ac:dyDescent="0.3">
      <c r="A55" s="411" t="s">
        <v>5</v>
      </c>
      <c r="C55" s="412">
        <f t="shared" ref="C55:Z55" si="12">SUM(C56:C57)</f>
        <v>7500</v>
      </c>
      <c r="D55" s="412">
        <f t="shared" si="12"/>
        <v>2706</v>
      </c>
      <c r="E55" s="412">
        <f t="shared" si="12"/>
        <v>7500</v>
      </c>
      <c r="F55" s="412">
        <f t="shared" si="12"/>
        <v>3774.1</v>
      </c>
      <c r="G55" s="412">
        <f t="shared" si="12"/>
        <v>7500</v>
      </c>
      <c r="H55" s="412">
        <f t="shared" si="12"/>
        <v>3913</v>
      </c>
      <c r="I55" s="412">
        <f t="shared" si="12"/>
        <v>3913</v>
      </c>
      <c r="J55" s="412">
        <f t="shared" si="12"/>
        <v>3918</v>
      </c>
      <c r="K55" s="412">
        <f t="shared" si="12"/>
        <v>8250</v>
      </c>
      <c r="L55" s="412">
        <f t="shared" si="12"/>
        <v>0</v>
      </c>
      <c r="M55" s="412">
        <f t="shared" si="12"/>
        <v>8250</v>
      </c>
      <c r="N55" s="412">
        <f t="shared" si="12"/>
        <v>0</v>
      </c>
      <c r="O55" s="412">
        <f t="shared" si="12"/>
        <v>8745</v>
      </c>
      <c r="P55" s="412">
        <f t="shared" si="12"/>
        <v>0</v>
      </c>
      <c r="Q55" s="412">
        <f t="shared" si="12"/>
        <v>8745</v>
      </c>
      <c r="R55" s="412">
        <f t="shared" si="12"/>
        <v>0</v>
      </c>
      <c r="S55" s="412">
        <f t="shared" si="12"/>
        <v>8745</v>
      </c>
      <c r="T55" s="412">
        <f t="shared" si="12"/>
        <v>0</v>
      </c>
      <c r="U55" s="412">
        <f t="shared" si="12"/>
        <v>9182.25</v>
      </c>
      <c r="V55" s="412">
        <f t="shared" si="12"/>
        <v>0</v>
      </c>
      <c r="W55" s="412">
        <f t="shared" si="12"/>
        <v>9182.25</v>
      </c>
      <c r="X55" s="412">
        <f t="shared" si="12"/>
        <v>0</v>
      </c>
      <c r="Y55" s="412">
        <f t="shared" si="12"/>
        <v>9182.25</v>
      </c>
      <c r="Z55" s="412">
        <f t="shared" si="12"/>
        <v>0</v>
      </c>
    </row>
    <row r="56" spans="1:26" ht="13.8" x14ac:dyDescent="0.3">
      <c r="A56" s="32" t="s">
        <v>656</v>
      </c>
      <c r="C56" s="432">
        <v>7500</v>
      </c>
      <c r="D56" s="432">
        <v>2706</v>
      </c>
      <c r="E56" s="432">
        <v>7500</v>
      </c>
      <c r="F56" s="432">
        <f>3556.2+217.9</f>
        <v>3774.1</v>
      </c>
      <c r="G56" s="432">
        <v>7500</v>
      </c>
      <c r="H56" s="432">
        <v>3913</v>
      </c>
      <c r="I56" s="432">
        <v>3913</v>
      </c>
      <c r="J56" s="432">
        <v>3918</v>
      </c>
      <c r="K56" s="432">
        <v>8250</v>
      </c>
      <c r="L56" s="432"/>
      <c r="M56" s="432">
        <v>8250</v>
      </c>
      <c r="N56" s="432"/>
      <c r="O56" s="432">
        <f t="shared" ref="O56:O57" si="13">M56*0.06+M56</f>
        <v>8745</v>
      </c>
      <c r="P56" s="432"/>
      <c r="Q56" s="432">
        <v>8745</v>
      </c>
      <c r="R56" s="432"/>
      <c r="S56" s="432">
        <v>8745</v>
      </c>
      <c r="T56" s="432"/>
      <c r="U56" s="432">
        <f t="shared" ref="U56:U57" si="14">S56*0.05+S56</f>
        <v>9182.25</v>
      </c>
      <c r="V56" s="432"/>
      <c r="W56" s="432">
        <v>9182.25</v>
      </c>
      <c r="X56" s="432"/>
      <c r="Y56" s="432">
        <v>9182.25</v>
      </c>
      <c r="Z56" s="432">
        <v>0</v>
      </c>
    </row>
    <row r="57" spans="1:26" ht="13.8" x14ac:dyDescent="0.3">
      <c r="A57" s="32" t="s">
        <v>660</v>
      </c>
      <c r="C57" s="432">
        <v>0</v>
      </c>
      <c r="D57" s="432">
        <v>0</v>
      </c>
      <c r="E57" s="432">
        <v>0</v>
      </c>
      <c r="F57" s="432"/>
      <c r="G57" s="432">
        <v>0</v>
      </c>
      <c r="H57" s="432"/>
      <c r="I57" s="432">
        <f t="shared" ref="I57" si="15">G57*0.1+G57</f>
        <v>0</v>
      </c>
      <c r="J57" s="432"/>
      <c r="K57" s="432">
        <v>0</v>
      </c>
      <c r="L57" s="432"/>
      <c r="M57" s="432">
        <v>0</v>
      </c>
      <c r="N57" s="432"/>
      <c r="O57" s="432">
        <f t="shared" si="13"/>
        <v>0</v>
      </c>
      <c r="P57" s="432"/>
      <c r="Q57" s="432">
        <v>0</v>
      </c>
      <c r="R57" s="432"/>
      <c r="S57" s="432">
        <v>0</v>
      </c>
      <c r="T57" s="432"/>
      <c r="U57" s="432">
        <f t="shared" si="14"/>
        <v>0</v>
      </c>
      <c r="V57" s="432"/>
      <c r="W57" s="432">
        <v>0</v>
      </c>
      <c r="X57" s="432"/>
      <c r="Y57" s="432">
        <v>0</v>
      </c>
      <c r="Z57" s="432">
        <v>0</v>
      </c>
    </row>
    <row r="58" spans="1:26" ht="13.8" x14ac:dyDescent="0.3">
      <c r="A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</row>
    <row r="59" spans="1:26" ht="14.4" thickBot="1" x14ac:dyDescent="0.35">
      <c r="C59" s="31"/>
      <c r="D59" s="31"/>
      <c r="E59" s="207"/>
      <c r="F59" s="207"/>
      <c r="G59" s="33"/>
      <c r="H59" s="33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3.8" x14ac:dyDescent="0.3">
      <c r="A60" s="414" t="s">
        <v>58</v>
      </c>
      <c r="C60" s="443">
        <f>SUM(C61:C73)</f>
        <v>2250</v>
      </c>
      <c r="D60" s="443">
        <f t="shared" ref="D60:Z60" si="16">SUM(D61:D73)</f>
        <v>578</v>
      </c>
      <c r="E60" s="443">
        <f t="shared" si="16"/>
        <v>2250</v>
      </c>
      <c r="F60" s="443">
        <f t="shared" si="16"/>
        <v>1002.38</v>
      </c>
      <c r="G60" s="443">
        <f t="shared" si="16"/>
        <v>2250</v>
      </c>
      <c r="H60" s="443">
        <f t="shared" si="16"/>
        <v>1205.54</v>
      </c>
      <c r="I60" s="443">
        <f t="shared" si="16"/>
        <v>1173.9000000000001</v>
      </c>
      <c r="J60" s="443">
        <f t="shared" si="16"/>
        <v>1404.5</v>
      </c>
      <c r="K60" s="443">
        <f t="shared" si="16"/>
        <v>2475</v>
      </c>
      <c r="L60" s="443">
        <f t="shared" si="16"/>
        <v>0</v>
      </c>
      <c r="M60" s="443">
        <f t="shared" si="16"/>
        <v>2475</v>
      </c>
      <c r="N60" s="443">
        <f t="shared" si="16"/>
        <v>0</v>
      </c>
      <c r="O60" s="443">
        <f t="shared" si="16"/>
        <v>2623.5</v>
      </c>
      <c r="P60" s="443">
        <f t="shared" si="16"/>
        <v>0</v>
      </c>
      <c r="Q60" s="443">
        <f t="shared" si="16"/>
        <v>2623.5</v>
      </c>
      <c r="R60" s="443">
        <f t="shared" si="16"/>
        <v>0</v>
      </c>
      <c r="S60" s="443">
        <f t="shared" si="16"/>
        <v>2623.5</v>
      </c>
      <c r="T60" s="443">
        <f t="shared" si="16"/>
        <v>0</v>
      </c>
      <c r="U60" s="443">
        <f t="shared" si="16"/>
        <v>2754.6750000000002</v>
      </c>
      <c r="V60" s="443">
        <f t="shared" si="16"/>
        <v>0</v>
      </c>
      <c r="W60" s="443">
        <f t="shared" si="16"/>
        <v>2754.6750000000002</v>
      </c>
      <c r="X60" s="443">
        <f t="shared" si="16"/>
        <v>0</v>
      </c>
      <c r="Y60" s="443">
        <f t="shared" si="16"/>
        <v>2754.6750000000002</v>
      </c>
      <c r="Z60" s="441">
        <f t="shared" si="16"/>
        <v>0</v>
      </c>
    </row>
    <row r="61" spans="1:26" ht="13.8" x14ac:dyDescent="0.3">
      <c r="A61" s="415" t="s">
        <v>59</v>
      </c>
      <c r="C61" s="442">
        <v>0</v>
      </c>
      <c r="D61" s="442">
        <v>0</v>
      </c>
      <c r="E61" s="442">
        <v>0</v>
      </c>
      <c r="F61" s="442">
        <v>0</v>
      </c>
      <c r="G61" s="442">
        <v>0</v>
      </c>
      <c r="H61" s="442">
        <v>0</v>
      </c>
      <c r="I61" s="442">
        <v>0</v>
      </c>
      <c r="J61" s="442">
        <v>0</v>
      </c>
      <c r="K61" s="442">
        <v>0</v>
      </c>
      <c r="L61" s="442">
        <v>0</v>
      </c>
      <c r="M61" s="442">
        <v>0</v>
      </c>
      <c r="N61" s="442">
        <v>0</v>
      </c>
      <c r="O61" s="442">
        <v>0</v>
      </c>
      <c r="P61" s="442">
        <v>0</v>
      </c>
      <c r="Q61" s="442">
        <v>0</v>
      </c>
      <c r="R61" s="442">
        <v>0</v>
      </c>
      <c r="S61" s="442">
        <v>0</v>
      </c>
      <c r="T61" s="442">
        <v>0</v>
      </c>
      <c r="U61" s="442">
        <v>0</v>
      </c>
      <c r="V61" s="442">
        <v>0</v>
      </c>
      <c r="W61" s="442">
        <v>0</v>
      </c>
      <c r="X61" s="442">
        <v>0</v>
      </c>
      <c r="Y61" s="442">
        <v>0</v>
      </c>
      <c r="Z61" s="442">
        <v>0</v>
      </c>
    </row>
    <row r="62" spans="1:26" ht="13.8" x14ac:dyDescent="0.3">
      <c r="A62" s="416" t="s">
        <v>661</v>
      </c>
      <c r="C62" s="442">
        <v>0</v>
      </c>
      <c r="D62" s="442">
        <v>0</v>
      </c>
      <c r="E62" s="442">
        <v>0</v>
      </c>
      <c r="F62" s="442">
        <v>0</v>
      </c>
      <c r="G62" s="442">
        <v>0</v>
      </c>
      <c r="H62" s="442">
        <v>0</v>
      </c>
      <c r="I62" s="442">
        <v>0</v>
      </c>
      <c r="J62" s="442">
        <v>0</v>
      </c>
      <c r="K62" s="442">
        <v>0</v>
      </c>
      <c r="L62" s="442">
        <v>0</v>
      </c>
      <c r="M62" s="442">
        <v>0</v>
      </c>
      <c r="N62" s="442">
        <v>0</v>
      </c>
      <c r="O62" s="442">
        <v>0</v>
      </c>
      <c r="P62" s="442">
        <v>0</v>
      </c>
      <c r="Q62" s="442">
        <v>0</v>
      </c>
      <c r="R62" s="442">
        <v>0</v>
      </c>
      <c r="S62" s="442">
        <v>0</v>
      </c>
      <c r="T62" s="442">
        <v>0</v>
      </c>
      <c r="U62" s="442">
        <v>0</v>
      </c>
      <c r="V62" s="442">
        <v>0</v>
      </c>
      <c r="W62" s="442">
        <v>0</v>
      </c>
      <c r="X62" s="442">
        <v>0</v>
      </c>
      <c r="Y62" s="442">
        <v>0</v>
      </c>
      <c r="Z62" s="442">
        <v>0</v>
      </c>
    </row>
    <row r="63" spans="1:26" ht="13.8" x14ac:dyDescent="0.3">
      <c r="A63" s="416" t="s">
        <v>60</v>
      </c>
      <c r="C63" s="442">
        <v>0</v>
      </c>
      <c r="D63" s="442">
        <v>0</v>
      </c>
      <c r="E63" s="442">
        <v>0</v>
      </c>
      <c r="F63" s="442">
        <v>0</v>
      </c>
      <c r="G63" s="442">
        <v>0</v>
      </c>
      <c r="H63" s="442">
        <v>0</v>
      </c>
      <c r="I63" s="442">
        <v>0</v>
      </c>
      <c r="J63" s="442">
        <v>0</v>
      </c>
      <c r="K63" s="442">
        <v>0</v>
      </c>
      <c r="L63" s="442">
        <v>0</v>
      </c>
      <c r="M63" s="442">
        <v>0</v>
      </c>
      <c r="N63" s="442">
        <v>0</v>
      </c>
      <c r="O63" s="442">
        <v>0</v>
      </c>
      <c r="P63" s="442">
        <v>0</v>
      </c>
      <c r="Q63" s="442">
        <v>0</v>
      </c>
      <c r="R63" s="442">
        <v>0</v>
      </c>
      <c r="S63" s="442">
        <v>0</v>
      </c>
      <c r="T63" s="442">
        <v>0</v>
      </c>
      <c r="U63" s="442">
        <v>0</v>
      </c>
      <c r="V63" s="442">
        <v>0</v>
      </c>
      <c r="W63" s="442">
        <v>0</v>
      </c>
      <c r="X63" s="442">
        <v>0</v>
      </c>
      <c r="Y63" s="442">
        <v>0</v>
      </c>
      <c r="Z63" s="442">
        <v>0</v>
      </c>
    </row>
    <row r="64" spans="1:26" ht="13.8" x14ac:dyDescent="0.3">
      <c r="A64" s="416" t="s">
        <v>61</v>
      </c>
      <c r="C64" s="442">
        <v>0</v>
      </c>
      <c r="D64" s="442">
        <v>0</v>
      </c>
      <c r="E64" s="442">
        <v>0</v>
      </c>
      <c r="F64" s="442">
        <v>0</v>
      </c>
      <c r="G64" s="442">
        <v>0</v>
      </c>
      <c r="H64" s="442">
        <v>0</v>
      </c>
      <c r="I64" s="442">
        <v>0</v>
      </c>
      <c r="J64" s="442">
        <v>0</v>
      </c>
      <c r="K64" s="442">
        <v>0</v>
      </c>
      <c r="L64" s="442">
        <v>0</v>
      </c>
      <c r="M64" s="442">
        <v>0</v>
      </c>
      <c r="N64" s="442">
        <v>0</v>
      </c>
      <c r="O64" s="442">
        <v>0</v>
      </c>
      <c r="P64" s="442">
        <v>0</v>
      </c>
      <c r="Q64" s="442">
        <v>0</v>
      </c>
      <c r="R64" s="442">
        <v>0</v>
      </c>
      <c r="S64" s="442">
        <v>0</v>
      </c>
      <c r="T64" s="442">
        <v>0</v>
      </c>
      <c r="U64" s="442">
        <v>0</v>
      </c>
      <c r="V64" s="442">
        <v>0</v>
      </c>
      <c r="W64" s="442">
        <v>0</v>
      </c>
      <c r="X64" s="442">
        <v>0</v>
      </c>
      <c r="Y64" s="442">
        <v>0</v>
      </c>
      <c r="Z64" s="442">
        <v>0</v>
      </c>
    </row>
    <row r="65" spans="1:26" ht="13.8" x14ac:dyDescent="0.3">
      <c r="A65" s="416" t="s">
        <v>662</v>
      </c>
      <c r="C65" s="442">
        <v>0</v>
      </c>
      <c r="D65" s="442">
        <v>0</v>
      </c>
      <c r="E65" s="442">
        <v>0</v>
      </c>
      <c r="F65" s="442">
        <v>0</v>
      </c>
      <c r="G65" s="442">
        <v>0</v>
      </c>
      <c r="H65" s="442">
        <v>0</v>
      </c>
      <c r="I65" s="442">
        <v>0</v>
      </c>
      <c r="J65" s="442">
        <v>0</v>
      </c>
      <c r="K65" s="442">
        <v>0</v>
      </c>
      <c r="L65" s="442">
        <v>0</v>
      </c>
      <c r="M65" s="442">
        <v>0</v>
      </c>
      <c r="N65" s="442">
        <v>0</v>
      </c>
      <c r="O65" s="442">
        <v>0</v>
      </c>
      <c r="P65" s="442">
        <v>0</v>
      </c>
      <c r="Q65" s="442">
        <v>0</v>
      </c>
      <c r="R65" s="442">
        <v>0</v>
      </c>
      <c r="S65" s="442">
        <v>0</v>
      </c>
      <c r="T65" s="442">
        <v>0</v>
      </c>
      <c r="U65" s="442">
        <v>0</v>
      </c>
      <c r="V65" s="442">
        <v>0</v>
      </c>
      <c r="W65" s="442">
        <v>0</v>
      </c>
      <c r="X65" s="442">
        <v>0</v>
      </c>
      <c r="Y65" s="442">
        <v>0</v>
      </c>
      <c r="Z65" s="442">
        <v>0</v>
      </c>
    </row>
    <row r="66" spans="1:26" ht="13.8" x14ac:dyDescent="0.3">
      <c r="A66" s="416" t="s">
        <v>62</v>
      </c>
      <c r="C66" s="442">
        <v>0</v>
      </c>
      <c r="D66" s="442">
        <v>0</v>
      </c>
      <c r="E66" s="442">
        <v>0</v>
      </c>
      <c r="F66" s="442">
        <v>0</v>
      </c>
      <c r="G66" s="442">
        <v>0</v>
      </c>
      <c r="H66" s="442">
        <v>0</v>
      </c>
      <c r="I66" s="442">
        <v>0</v>
      </c>
      <c r="J66" s="442">
        <v>0</v>
      </c>
      <c r="K66" s="442">
        <v>0</v>
      </c>
      <c r="L66" s="442">
        <v>0</v>
      </c>
      <c r="M66" s="442">
        <v>0</v>
      </c>
      <c r="N66" s="442">
        <v>0</v>
      </c>
      <c r="O66" s="442">
        <v>0</v>
      </c>
      <c r="P66" s="442">
        <v>0</v>
      </c>
      <c r="Q66" s="442">
        <v>0</v>
      </c>
      <c r="R66" s="442">
        <v>0</v>
      </c>
      <c r="S66" s="442">
        <v>0</v>
      </c>
      <c r="T66" s="442">
        <v>0</v>
      </c>
      <c r="U66" s="442">
        <v>0</v>
      </c>
      <c r="V66" s="442">
        <v>0</v>
      </c>
      <c r="W66" s="442">
        <v>0</v>
      </c>
      <c r="X66" s="442">
        <v>0</v>
      </c>
      <c r="Y66" s="442">
        <v>0</v>
      </c>
      <c r="Z66" s="442">
        <v>0</v>
      </c>
    </row>
    <row r="67" spans="1:26" ht="13.8" x14ac:dyDescent="0.3">
      <c r="A67" s="416" t="s">
        <v>63</v>
      </c>
      <c r="C67" s="442">
        <v>0</v>
      </c>
      <c r="D67" s="442">
        <v>0</v>
      </c>
      <c r="E67" s="442">
        <v>0</v>
      </c>
      <c r="F67" s="442">
        <v>0</v>
      </c>
      <c r="G67" s="442">
        <v>0</v>
      </c>
      <c r="H67" s="442">
        <v>0</v>
      </c>
      <c r="I67" s="442">
        <v>0</v>
      </c>
      <c r="J67" s="442">
        <v>0</v>
      </c>
      <c r="K67" s="442">
        <v>0</v>
      </c>
      <c r="L67" s="442">
        <v>0</v>
      </c>
      <c r="M67" s="442">
        <v>0</v>
      </c>
      <c r="N67" s="442">
        <v>0</v>
      </c>
      <c r="O67" s="442">
        <v>0</v>
      </c>
      <c r="P67" s="442">
        <v>0</v>
      </c>
      <c r="Q67" s="442">
        <v>0</v>
      </c>
      <c r="R67" s="442">
        <v>0</v>
      </c>
      <c r="S67" s="442">
        <v>0</v>
      </c>
      <c r="T67" s="442">
        <v>0</v>
      </c>
      <c r="U67" s="442">
        <v>0</v>
      </c>
      <c r="V67" s="442">
        <v>0</v>
      </c>
      <c r="W67" s="442">
        <v>0</v>
      </c>
      <c r="X67" s="442">
        <v>0</v>
      </c>
      <c r="Y67" s="442">
        <v>0</v>
      </c>
      <c r="Z67" s="442">
        <v>0</v>
      </c>
    </row>
    <row r="68" spans="1:26" ht="13.8" x14ac:dyDescent="0.3">
      <c r="A68" s="416" t="s">
        <v>64</v>
      </c>
      <c r="C68" s="442">
        <v>0</v>
      </c>
      <c r="D68" s="442">
        <v>0</v>
      </c>
      <c r="E68" s="442">
        <v>0</v>
      </c>
      <c r="F68" s="442">
        <v>0</v>
      </c>
      <c r="G68" s="442">
        <v>0</v>
      </c>
      <c r="H68" s="442">
        <v>0</v>
      </c>
      <c r="I68" s="442">
        <v>0</v>
      </c>
      <c r="J68" s="442">
        <v>0</v>
      </c>
      <c r="K68" s="442">
        <v>0</v>
      </c>
      <c r="L68" s="442">
        <v>0</v>
      </c>
      <c r="M68" s="442">
        <v>0</v>
      </c>
      <c r="N68" s="442">
        <v>0</v>
      </c>
      <c r="O68" s="442">
        <v>0</v>
      </c>
      <c r="P68" s="442">
        <v>0</v>
      </c>
      <c r="Q68" s="442">
        <v>0</v>
      </c>
      <c r="R68" s="442">
        <v>0</v>
      </c>
      <c r="S68" s="442">
        <v>0</v>
      </c>
      <c r="T68" s="442">
        <v>0</v>
      </c>
      <c r="U68" s="442">
        <v>0</v>
      </c>
      <c r="V68" s="442">
        <v>0</v>
      </c>
      <c r="W68" s="442">
        <v>0</v>
      </c>
      <c r="X68" s="442">
        <v>0</v>
      </c>
      <c r="Y68" s="442">
        <v>0</v>
      </c>
      <c r="Z68" s="442">
        <v>0</v>
      </c>
    </row>
    <row r="69" spans="1:26" ht="13.8" x14ac:dyDescent="0.3">
      <c r="A69" s="416" t="s">
        <v>663</v>
      </c>
      <c r="C69" s="442">
        <v>0</v>
      </c>
      <c r="D69" s="442">
        <v>0</v>
      </c>
      <c r="E69" s="442">
        <v>0</v>
      </c>
      <c r="F69" s="442">
        <v>0</v>
      </c>
      <c r="G69" s="442">
        <v>0</v>
      </c>
      <c r="H69" s="442">
        <v>0</v>
      </c>
      <c r="I69" s="442">
        <v>0</v>
      </c>
      <c r="J69" s="442">
        <v>0</v>
      </c>
      <c r="K69" s="442">
        <v>0</v>
      </c>
      <c r="L69" s="442">
        <v>0</v>
      </c>
      <c r="M69" s="442">
        <v>0</v>
      </c>
      <c r="N69" s="442">
        <v>0</v>
      </c>
      <c r="O69" s="442">
        <v>0</v>
      </c>
      <c r="P69" s="442">
        <v>0</v>
      </c>
      <c r="Q69" s="442">
        <v>0</v>
      </c>
      <c r="R69" s="442">
        <v>0</v>
      </c>
      <c r="S69" s="442">
        <v>0</v>
      </c>
      <c r="T69" s="442">
        <v>0</v>
      </c>
      <c r="U69" s="442">
        <v>0</v>
      </c>
      <c r="V69" s="442">
        <v>0</v>
      </c>
      <c r="W69" s="442">
        <v>0</v>
      </c>
      <c r="X69" s="442">
        <v>0</v>
      </c>
      <c r="Y69" s="442">
        <v>0</v>
      </c>
      <c r="Z69" s="442">
        <v>0</v>
      </c>
    </row>
    <row r="70" spans="1:26" ht="13.8" x14ac:dyDescent="0.3">
      <c r="A70" s="416" t="s">
        <v>65</v>
      </c>
      <c r="C70" s="442">
        <v>0</v>
      </c>
      <c r="D70" s="442">
        <v>0</v>
      </c>
      <c r="E70" s="442">
        <v>0</v>
      </c>
      <c r="F70" s="442">
        <v>0</v>
      </c>
      <c r="G70" s="442">
        <v>0</v>
      </c>
      <c r="H70" s="442">
        <v>0</v>
      </c>
      <c r="I70" s="442">
        <v>0</v>
      </c>
      <c r="J70" s="442">
        <v>0</v>
      </c>
      <c r="K70" s="442">
        <v>0</v>
      </c>
      <c r="L70" s="442">
        <v>0</v>
      </c>
      <c r="M70" s="442">
        <v>0</v>
      </c>
      <c r="N70" s="442">
        <v>0</v>
      </c>
      <c r="O70" s="442">
        <v>0</v>
      </c>
      <c r="P70" s="442">
        <v>0</v>
      </c>
      <c r="Q70" s="442">
        <v>0</v>
      </c>
      <c r="R70" s="442">
        <v>0</v>
      </c>
      <c r="S70" s="442">
        <v>0</v>
      </c>
      <c r="T70" s="442">
        <v>0</v>
      </c>
      <c r="U70" s="442">
        <v>0</v>
      </c>
      <c r="V70" s="442">
        <v>0</v>
      </c>
      <c r="W70" s="442">
        <v>0</v>
      </c>
      <c r="X70" s="442">
        <v>0</v>
      </c>
      <c r="Y70" s="442">
        <v>0</v>
      </c>
      <c r="Z70" s="442">
        <v>0</v>
      </c>
    </row>
    <row r="71" spans="1:26" ht="13.8" x14ac:dyDescent="0.3">
      <c r="A71" s="416" t="s">
        <v>664</v>
      </c>
      <c r="C71" s="442">
        <f>C56*0.25</f>
        <v>1875</v>
      </c>
      <c r="D71" s="442">
        <v>578</v>
      </c>
      <c r="E71" s="442">
        <f>E56*0.25</f>
        <v>1875</v>
      </c>
      <c r="F71" s="442">
        <v>671.91</v>
      </c>
      <c r="G71" s="442">
        <f>G56*0.25</f>
        <v>1875</v>
      </c>
      <c r="H71" s="442">
        <v>1205.54</v>
      </c>
      <c r="I71" s="442">
        <f>I56*0.25</f>
        <v>978.25</v>
      </c>
      <c r="J71" s="442">
        <v>1118</v>
      </c>
      <c r="K71" s="442">
        <f>K56*0.25</f>
        <v>2062.5</v>
      </c>
      <c r="L71" s="442">
        <v>0</v>
      </c>
      <c r="M71" s="442">
        <f>M56*0.25</f>
        <v>2062.5</v>
      </c>
      <c r="N71" s="442">
        <v>0</v>
      </c>
      <c r="O71" s="442">
        <f>O56*0.25</f>
        <v>2186.25</v>
      </c>
      <c r="P71" s="442">
        <v>0</v>
      </c>
      <c r="Q71" s="442">
        <f>Q56*0.25</f>
        <v>2186.25</v>
      </c>
      <c r="R71" s="442">
        <v>0</v>
      </c>
      <c r="S71" s="442">
        <f>S56*0.25</f>
        <v>2186.25</v>
      </c>
      <c r="T71" s="442">
        <v>0</v>
      </c>
      <c r="U71" s="442">
        <f>U56*0.25</f>
        <v>2295.5625</v>
      </c>
      <c r="V71" s="442">
        <v>0</v>
      </c>
      <c r="W71" s="442">
        <f>W56*0.25</f>
        <v>2295.5625</v>
      </c>
      <c r="X71" s="442">
        <v>0</v>
      </c>
      <c r="Y71" s="442">
        <f>Y56*0.25</f>
        <v>2295.5625</v>
      </c>
      <c r="Z71" s="442">
        <v>0</v>
      </c>
    </row>
    <row r="72" spans="1:26" ht="13.8" x14ac:dyDescent="0.3">
      <c r="A72" s="416" t="s">
        <v>665</v>
      </c>
      <c r="C72" s="442">
        <f>C56*0.05</f>
        <v>375</v>
      </c>
      <c r="D72" s="442">
        <v>0</v>
      </c>
      <c r="E72" s="442">
        <f>E56*0.05</f>
        <v>375</v>
      </c>
      <c r="F72" s="442">
        <v>330.47</v>
      </c>
      <c r="G72" s="442">
        <f>G56*0.05</f>
        <v>375</v>
      </c>
      <c r="H72" s="442">
        <v>0</v>
      </c>
      <c r="I72" s="442">
        <f>I56*0.05</f>
        <v>195.65</v>
      </c>
      <c r="J72" s="442">
        <v>286.5</v>
      </c>
      <c r="K72" s="442">
        <f>K56*0.05</f>
        <v>412.5</v>
      </c>
      <c r="L72" s="442">
        <v>0</v>
      </c>
      <c r="M72" s="442">
        <f>M56*0.05</f>
        <v>412.5</v>
      </c>
      <c r="N72" s="442">
        <v>0</v>
      </c>
      <c r="O72" s="442">
        <f>O56*0.05</f>
        <v>437.25</v>
      </c>
      <c r="P72" s="442">
        <v>0</v>
      </c>
      <c r="Q72" s="442">
        <f>Q56*0.05</f>
        <v>437.25</v>
      </c>
      <c r="R72" s="442">
        <v>0</v>
      </c>
      <c r="S72" s="442">
        <f>S56*0.05</f>
        <v>437.25</v>
      </c>
      <c r="T72" s="442">
        <v>0</v>
      </c>
      <c r="U72" s="442">
        <f>U56*0.05</f>
        <v>459.11250000000001</v>
      </c>
      <c r="V72" s="442">
        <v>0</v>
      </c>
      <c r="W72" s="442">
        <f>W56*0.05</f>
        <v>459.11250000000001</v>
      </c>
      <c r="X72" s="442">
        <v>0</v>
      </c>
      <c r="Y72" s="442">
        <f>Y56*0.05</f>
        <v>459.11250000000001</v>
      </c>
      <c r="Z72" s="442">
        <v>0</v>
      </c>
    </row>
    <row r="73" spans="1:26" ht="13.8" x14ac:dyDescent="0.3">
      <c r="A73" s="415" t="s">
        <v>666</v>
      </c>
      <c r="C73" s="442">
        <v>0</v>
      </c>
      <c r="D73" s="442">
        <v>0</v>
      </c>
      <c r="E73" s="442">
        <v>0</v>
      </c>
      <c r="F73" s="442">
        <v>0</v>
      </c>
      <c r="G73" s="442">
        <v>0</v>
      </c>
      <c r="H73" s="442">
        <v>0</v>
      </c>
      <c r="I73" s="442">
        <v>0</v>
      </c>
      <c r="J73" s="442">
        <v>0</v>
      </c>
      <c r="K73" s="442">
        <v>0</v>
      </c>
      <c r="L73" s="442">
        <v>0</v>
      </c>
      <c r="M73" s="442">
        <v>0</v>
      </c>
      <c r="N73" s="442">
        <v>0</v>
      </c>
      <c r="O73" s="442">
        <v>0</v>
      </c>
      <c r="P73" s="442">
        <v>0</v>
      </c>
      <c r="Q73" s="442">
        <v>0</v>
      </c>
      <c r="R73" s="442">
        <v>0</v>
      </c>
      <c r="S73" s="442">
        <v>0</v>
      </c>
      <c r="T73" s="442">
        <v>0</v>
      </c>
      <c r="U73" s="442">
        <v>0</v>
      </c>
      <c r="V73" s="442">
        <v>0</v>
      </c>
      <c r="W73" s="442">
        <v>0</v>
      </c>
      <c r="X73" s="442">
        <v>0</v>
      </c>
      <c r="Y73" s="442">
        <v>0</v>
      </c>
      <c r="Z73" s="442">
        <v>0</v>
      </c>
    </row>
    <row r="74" spans="1:26" ht="14.4" thickBot="1" x14ac:dyDescent="0.35">
      <c r="A74" s="417" t="s">
        <v>667</v>
      </c>
      <c r="C74" s="418">
        <f>C55-C60</f>
        <v>5250</v>
      </c>
      <c r="D74" s="418">
        <f t="shared" ref="D74:Z74" si="17">D55-D60</f>
        <v>2128</v>
      </c>
      <c r="E74" s="418">
        <f t="shared" si="17"/>
        <v>5250</v>
      </c>
      <c r="F74" s="418">
        <f t="shared" si="17"/>
        <v>2771.72</v>
      </c>
      <c r="G74" s="418">
        <f t="shared" si="17"/>
        <v>5250</v>
      </c>
      <c r="H74" s="418">
        <f t="shared" si="17"/>
        <v>2707.46</v>
      </c>
      <c r="I74" s="418">
        <f t="shared" si="17"/>
        <v>2739.1</v>
      </c>
      <c r="J74" s="418">
        <f t="shared" si="17"/>
        <v>2513.5</v>
      </c>
      <c r="K74" s="418">
        <f t="shared" si="17"/>
        <v>5775</v>
      </c>
      <c r="L74" s="418">
        <f t="shared" si="17"/>
        <v>0</v>
      </c>
      <c r="M74" s="418">
        <f t="shared" si="17"/>
        <v>5775</v>
      </c>
      <c r="N74" s="418">
        <f t="shared" si="17"/>
        <v>0</v>
      </c>
      <c r="O74" s="418">
        <f t="shared" si="17"/>
        <v>6121.5</v>
      </c>
      <c r="P74" s="418">
        <f t="shared" si="17"/>
        <v>0</v>
      </c>
      <c r="Q74" s="418">
        <f t="shared" si="17"/>
        <v>6121.5</v>
      </c>
      <c r="R74" s="418">
        <f t="shared" si="17"/>
        <v>0</v>
      </c>
      <c r="S74" s="418">
        <f t="shared" si="17"/>
        <v>6121.5</v>
      </c>
      <c r="T74" s="418">
        <f t="shared" si="17"/>
        <v>0</v>
      </c>
      <c r="U74" s="418">
        <f t="shared" si="17"/>
        <v>6427.5749999999998</v>
      </c>
      <c r="V74" s="418">
        <f t="shared" si="17"/>
        <v>0</v>
      </c>
      <c r="W74" s="418">
        <f t="shared" si="17"/>
        <v>6427.5749999999998</v>
      </c>
      <c r="X74" s="418">
        <f t="shared" si="17"/>
        <v>0</v>
      </c>
      <c r="Y74" s="418">
        <f t="shared" si="17"/>
        <v>6427.5749999999998</v>
      </c>
      <c r="Z74" s="418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0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1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2"/>
      <c r="D4" s="512"/>
      <c r="E4" s="512"/>
      <c r="F4" s="512"/>
      <c r="G4" s="512"/>
      <c r="H4" s="513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2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2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2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2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0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1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2"/>
      <c r="D41" s="512"/>
      <c r="E41" s="512"/>
      <c r="F41" s="512"/>
      <c r="G41" s="512"/>
      <c r="H41" s="513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0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1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2"/>
      <c r="D75" s="512"/>
      <c r="E75" s="512"/>
      <c r="F75" s="512"/>
      <c r="G75" s="512"/>
      <c r="H75" s="512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0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1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2"/>
      <c r="D112" s="512"/>
      <c r="E112" s="512"/>
      <c r="F112" s="512"/>
      <c r="G112" s="512"/>
      <c r="H112" s="513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0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1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2"/>
      <c r="D149" s="512"/>
      <c r="E149" s="512"/>
      <c r="F149" s="512"/>
      <c r="G149" s="512"/>
      <c r="H149" s="513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0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1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2"/>
      <c r="D187" s="512"/>
      <c r="E187" s="512"/>
      <c r="F187" s="512"/>
      <c r="G187" s="512"/>
      <c r="H187" s="513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0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1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2"/>
      <c r="D224" s="512"/>
      <c r="E224" s="512"/>
      <c r="F224" s="512"/>
      <c r="G224" s="512"/>
      <c r="H224" s="513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0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1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2"/>
      <c r="D255" s="512"/>
      <c r="E255" s="512"/>
      <c r="F255" s="512"/>
      <c r="G255" s="512"/>
      <c r="H255" s="513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0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1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2"/>
      <c r="D285" s="512"/>
      <c r="E285" s="512"/>
      <c r="F285" s="512"/>
      <c r="G285" s="512"/>
      <c r="H285" s="513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0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1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2"/>
      <c r="D315" s="512"/>
      <c r="E315" s="512"/>
      <c r="F315" s="512"/>
      <c r="G315" s="512"/>
      <c r="H315" s="513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0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1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2"/>
      <c r="D345" s="512"/>
      <c r="E345" s="512"/>
      <c r="F345" s="512"/>
      <c r="G345" s="512"/>
      <c r="H345" s="513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0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1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2"/>
      <c r="D375" s="512"/>
      <c r="E375" s="512"/>
      <c r="F375" s="512"/>
      <c r="G375" s="512"/>
      <c r="H375" s="513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opLeftCell="B3" workbookViewId="0">
      <selection activeCell="I35" sqref="I35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0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1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2"/>
      <c r="D4" s="512"/>
      <c r="E4" s="512"/>
      <c r="F4" s="512"/>
      <c r="G4" s="512"/>
      <c r="H4" s="513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0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1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2"/>
      <c r="D41" s="512"/>
      <c r="E41" s="512"/>
      <c r="F41" s="512"/>
      <c r="G41" s="512"/>
      <c r="H41" s="513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0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1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2"/>
      <c r="D75" s="512"/>
      <c r="E75" s="512"/>
      <c r="F75" s="512"/>
      <c r="G75" s="512"/>
      <c r="H75" s="512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0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1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2"/>
      <c r="D112" s="512"/>
      <c r="E112" s="512"/>
      <c r="F112" s="512"/>
      <c r="G112" s="512"/>
      <c r="H112" s="513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0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1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2"/>
      <c r="D149" s="512"/>
      <c r="E149" s="512"/>
      <c r="F149" s="512"/>
      <c r="G149" s="512"/>
      <c r="H149" s="513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0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1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2"/>
      <c r="D187" s="512"/>
      <c r="E187" s="512"/>
      <c r="F187" s="512"/>
      <c r="G187" s="512"/>
      <c r="H187" s="513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0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1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2"/>
      <c r="D224" s="512"/>
      <c r="E224" s="512"/>
      <c r="F224" s="512"/>
      <c r="G224" s="512"/>
      <c r="H224" s="513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0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1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2"/>
      <c r="D255" s="512"/>
      <c r="E255" s="512"/>
      <c r="F255" s="512"/>
      <c r="G255" s="512"/>
      <c r="H255" s="513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0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1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2"/>
      <c r="D285" s="512"/>
      <c r="E285" s="512"/>
      <c r="F285" s="512"/>
      <c r="G285" s="512"/>
      <c r="H285" s="513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0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1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2"/>
      <c r="D315" s="512"/>
      <c r="E315" s="512"/>
      <c r="F315" s="512"/>
      <c r="G315" s="512"/>
      <c r="H315" s="513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0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1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2"/>
      <c r="D345" s="512"/>
      <c r="E345" s="512"/>
      <c r="F345" s="512"/>
      <c r="G345" s="512"/>
      <c r="H345" s="513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0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1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2"/>
      <c r="D375" s="512"/>
      <c r="E375" s="512"/>
      <c r="F375" s="512"/>
      <c r="G375" s="512"/>
      <c r="H375" s="513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4" t="s">
        <v>650</v>
      </c>
      <c r="B3" s="516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5"/>
      <c r="B4" s="517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4" t="s">
        <v>651</v>
      </c>
      <c r="B3" s="516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5"/>
      <c r="B4" s="517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4" t="s">
        <v>652</v>
      </c>
      <c r="B3" s="516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5"/>
      <c r="B4" s="517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T15" sqref="S15:T15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520" t="s">
        <v>733</v>
      </c>
      <c r="C2" s="520"/>
      <c r="D2" s="520"/>
      <c r="E2" s="520"/>
      <c r="F2" s="520"/>
      <c r="G2" s="520"/>
      <c r="K2" s="518" t="s">
        <v>734</v>
      </c>
      <c r="L2" s="518"/>
      <c r="M2" s="518"/>
      <c r="N2" s="518"/>
      <c r="O2" s="518"/>
      <c r="P2" s="518"/>
    </row>
    <row r="4" spans="2:16" x14ac:dyDescent="0.25">
      <c r="B4" s="519" t="s">
        <v>732</v>
      </c>
      <c r="C4" s="519"/>
      <c r="F4" s="519" t="s">
        <v>651</v>
      </c>
      <c r="G4" s="519"/>
      <c r="K4" s="519" t="s">
        <v>732</v>
      </c>
      <c r="L4" s="519"/>
      <c r="O4" s="519" t="s">
        <v>651</v>
      </c>
      <c r="P4" s="519"/>
    </row>
    <row r="5" spans="2:16" x14ac:dyDescent="0.25">
      <c r="B5" s="410"/>
      <c r="C5" s="410"/>
      <c r="F5" s="410"/>
      <c r="G5" s="410"/>
      <c r="K5" s="410"/>
      <c r="L5" s="410"/>
      <c r="O5" s="410"/>
      <c r="P5" s="410"/>
    </row>
    <row r="6" spans="2:16" x14ac:dyDescent="0.25">
      <c r="B6" s="495" t="s">
        <v>2</v>
      </c>
      <c r="C6" s="495" t="s">
        <v>730</v>
      </c>
      <c r="F6" s="495" t="s">
        <v>2</v>
      </c>
      <c r="G6" s="495" t="s">
        <v>730</v>
      </c>
      <c r="K6" s="495" t="s">
        <v>2</v>
      </c>
      <c r="L6" s="495" t="s">
        <v>730</v>
      </c>
      <c r="O6" s="495" t="s">
        <v>2</v>
      </c>
      <c r="P6" s="495" t="s">
        <v>730</v>
      </c>
    </row>
    <row r="7" spans="2:16" x14ac:dyDescent="0.25">
      <c r="B7" s="494">
        <v>46023</v>
      </c>
      <c r="C7" s="432">
        <v>252772.95</v>
      </c>
      <c r="F7" s="494">
        <v>46023</v>
      </c>
      <c r="G7" s="432">
        <v>0</v>
      </c>
      <c r="K7" s="494">
        <v>46023</v>
      </c>
      <c r="L7" s="432">
        <v>0</v>
      </c>
      <c r="O7" s="494">
        <v>46023</v>
      </c>
      <c r="P7" s="432">
        <v>0</v>
      </c>
    </row>
    <row r="8" spans="2:16" x14ac:dyDescent="0.25">
      <c r="B8" s="494">
        <v>46054</v>
      </c>
      <c r="C8" s="432">
        <v>228525.11</v>
      </c>
      <c r="F8" s="494">
        <v>46054</v>
      </c>
      <c r="G8" s="432">
        <v>3059</v>
      </c>
      <c r="K8" s="494">
        <v>46054</v>
      </c>
      <c r="L8" s="432">
        <v>0</v>
      </c>
      <c r="O8" s="494">
        <v>46054</v>
      </c>
      <c r="P8" s="432">
        <v>0</v>
      </c>
    </row>
    <row r="9" spans="2:16" x14ac:dyDescent="0.25">
      <c r="B9" s="494">
        <v>46082</v>
      </c>
      <c r="C9" s="432">
        <v>268703.5</v>
      </c>
      <c r="F9" s="494">
        <v>46082</v>
      </c>
      <c r="G9" s="432">
        <v>10570.07</v>
      </c>
      <c r="K9" s="494">
        <v>46082</v>
      </c>
      <c r="L9" s="432">
        <v>0</v>
      </c>
      <c r="O9" s="494">
        <v>46082</v>
      </c>
      <c r="P9" s="432">
        <v>1116.6300000000001</v>
      </c>
    </row>
    <row r="10" spans="2:16" x14ac:dyDescent="0.25">
      <c r="B10" s="494">
        <v>46113</v>
      </c>
      <c r="C10" s="432">
        <v>223982.07</v>
      </c>
      <c r="F10" s="494">
        <v>46113</v>
      </c>
      <c r="G10" s="432">
        <v>30495.45</v>
      </c>
      <c r="K10" s="494">
        <v>46113</v>
      </c>
      <c r="L10" s="432">
        <v>0</v>
      </c>
      <c r="O10" s="494">
        <v>46113</v>
      </c>
      <c r="P10" s="432">
        <v>0</v>
      </c>
    </row>
    <row r="11" spans="2:16" x14ac:dyDescent="0.25">
      <c r="B11" s="494">
        <v>46143</v>
      </c>
      <c r="C11" s="432">
        <v>319945.38</v>
      </c>
      <c r="F11" s="494">
        <v>46143</v>
      </c>
      <c r="G11" s="432">
        <v>52752.71</v>
      </c>
      <c r="K11" s="494">
        <v>46143</v>
      </c>
      <c r="L11" s="432">
        <v>0</v>
      </c>
      <c r="O11" s="494">
        <v>46143</v>
      </c>
      <c r="P11" s="432">
        <v>0</v>
      </c>
    </row>
    <row r="12" spans="2:16" x14ac:dyDescent="0.25">
      <c r="B12" s="494">
        <v>46174</v>
      </c>
      <c r="C12" s="432">
        <v>71959.33</v>
      </c>
      <c r="F12" s="494">
        <v>46174</v>
      </c>
      <c r="G12" s="432">
        <v>4702.05</v>
      </c>
      <c r="K12" s="494">
        <v>46174</v>
      </c>
      <c r="L12" s="432">
        <v>242737.6</v>
      </c>
      <c r="O12" s="494">
        <v>46174</v>
      </c>
      <c r="P12" s="432">
        <v>34120.22</v>
      </c>
    </row>
    <row r="13" spans="2:16" x14ac:dyDescent="0.25">
      <c r="B13" s="494">
        <v>46204</v>
      </c>
      <c r="C13" s="432">
        <v>0</v>
      </c>
      <c r="F13" s="494">
        <v>46204</v>
      </c>
      <c r="G13" s="432">
        <v>0</v>
      </c>
      <c r="K13" s="494">
        <v>46204</v>
      </c>
      <c r="L13" s="432">
        <v>279660.90000000002</v>
      </c>
      <c r="O13" s="494">
        <v>46204</v>
      </c>
      <c r="P13" s="432">
        <v>26388.28</v>
      </c>
    </row>
    <row r="14" spans="2:16" x14ac:dyDescent="0.25">
      <c r="B14" s="494">
        <v>46235</v>
      </c>
      <c r="C14" s="432">
        <v>0</v>
      </c>
      <c r="F14" s="494">
        <v>46235</v>
      </c>
      <c r="G14" s="432">
        <v>0</v>
      </c>
      <c r="K14" s="494">
        <v>46235</v>
      </c>
      <c r="L14" s="432">
        <v>193891.55</v>
      </c>
      <c r="O14" s="494">
        <v>46235</v>
      </c>
      <c r="P14" s="432">
        <v>0</v>
      </c>
    </row>
    <row r="15" spans="2:16" x14ac:dyDescent="0.25">
      <c r="B15" s="494">
        <v>46266</v>
      </c>
      <c r="C15" s="432">
        <v>0</v>
      </c>
      <c r="F15" s="494">
        <v>46266</v>
      </c>
      <c r="G15" s="432">
        <v>0</v>
      </c>
      <c r="K15" s="494">
        <v>46266</v>
      </c>
      <c r="L15" s="432">
        <v>112354.99</v>
      </c>
      <c r="O15" s="494">
        <v>46266</v>
      </c>
      <c r="P15" s="432">
        <v>0</v>
      </c>
    </row>
    <row r="16" spans="2:16" x14ac:dyDescent="0.25">
      <c r="B16" s="494">
        <v>46296</v>
      </c>
      <c r="C16" s="432">
        <v>0</v>
      </c>
      <c r="F16" s="494">
        <v>46296</v>
      </c>
      <c r="G16" s="432">
        <v>0</v>
      </c>
      <c r="K16" s="494">
        <v>46296</v>
      </c>
      <c r="L16" s="432">
        <v>50055.49</v>
      </c>
      <c r="O16" s="494">
        <v>46296</v>
      </c>
      <c r="P16" s="432">
        <v>0</v>
      </c>
    </row>
    <row r="17" spans="2:16" x14ac:dyDescent="0.25">
      <c r="B17" s="494">
        <v>46327</v>
      </c>
      <c r="C17" s="432">
        <v>0</v>
      </c>
      <c r="F17" s="494">
        <v>46327</v>
      </c>
      <c r="G17" s="432">
        <v>0</v>
      </c>
      <c r="K17" s="494">
        <v>46327</v>
      </c>
      <c r="L17" s="432">
        <v>18763.439999999999</v>
      </c>
      <c r="O17" s="494">
        <v>46327</v>
      </c>
      <c r="P17" s="432">
        <v>0</v>
      </c>
    </row>
    <row r="18" spans="2:16" x14ac:dyDescent="0.25">
      <c r="B18" s="494">
        <v>46357</v>
      </c>
      <c r="C18" s="432">
        <v>0</v>
      </c>
      <c r="F18" s="494">
        <v>46357</v>
      </c>
      <c r="G18" s="432">
        <v>0</v>
      </c>
      <c r="K18" s="494">
        <v>46357</v>
      </c>
      <c r="L18" s="432">
        <v>0</v>
      </c>
      <c r="O18" s="494">
        <v>46357</v>
      </c>
      <c r="P18" s="432">
        <v>0</v>
      </c>
    </row>
    <row r="19" spans="2:16" x14ac:dyDescent="0.25">
      <c r="B19" s="496" t="s">
        <v>731</v>
      </c>
      <c r="C19" s="497">
        <f>SUM(C7:C18)</f>
        <v>1365888.3400000003</v>
      </c>
      <c r="F19" s="496" t="s">
        <v>731</v>
      </c>
      <c r="G19" s="497">
        <f>SUM(G7:G18)</f>
        <v>101579.28000000001</v>
      </c>
      <c r="K19" s="496" t="s">
        <v>731</v>
      </c>
      <c r="L19" s="497">
        <f>SUM(L7:L18)</f>
        <v>897463.97</v>
      </c>
      <c r="O19" s="496" t="s">
        <v>731</v>
      </c>
      <c r="P19" s="497">
        <f>SUM(P7:P18)</f>
        <v>61625.13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Q47"/>
  <sheetViews>
    <sheetView workbookViewId="0">
      <selection activeCell="K24" sqref="K24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02" t="s">
        <v>735</v>
      </c>
      <c r="G2" s="502"/>
      <c r="H2" s="502"/>
      <c r="I2" s="502"/>
      <c r="J2" s="502"/>
      <c r="K2" s="502"/>
      <c r="L2" s="502"/>
      <c r="M2" s="502"/>
      <c r="N2" s="502"/>
      <c r="O2" s="502"/>
      <c r="P2" s="502"/>
      <c r="Q2" s="502"/>
    </row>
    <row r="4" spans="6:17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  <c r="K4" s="500">
        <v>46174</v>
      </c>
      <c r="L4" s="500">
        <v>46204</v>
      </c>
      <c r="M4" s="500">
        <v>46235</v>
      </c>
      <c r="N4" s="500">
        <v>46266</v>
      </c>
      <c r="O4" s="500">
        <v>46296</v>
      </c>
      <c r="P4" s="500">
        <v>46327</v>
      </c>
      <c r="Q4" s="500">
        <v>46357</v>
      </c>
    </row>
    <row r="6" spans="6:17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7" x14ac:dyDescent="0.25">
      <c r="F8" t="s">
        <v>737</v>
      </c>
      <c r="G8" t="s">
        <v>737</v>
      </c>
      <c r="H8" t="s">
        <v>737</v>
      </c>
      <c r="I8" t="s">
        <v>737</v>
      </c>
    </row>
    <row r="9" spans="6:17" x14ac:dyDescent="0.25">
      <c r="F9" s="501">
        <v>435355.47</v>
      </c>
      <c r="G9" s="501">
        <v>363193.79000000004</v>
      </c>
      <c r="H9" s="501">
        <v>446257.54000000004</v>
      </c>
      <c r="I9" s="501">
        <v>545913.32999999996</v>
      </c>
    </row>
    <row r="10" spans="6:17" x14ac:dyDescent="0.25">
      <c r="F10" t="s">
        <v>738</v>
      </c>
      <c r="G10" t="s">
        <v>738</v>
      </c>
      <c r="H10" t="s">
        <v>738</v>
      </c>
      <c r="I10" t="s">
        <v>738</v>
      </c>
    </row>
    <row r="11" spans="6:17" x14ac:dyDescent="0.25">
      <c r="F11" s="434">
        <v>35767.599999999999</v>
      </c>
      <c r="G11" s="434">
        <v>32416.02</v>
      </c>
      <c r="H11" s="434">
        <v>37449.160000000003</v>
      </c>
      <c r="I11" s="434">
        <v>48939.5</v>
      </c>
    </row>
    <row r="12" spans="6:17" x14ac:dyDescent="0.25">
      <c r="F12" t="s">
        <v>739</v>
      </c>
      <c r="G12" t="s">
        <v>739</v>
      </c>
      <c r="H12" t="s">
        <v>739</v>
      </c>
      <c r="I12" t="s">
        <v>739</v>
      </c>
    </row>
    <row r="13" spans="6:17" x14ac:dyDescent="0.25">
      <c r="F13" s="501">
        <v>33357.43</v>
      </c>
      <c r="G13" s="501">
        <v>26547.95</v>
      </c>
      <c r="H13" s="501">
        <v>35210.910000000003</v>
      </c>
      <c r="I13" s="501">
        <v>40028.439999999995</v>
      </c>
    </row>
    <row r="14" spans="6:17" x14ac:dyDescent="0.25">
      <c r="F14" t="s">
        <v>740</v>
      </c>
      <c r="G14" t="s">
        <v>740</v>
      </c>
      <c r="H14" t="s">
        <v>740</v>
      </c>
      <c r="I14" t="s">
        <v>740</v>
      </c>
    </row>
    <row r="15" spans="6:17" x14ac:dyDescent="0.25">
      <c r="F15" s="491">
        <f>F9-F11-F13</f>
        <v>366230.44</v>
      </c>
      <c r="G15" s="491">
        <f>G9-G11-G13</f>
        <v>304229.82</v>
      </c>
      <c r="H15" s="491">
        <f>H9-H11-H13</f>
        <v>373597.47</v>
      </c>
      <c r="I15" s="491">
        <f>I9-I11-I13</f>
        <v>456945.38999999996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217677.73499999999</v>
      </c>
      <c r="G20" s="491">
        <f>G9*0.5</f>
        <v>181596.89500000002</v>
      </c>
      <c r="H20" s="491">
        <f>H9*0.5</f>
        <v>223128.77000000002</v>
      </c>
      <c r="I20" s="491">
        <f>I9*0.5</f>
        <v>272956.66499999998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148552.70500000002</v>
      </c>
      <c r="G22" s="491">
        <f>G15-G20</f>
        <v>122632.92499999999</v>
      </c>
      <c r="H22" s="491">
        <f>H15-H20</f>
        <v>150468.69999999995</v>
      </c>
      <c r="I22" s="491">
        <f>I15-I20</f>
        <v>183988.72499999998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7653.7099999999991</v>
      </c>
      <c r="G27" s="434">
        <v>7018.77</v>
      </c>
      <c r="H27" s="434">
        <v>7455.63</v>
      </c>
      <c r="I27" s="434">
        <v>8585.0400000000009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100405.73</v>
      </c>
      <c r="G31" s="434">
        <v>85892.13</v>
      </c>
      <c r="H31" s="434">
        <v>105426.96</v>
      </c>
      <c r="I31" s="434">
        <v>78212.990000000005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6602</v>
      </c>
      <c r="G33" s="434">
        <v>6602</v>
      </c>
      <c r="H33" s="434">
        <v>6602</v>
      </c>
      <c r="I33" s="434">
        <v>6602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1850</v>
      </c>
      <c r="G35" s="434">
        <v>2390</v>
      </c>
      <c r="H35" s="434">
        <v>1850</v>
      </c>
      <c r="I35" s="434">
        <v>1890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32041.265000000029</v>
      </c>
      <c r="G37" s="491">
        <f>G22-G27-G31-G33-G35</f>
        <v>20730.02499999998</v>
      </c>
      <c r="H37" s="491">
        <f>H22-H27-H31-H33-H35</f>
        <v>29134.109999999942</v>
      </c>
      <c r="I37" s="491">
        <f>I22-I27-I31-I33-I35</f>
        <v>88698.694999999963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1500</v>
      </c>
      <c r="G42" s="434">
        <v>1500</v>
      </c>
      <c r="H42" s="434">
        <v>1500</v>
      </c>
      <c r="I42" s="434">
        <v>1500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30541.265000000029</v>
      </c>
      <c r="G44" s="491">
        <f>G37-G42</f>
        <v>19230.02499999998</v>
      </c>
      <c r="H44" s="491">
        <f>H37-H42</f>
        <v>27634.109999999942</v>
      </c>
      <c r="I44" s="491">
        <f>I37-I42</f>
        <v>87198.694999999963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30541.265000000029</v>
      </c>
      <c r="G47" s="491">
        <f>G44</f>
        <v>19230.02499999998</v>
      </c>
      <c r="H47" s="491">
        <f>H44</f>
        <v>27634.109999999942</v>
      </c>
      <c r="I47" s="491">
        <f>I44</f>
        <v>87198.694999999963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Q47"/>
  <sheetViews>
    <sheetView topLeftCell="E1" workbookViewId="0">
      <selection activeCell="M28" sqref="M28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02" t="s">
        <v>755</v>
      </c>
      <c r="G2" s="502"/>
      <c r="H2" s="502"/>
      <c r="I2" s="502"/>
      <c r="J2" s="502"/>
      <c r="K2" s="502"/>
      <c r="L2" s="502"/>
      <c r="M2" s="502"/>
      <c r="N2" s="502"/>
      <c r="O2" s="502"/>
      <c r="P2" s="502"/>
      <c r="Q2" s="502"/>
    </row>
    <row r="4" spans="6:17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  <c r="K4" s="500">
        <v>46174</v>
      </c>
      <c r="L4" s="500">
        <v>46204</v>
      </c>
      <c r="M4" s="500">
        <v>46235</v>
      </c>
      <c r="N4" s="500">
        <v>46266</v>
      </c>
      <c r="O4" s="500">
        <v>46296</v>
      </c>
      <c r="P4" s="500">
        <v>46327</v>
      </c>
      <c r="Q4" s="500">
        <v>46357</v>
      </c>
    </row>
    <row r="6" spans="6:17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7" x14ac:dyDescent="0.25">
      <c r="F8" t="s">
        <v>737</v>
      </c>
      <c r="G8" t="s">
        <v>737</v>
      </c>
      <c r="H8" t="s">
        <v>737</v>
      </c>
      <c r="I8" t="s">
        <v>737</v>
      </c>
    </row>
    <row r="9" spans="6:17" x14ac:dyDescent="0.25">
      <c r="F9" s="501">
        <v>196570.68000000002</v>
      </c>
      <c r="G9" s="501">
        <v>167144.25999999998</v>
      </c>
      <c r="H9" s="501">
        <v>229018.47</v>
      </c>
      <c r="I9" s="501">
        <v>251047.64</v>
      </c>
    </row>
    <row r="10" spans="6:17" x14ac:dyDescent="0.25">
      <c r="F10" t="s">
        <v>738</v>
      </c>
      <c r="G10" t="s">
        <v>738</v>
      </c>
      <c r="H10" t="s">
        <v>738</v>
      </c>
      <c r="I10" t="s">
        <v>738</v>
      </c>
    </row>
    <row r="11" spans="6:17" x14ac:dyDescent="0.25">
      <c r="F11" s="434">
        <v>16052.56</v>
      </c>
      <c r="G11" s="434">
        <v>15713.91</v>
      </c>
      <c r="H11" s="434">
        <v>16504.29</v>
      </c>
      <c r="I11" s="434">
        <v>22130.3</v>
      </c>
    </row>
    <row r="12" spans="6:17" x14ac:dyDescent="0.25">
      <c r="F12" t="s">
        <v>739</v>
      </c>
      <c r="G12" t="s">
        <v>739</v>
      </c>
      <c r="H12" t="s">
        <v>739</v>
      </c>
      <c r="I12" t="s">
        <v>739</v>
      </c>
    </row>
    <row r="13" spans="6:17" x14ac:dyDescent="0.25">
      <c r="F13" s="501">
        <v>8842.69</v>
      </c>
      <c r="G13" s="501">
        <v>8921.6999999999989</v>
      </c>
      <c r="H13" s="501">
        <v>10958.27</v>
      </c>
      <c r="I13" s="501">
        <v>11197.46</v>
      </c>
    </row>
    <row r="14" spans="6:17" x14ac:dyDescent="0.25">
      <c r="F14" t="s">
        <v>740</v>
      </c>
      <c r="G14" t="s">
        <v>740</v>
      </c>
      <c r="H14" t="s">
        <v>740</v>
      </c>
      <c r="I14" t="s">
        <v>740</v>
      </c>
    </row>
    <row r="15" spans="6:17" x14ac:dyDescent="0.25">
      <c r="F15" s="491">
        <f>F9-F11-F13</f>
        <v>171675.43000000002</v>
      </c>
      <c r="G15" s="491">
        <f>G9-G11-G13</f>
        <v>142508.64999999997</v>
      </c>
      <c r="H15" s="491">
        <f>H9-H11-H13</f>
        <v>201555.91</v>
      </c>
      <c r="I15" s="491">
        <f>I9-I11-I13</f>
        <v>217719.88000000003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98285.340000000011</v>
      </c>
      <c r="G20" s="491">
        <f>G9*0.5</f>
        <v>83572.12999999999</v>
      </c>
      <c r="H20" s="491">
        <f>H9*0.5</f>
        <v>114509.235</v>
      </c>
      <c r="I20" s="491">
        <f>I9*0.5</f>
        <v>125523.82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73390.090000000011</v>
      </c>
      <c r="G22" s="491">
        <f>G15-G20</f>
        <v>58936.519999999975</v>
      </c>
      <c r="H22" s="491">
        <f>H15-H20</f>
        <v>87046.675000000003</v>
      </c>
      <c r="I22" s="491">
        <f>I15-I20</f>
        <v>92196.060000000027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17178.310000000001</v>
      </c>
      <c r="G27" s="434">
        <v>17178.310000000001</v>
      </c>
      <c r="H27" s="434">
        <v>17978.310000000001</v>
      </c>
      <c r="I27" s="434">
        <v>18276.91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22834.91</v>
      </c>
      <c r="G31" s="434">
        <v>32636.18</v>
      </c>
      <c r="H31" s="434">
        <v>39540.71</v>
      </c>
      <c r="I31" s="434">
        <v>45916.149999999994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0</v>
      </c>
      <c r="G33" s="434">
        <v>0</v>
      </c>
      <c r="H33" s="434">
        <v>0</v>
      </c>
      <c r="I33" s="434">
        <v>0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6253</v>
      </c>
      <c r="G35" s="434">
        <v>9273</v>
      </c>
      <c r="H35" s="434">
        <v>5722</v>
      </c>
      <c r="I35" s="434">
        <v>7330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27123.87000000001</v>
      </c>
      <c r="G37" s="491">
        <f>G22-G27-G31-G33-G35</f>
        <v>-150.97000000002299</v>
      </c>
      <c r="H37" s="491">
        <f>H22-H27-H31-H33-H35</f>
        <v>23805.655000000006</v>
      </c>
      <c r="I37" s="491">
        <f>I22-I27-I31-I33-I35</f>
        <v>20673.000000000029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0</v>
      </c>
      <c r="G42" s="434">
        <v>0</v>
      </c>
      <c r="H42" s="434">
        <v>0</v>
      </c>
      <c r="I42" s="434">
        <v>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27123.87000000001</v>
      </c>
      <c r="G44" s="491">
        <f>G37-G42</f>
        <v>-150.97000000002299</v>
      </c>
      <c r="H44" s="491">
        <f>H37-H42</f>
        <v>23805.655000000006</v>
      </c>
      <c r="I44" s="491">
        <f>I37-I42</f>
        <v>20673.000000000029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27123.87000000001</v>
      </c>
      <c r="G47" s="491">
        <f>G44</f>
        <v>-150.97000000002299</v>
      </c>
      <c r="H47" s="491">
        <f>H44</f>
        <v>23805.655000000006</v>
      </c>
      <c r="I47" s="491">
        <f>I44</f>
        <v>20673.000000000029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21" t="s">
        <v>548</v>
      </c>
      <c r="C3" s="281"/>
      <c r="D3" s="523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25" t="s">
        <v>66</v>
      </c>
    </row>
    <row r="4" spans="1:19" x14ac:dyDescent="0.25">
      <c r="A4" s="175"/>
      <c r="B4" s="522"/>
      <c r="C4" s="5"/>
      <c r="D4" s="524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26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27" t="s">
        <v>576</v>
      </c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  <c r="V1" s="527"/>
      <c r="W1" s="527"/>
      <c r="X1" s="527"/>
      <c r="Y1" s="527"/>
      <c r="Z1" s="527"/>
      <c r="AA1" s="527"/>
      <c r="AB1" s="527"/>
      <c r="AC1" s="527"/>
      <c r="AD1" s="527"/>
      <c r="AE1" s="527"/>
      <c r="AF1" s="527"/>
      <c r="AG1" s="527"/>
      <c r="AH1" s="527"/>
      <c r="AI1" s="527"/>
      <c r="AJ1" s="527"/>
      <c r="AK1" s="527"/>
      <c r="AL1" s="527"/>
      <c r="AM1" s="527"/>
      <c r="AN1" s="527"/>
      <c r="AO1" s="527"/>
      <c r="AP1" s="527"/>
      <c r="AQ1" s="527"/>
      <c r="AR1" s="527"/>
      <c r="AS1" s="527"/>
      <c r="AT1" s="527"/>
      <c r="AU1" s="527"/>
      <c r="AV1" s="527"/>
      <c r="AW1" s="527"/>
      <c r="AX1" s="527"/>
      <c r="AY1" s="527"/>
      <c r="AZ1" s="527"/>
      <c r="BA1" s="527"/>
      <c r="BB1" s="527"/>
      <c r="BC1" s="527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</vt:i4>
      </vt:variant>
    </vt:vector>
  </HeadingPairs>
  <TitlesOfParts>
    <vt:vector size="19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VIP MX</vt:lpstr>
      <vt:lpstr>VIDAL</vt:lpstr>
      <vt:lpstr>V3</vt:lpstr>
      <vt:lpstr>Divida Fornecedores</vt:lpstr>
      <vt:lpstr>DRE - VIP</vt:lpstr>
      <vt:lpstr>DRE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2026-06-12T18:07:23Z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