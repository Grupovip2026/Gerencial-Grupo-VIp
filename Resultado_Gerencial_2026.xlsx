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beneficiosmotiva-my.sharepoint.com/personal/igor_motivabeneficios_com_br/Documents/Área de Trabalho/Gerencial/"/>
    </mc:Choice>
  </mc:AlternateContent>
  <xr:revisionPtr revIDLastSave="2476" documentId="8_{04EA1580-011F-4535-ABF1-02B9CCBA3B27}" xr6:coauthVersionLast="47" xr6:coauthVersionMax="47" xr10:uidLastSave="{2FCDA562-278F-4A3D-8395-50126B4EA2B4}"/>
  <bookViews>
    <workbookView xWindow="28680" yWindow="-120" windowWidth="29040" windowHeight="15720" firstSheet="9" activeTab="15" xr2:uid="{00000000-000D-0000-FFFF-FFFF00000000}"/>
  </bookViews>
  <sheets>
    <sheet name="Custo por transação" sheetId="34" state="hidden" r:id="rId1"/>
    <sheet name="Cargos e Tarefas" sheetId="55" r:id="rId2"/>
    <sheet name="Custos" sheetId="47" r:id="rId3"/>
    <sheet name="Resumo Gerencial" sheetId="46" r:id="rId4"/>
    <sheet name="PLANO ORÇAMENTARIO - VIP" sheetId="43" r:id="rId5"/>
    <sheet name="PLANO ORÇAMENTARIO - VIDAL" sheetId="50" r:id="rId6"/>
    <sheet name="PLANO ORÇAMENTARIO - V3" sheetId="51" r:id="rId7"/>
    <sheet name="Planilha1" sheetId="57" r:id="rId8"/>
    <sheet name="Fluxo De caixa - VIP" sheetId="49" r:id="rId9"/>
    <sheet name="Fluxo De caixa - VIDAL" sheetId="52" r:id="rId10"/>
    <sheet name="VIP MX" sheetId="23" r:id="rId11"/>
    <sheet name="VIDAL" sheetId="44" r:id="rId12"/>
    <sheet name="V3" sheetId="45" r:id="rId13"/>
    <sheet name="Fluxo De caixa - VIP 12-2025" sheetId="53" r:id="rId14"/>
    <sheet name="Ações 2026" sheetId="54" r:id="rId15"/>
    <sheet name="Divida Fornecedores" sheetId="56" r:id="rId16"/>
    <sheet name="Feira Santana" sheetId="8" state="hidden" r:id="rId17"/>
    <sheet name="Vendas" sheetId="39" state="hidden" r:id="rId18"/>
  </sheets>
  <externalReferences>
    <externalReference r:id="rId19"/>
  </externalReferences>
  <definedNames>
    <definedName name="__xlfn_IFERROR">#N/A</definedName>
    <definedName name="_xlnm._FilterDatabase" localSheetId="12" hidden="1">'V3'!$C$27:$O$173</definedName>
    <definedName name="_xlnm._FilterDatabase" localSheetId="17" hidden="1">Vendas!$B$1:$B$426</definedName>
    <definedName name="_xlnm._FilterDatabase" localSheetId="11" hidden="1">VIDAL!$C$27:$O$173</definedName>
    <definedName name="_xlnm._FilterDatabase" localSheetId="10" hidden="1">'VIP MX'!$C$27:$O$173</definedName>
    <definedName name="Excel_BuiltIn__FilterDatabase" localSheetId="16">'Feira Santana'!$A$15:$Q$235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56" l="1"/>
  <c r="L19" i="56"/>
  <c r="G19" i="56"/>
  <c r="C19" i="56"/>
  <c r="Y72" i="57"/>
  <c r="Y60" i="57" s="1"/>
  <c r="W72" i="57"/>
  <c r="U72" i="57"/>
  <c r="S72" i="57"/>
  <c r="Q72" i="57"/>
  <c r="M72" i="57"/>
  <c r="K72" i="57"/>
  <c r="I72" i="57"/>
  <c r="I60" i="57" s="1"/>
  <c r="G72" i="57"/>
  <c r="E72" i="57"/>
  <c r="C72" i="57"/>
  <c r="Y71" i="57"/>
  <c r="W71" i="57"/>
  <c r="U71" i="57"/>
  <c r="U60" i="57" s="1"/>
  <c r="S71" i="57"/>
  <c r="Q71" i="57"/>
  <c r="Q60" i="57" s="1"/>
  <c r="M71" i="57"/>
  <c r="M60" i="57" s="1"/>
  <c r="K71" i="57"/>
  <c r="I71" i="57"/>
  <c r="G71" i="57"/>
  <c r="E71" i="57"/>
  <c r="E60" i="57" s="1"/>
  <c r="C71" i="57"/>
  <c r="Z60" i="57"/>
  <c r="X60" i="57"/>
  <c r="W60" i="57"/>
  <c r="V60" i="57"/>
  <c r="T60" i="57"/>
  <c r="T74" i="57" s="1"/>
  <c r="S60" i="57"/>
  <c r="R60" i="57"/>
  <c r="P60" i="57"/>
  <c r="N60" i="57"/>
  <c r="L60" i="57"/>
  <c r="L74" i="57" s="1"/>
  <c r="K60" i="57"/>
  <c r="J60" i="57"/>
  <c r="H60" i="57"/>
  <c r="G60" i="57"/>
  <c r="F60" i="57"/>
  <c r="D60" i="57"/>
  <c r="D74" i="57" s="1"/>
  <c r="C60" i="57"/>
  <c r="U57" i="57"/>
  <c r="U55" i="57" s="1"/>
  <c r="U74" i="57" s="1"/>
  <c r="O57" i="57"/>
  <c r="I57" i="57"/>
  <c r="I55" i="57" s="1"/>
  <c r="U56" i="57"/>
  <c r="O56" i="57"/>
  <c r="O71" i="57" s="1"/>
  <c r="F56" i="57"/>
  <c r="Z55" i="57"/>
  <c r="Z74" i="57" s="1"/>
  <c r="Y55" i="57"/>
  <c r="Y74" i="57" s="1"/>
  <c r="X55" i="57"/>
  <c r="X74" i="57" s="1"/>
  <c r="W55" i="57"/>
  <c r="W74" i="57" s="1"/>
  <c r="V55" i="57"/>
  <c r="V74" i="57" s="1"/>
  <c r="T55" i="57"/>
  <c r="S55" i="57"/>
  <c r="S74" i="57" s="1"/>
  <c r="R55" i="57"/>
  <c r="R74" i="57" s="1"/>
  <c r="Q55" i="57"/>
  <c r="P55" i="57"/>
  <c r="P74" i="57" s="1"/>
  <c r="O55" i="57"/>
  <c r="N55" i="57"/>
  <c r="N74" i="57" s="1"/>
  <c r="M55" i="57"/>
  <c r="M74" i="57" s="1"/>
  <c r="L55" i="57"/>
  <c r="K55" i="57"/>
  <c r="K74" i="57" s="1"/>
  <c r="J55" i="57"/>
  <c r="J74" i="57" s="1"/>
  <c r="H55" i="57"/>
  <c r="H74" i="57" s="1"/>
  <c r="G55" i="57"/>
  <c r="G74" i="57" s="1"/>
  <c r="F55" i="57"/>
  <c r="F74" i="57" s="1"/>
  <c r="E55" i="57"/>
  <c r="E74" i="57" s="1"/>
  <c r="D55" i="57"/>
  <c r="C55" i="57"/>
  <c r="C74" i="57" s="1"/>
  <c r="Y48" i="57"/>
  <c r="W48" i="57"/>
  <c r="S48" i="57"/>
  <c r="Q48" i="57"/>
  <c r="M48" i="57"/>
  <c r="K48" i="57"/>
  <c r="J48" i="57"/>
  <c r="I48" i="57"/>
  <c r="G48" i="57"/>
  <c r="E48" i="57"/>
  <c r="C48" i="57"/>
  <c r="C36" i="57" s="1"/>
  <c r="Y47" i="57"/>
  <c r="W47" i="57"/>
  <c r="U47" i="57"/>
  <c r="U36" i="57" s="1"/>
  <c r="S47" i="57"/>
  <c r="Q47" i="57"/>
  <c r="M47" i="57"/>
  <c r="K47" i="57"/>
  <c r="K36" i="57" s="1"/>
  <c r="J47" i="57"/>
  <c r="I47" i="57"/>
  <c r="G47" i="57"/>
  <c r="G36" i="57" s="1"/>
  <c r="E47" i="57"/>
  <c r="C47" i="57"/>
  <c r="F45" i="57"/>
  <c r="J40" i="57"/>
  <c r="I40" i="57"/>
  <c r="H40" i="57"/>
  <c r="Y39" i="57"/>
  <c r="W39" i="57"/>
  <c r="U39" i="57"/>
  <c r="S39" i="57"/>
  <c r="Q39" i="57"/>
  <c r="O39" i="57"/>
  <c r="M39" i="57"/>
  <c r="K39" i="57"/>
  <c r="J39" i="57"/>
  <c r="I39" i="57"/>
  <c r="H39" i="57"/>
  <c r="G39" i="57"/>
  <c r="F39" i="57"/>
  <c r="E39" i="57"/>
  <c r="D39" i="57"/>
  <c r="C39" i="57"/>
  <c r="Y37" i="57"/>
  <c r="W37" i="57"/>
  <c r="W36" i="57" s="1"/>
  <c r="U37" i="57"/>
  <c r="S37" i="57"/>
  <c r="Q37" i="57"/>
  <c r="O37" i="57"/>
  <c r="M37" i="57"/>
  <c r="M36" i="57" s="1"/>
  <c r="K37" i="57"/>
  <c r="J37" i="57"/>
  <c r="I37" i="57"/>
  <c r="I36" i="57" s="1"/>
  <c r="H37" i="57"/>
  <c r="G37" i="57"/>
  <c r="F37" i="57"/>
  <c r="E37" i="57"/>
  <c r="D37" i="57"/>
  <c r="C37" i="57"/>
  <c r="Z36" i="57"/>
  <c r="Y36" i="57"/>
  <c r="X36" i="57"/>
  <c r="V36" i="57"/>
  <c r="T36" i="57"/>
  <c r="S36" i="57"/>
  <c r="R36" i="57"/>
  <c r="Q36" i="57"/>
  <c r="P36" i="57"/>
  <c r="N36" i="57"/>
  <c r="L36" i="57"/>
  <c r="J36" i="57"/>
  <c r="H36" i="57"/>
  <c r="F36" i="57"/>
  <c r="E36" i="57"/>
  <c r="D36" i="57"/>
  <c r="U33" i="57"/>
  <c r="O33" i="57"/>
  <c r="I33" i="57"/>
  <c r="U32" i="57"/>
  <c r="O32" i="57"/>
  <c r="U31" i="57"/>
  <c r="U48" i="57" s="1"/>
  <c r="O31" i="57"/>
  <c r="O47" i="57" s="1"/>
  <c r="J31" i="57"/>
  <c r="J29" i="57" s="1"/>
  <c r="J50" i="57" s="1"/>
  <c r="U30" i="57"/>
  <c r="O30" i="57"/>
  <c r="O29" i="57" s="1"/>
  <c r="Z29" i="57"/>
  <c r="Z50" i="57" s="1"/>
  <c r="Y29" i="57"/>
  <c r="Y50" i="57" s="1"/>
  <c r="X29" i="57"/>
  <c r="X50" i="57" s="1"/>
  <c r="W29" i="57"/>
  <c r="V29" i="57"/>
  <c r="V50" i="57" s="1"/>
  <c r="U29" i="57"/>
  <c r="T29" i="57"/>
  <c r="T50" i="57" s="1"/>
  <c r="S29" i="57"/>
  <c r="S50" i="57" s="1"/>
  <c r="R29" i="57"/>
  <c r="R50" i="57" s="1"/>
  <c r="Q29" i="57"/>
  <c r="Q50" i="57" s="1"/>
  <c r="P29" i="57"/>
  <c r="P50" i="57" s="1"/>
  <c r="N29" i="57"/>
  <c r="N50" i="57" s="1"/>
  <c r="M29" i="57"/>
  <c r="M50" i="57" s="1"/>
  <c r="L29" i="57"/>
  <c r="L50" i="57" s="1"/>
  <c r="K29" i="57"/>
  <c r="K50" i="57" s="1"/>
  <c r="I29" i="57"/>
  <c r="I50" i="57" s="1"/>
  <c r="H29" i="57"/>
  <c r="H50" i="57" s="1"/>
  <c r="G29" i="57"/>
  <c r="G50" i="57" s="1"/>
  <c r="F29" i="57"/>
  <c r="F50" i="57" s="1"/>
  <c r="E29" i="57"/>
  <c r="E50" i="57" s="1"/>
  <c r="D29" i="57"/>
  <c r="D50" i="57" s="1"/>
  <c r="C29" i="57"/>
  <c r="C50" i="57" s="1"/>
  <c r="Y22" i="57"/>
  <c r="W22" i="57"/>
  <c r="S22" i="57"/>
  <c r="Q22" i="57"/>
  <c r="M22" i="57"/>
  <c r="K22" i="57"/>
  <c r="I22" i="57"/>
  <c r="G22" i="57"/>
  <c r="F22" i="57"/>
  <c r="E22" i="57"/>
  <c r="C22" i="57"/>
  <c r="Y21" i="57"/>
  <c r="W21" i="57"/>
  <c r="S21" i="57"/>
  <c r="Q21" i="57"/>
  <c r="M21" i="57"/>
  <c r="K21" i="57"/>
  <c r="I21" i="57"/>
  <c r="G21" i="57"/>
  <c r="F21" i="57"/>
  <c r="E21" i="57"/>
  <c r="C21" i="57"/>
  <c r="J19" i="57"/>
  <c r="H19" i="57"/>
  <c r="F19" i="57"/>
  <c r="D19" i="57"/>
  <c r="C19" i="57"/>
  <c r="J16" i="57"/>
  <c r="H16" i="57"/>
  <c r="D16" i="57"/>
  <c r="C15" i="57"/>
  <c r="Y12" i="57"/>
  <c r="W12" i="57"/>
  <c r="U12" i="57"/>
  <c r="S12" i="57"/>
  <c r="Q12" i="57"/>
  <c r="O12" i="57"/>
  <c r="M12" i="57"/>
  <c r="K12" i="57"/>
  <c r="J12" i="57"/>
  <c r="I12" i="57"/>
  <c r="H12" i="57"/>
  <c r="G12" i="57"/>
  <c r="F12" i="57"/>
  <c r="E12" i="57"/>
  <c r="D12" i="57"/>
  <c r="C12" i="57"/>
  <c r="Y11" i="57"/>
  <c r="W11" i="57"/>
  <c r="U11" i="57"/>
  <c r="S11" i="57"/>
  <c r="Q11" i="57"/>
  <c r="O11" i="57"/>
  <c r="M11" i="57"/>
  <c r="K11" i="57"/>
  <c r="J11" i="57"/>
  <c r="I11" i="57"/>
  <c r="H11" i="57"/>
  <c r="G11" i="57"/>
  <c r="F11" i="57"/>
  <c r="E11" i="57"/>
  <c r="D11" i="57"/>
  <c r="C11" i="57"/>
  <c r="Z10" i="57"/>
  <c r="Y10" i="57"/>
  <c r="X10" i="57"/>
  <c r="W10" i="57"/>
  <c r="V10" i="57"/>
  <c r="T10" i="57"/>
  <c r="S10" i="57"/>
  <c r="R10" i="57"/>
  <c r="Q10" i="57"/>
  <c r="P10" i="57"/>
  <c r="N10" i="57"/>
  <c r="M10" i="57"/>
  <c r="L10" i="57"/>
  <c r="K10" i="57"/>
  <c r="J10" i="57"/>
  <c r="I10" i="57"/>
  <c r="H10" i="57"/>
  <c r="G10" i="57"/>
  <c r="F10" i="57"/>
  <c r="E10" i="57"/>
  <c r="D10" i="57"/>
  <c r="C10" i="57"/>
  <c r="U7" i="57"/>
  <c r="O7" i="57"/>
  <c r="I7" i="57"/>
  <c r="U6" i="57"/>
  <c r="O6" i="57"/>
  <c r="U5" i="57"/>
  <c r="U3" i="57" s="1"/>
  <c r="O5" i="57"/>
  <c r="O3" i="57" s="1"/>
  <c r="U4" i="57"/>
  <c r="U21" i="57" s="1"/>
  <c r="O4" i="57"/>
  <c r="O21" i="57" s="1"/>
  <c r="J4" i="57"/>
  <c r="Z3" i="57"/>
  <c r="Z24" i="57" s="1"/>
  <c r="Y3" i="57"/>
  <c r="Y24" i="57" s="1"/>
  <c r="X3" i="57"/>
  <c r="X24" i="57" s="1"/>
  <c r="W3" i="57"/>
  <c r="W24" i="57" s="1"/>
  <c r="V3" i="57"/>
  <c r="V24" i="57" s="1"/>
  <c r="T3" i="57"/>
  <c r="T24" i="57" s="1"/>
  <c r="S3" i="57"/>
  <c r="S24" i="57" s="1"/>
  <c r="R3" i="57"/>
  <c r="R24" i="57" s="1"/>
  <c r="Q3" i="57"/>
  <c r="Q24" i="57" s="1"/>
  <c r="P3" i="57"/>
  <c r="P24" i="57" s="1"/>
  <c r="N3" i="57"/>
  <c r="N24" i="57" s="1"/>
  <c r="M3" i="57"/>
  <c r="M24" i="57" s="1"/>
  <c r="L3" i="57"/>
  <c r="L24" i="57" s="1"/>
  <c r="K3" i="57"/>
  <c r="K24" i="57" s="1"/>
  <c r="J3" i="57"/>
  <c r="J24" i="57" s="1"/>
  <c r="I3" i="57"/>
  <c r="I24" i="57" s="1"/>
  <c r="H3" i="57"/>
  <c r="H24" i="57" s="1"/>
  <c r="G3" i="57"/>
  <c r="G24" i="57" s="1"/>
  <c r="F3" i="57"/>
  <c r="F24" i="57" s="1"/>
  <c r="E3" i="57"/>
  <c r="E24" i="57" s="1"/>
  <c r="D3" i="57"/>
  <c r="D24" i="57" s="1"/>
  <c r="C3" i="57"/>
  <c r="C24" i="57" s="1"/>
  <c r="J24" i="43"/>
  <c r="Q74" i="57" l="1"/>
  <c r="I74" i="57"/>
  <c r="O72" i="57"/>
  <c r="O60" i="57" s="1"/>
  <c r="O74" i="57" s="1"/>
  <c r="U50" i="57"/>
  <c r="W50" i="57"/>
  <c r="O48" i="57"/>
  <c r="O36" i="57" s="1"/>
  <c r="O50" i="57" s="1"/>
  <c r="O22" i="57"/>
  <c r="O10" i="57" s="1"/>
  <c r="O24" i="57" s="1"/>
  <c r="U22" i="57"/>
  <c r="U10" i="57" s="1"/>
  <c r="U24" i="57" s="1"/>
  <c r="J16" i="43"/>
  <c r="J19" i="43"/>
  <c r="J22" i="50"/>
  <c r="J21" i="50"/>
  <c r="J5" i="50"/>
  <c r="J11" i="50"/>
  <c r="J11" i="43"/>
  <c r="J13" i="50"/>
  <c r="J12" i="43"/>
  <c r="J14" i="50"/>
  <c r="J4" i="43"/>
  <c r="O11" i="50"/>
  <c r="M11" i="50"/>
  <c r="K11" i="50"/>
  <c r="I11" i="50"/>
  <c r="H11" i="50" l="1"/>
  <c r="H19" i="43" l="1"/>
  <c r="G41" i="43" l="1"/>
  <c r="E10" i="46"/>
  <c r="H13" i="50"/>
  <c r="H16" i="43"/>
  <c r="I14" i="50"/>
  <c r="H14" i="50"/>
  <c r="H11" i="43"/>
  <c r="H12" i="43" l="1"/>
  <c r="F13" i="50" l="1"/>
  <c r="F12" i="43"/>
  <c r="F19" i="50"/>
  <c r="F19" i="43"/>
  <c r="F11" i="43"/>
  <c r="F4" i="51"/>
  <c r="F11" i="50"/>
  <c r="E11" i="50"/>
  <c r="F22" i="43"/>
  <c r="F21" i="43"/>
  <c r="E11" i="43" l="1"/>
  <c r="E21" i="43" l="1"/>
  <c r="D11" i="50" l="1"/>
  <c r="D13" i="50"/>
  <c r="D19" i="43"/>
  <c r="D11" i="43"/>
  <c r="D12" i="43"/>
  <c r="C11" i="43"/>
  <c r="C21" i="50"/>
  <c r="D16" i="43"/>
  <c r="C11" i="50" l="1"/>
  <c r="C19" i="43"/>
  <c r="F68" i="49"/>
  <c r="F61" i="49"/>
  <c r="M11" i="47"/>
  <c r="M10" i="47"/>
  <c r="M9" i="47"/>
  <c r="M8" i="47"/>
  <c r="M7" i="47"/>
  <c r="M6" i="47"/>
  <c r="M5" i="47"/>
  <c r="M12" i="47" l="1"/>
  <c r="C15" i="43"/>
  <c r="F12" i="54"/>
  <c r="F19" i="54"/>
  <c r="G30" i="54"/>
  <c r="F30" i="54"/>
  <c r="G19" i="54"/>
  <c r="M12" i="43"/>
  <c r="K12" i="43"/>
  <c r="I12" i="43"/>
  <c r="G12" i="43"/>
  <c r="E12" i="43"/>
  <c r="C12" i="43"/>
  <c r="M11" i="43"/>
  <c r="K11" i="43"/>
  <c r="I11" i="43"/>
  <c r="G11" i="43"/>
  <c r="G11" i="50"/>
  <c r="C22" i="51"/>
  <c r="F5" i="53"/>
  <c r="I5" i="53" s="1"/>
  <c r="I6" i="53" s="1"/>
  <c r="I7" i="53" s="1"/>
  <c r="I8" i="53" s="1"/>
  <c r="I9" i="53" s="1"/>
  <c r="I10" i="53" s="1"/>
  <c r="I11" i="53" s="1"/>
  <c r="C12" i="53"/>
  <c r="I4" i="53"/>
  <c r="F13" i="53"/>
  <c r="H15" i="53"/>
  <c r="G15" i="53"/>
  <c r="E15" i="53"/>
  <c r="C15" i="53"/>
  <c r="F192" i="49"/>
  <c r="F154" i="49"/>
  <c r="F118" i="49"/>
  <c r="F80" i="49"/>
  <c r="I400" i="52"/>
  <c r="H399" i="52"/>
  <c r="E399" i="52"/>
  <c r="F398" i="52"/>
  <c r="F397" i="52"/>
  <c r="F396" i="52"/>
  <c r="F395" i="52"/>
  <c r="F394" i="52"/>
  <c r="F393" i="52"/>
  <c r="F392" i="52"/>
  <c r="F391" i="52"/>
  <c r="F390" i="52"/>
  <c r="F389" i="52"/>
  <c r="F388" i="52"/>
  <c r="F387" i="52"/>
  <c r="F386" i="52"/>
  <c r="F385" i="52"/>
  <c r="F384" i="52"/>
  <c r="F383" i="52"/>
  <c r="F382" i="52"/>
  <c r="F381" i="52"/>
  <c r="F380" i="52"/>
  <c r="F379" i="52"/>
  <c r="F378" i="52"/>
  <c r="F377" i="52"/>
  <c r="F376" i="52"/>
  <c r="I370" i="52"/>
  <c r="H369" i="52"/>
  <c r="E369" i="52"/>
  <c r="F368" i="52"/>
  <c r="C368" i="52"/>
  <c r="F367" i="52"/>
  <c r="C367" i="52"/>
  <c r="F366" i="52"/>
  <c r="C366" i="52"/>
  <c r="F365" i="52"/>
  <c r="C365" i="52"/>
  <c r="F364" i="52"/>
  <c r="C364" i="52"/>
  <c r="F363" i="52"/>
  <c r="C363" i="52"/>
  <c r="F362" i="52"/>
  <c r="D362" i="52"/>
  <c r="C362" i="52"/>
  <c r="F361" i="52"/>
  <c r="C361" i="52"/>
  <c r="F360" i="52"/>
  <c r="D360" i="52"/>
  <c r="C360" i="52"/>
  <c r="F359" i="52"/>
  <c r="C359" i="52"/>
  <c r="F358" i="52"/>
  <c r="C358" i="52"/>
  <c r="F357" i="52"/>
  <c r="C357" i="52"/>
  <c r="F356" i="52"/>
  <c r="C356" i="52"/>
  <c r="F355" i="52"/>
  <c r="D355" i="52"/>
  <c r="C355" i="52"/>
  <c r="F354" i="52"/>
  <c r="C354" i="52"/>
  <c r="F353" i="52"/>
  <c r="C353" i="52"/>
  <c r="F352" i="52"/>
  <c r="C352" i="52"/>
  <c r="F351" i="52"/>
  <c r="C351" i="52"/>
  <c r="F350" i="52"/>
  <c r="C350" i="52"/>
  <c r="F349" i="52"/>
  <c r="C349" i="52"/>
  <c r="F348" i="52"/>
  <c r="C348" i="52"/>
  <c r="F347" i="52"/>
  <c r="C347" i="52"/>
  <c r="F346" i="52"/>
  <c r="C346" i="52"/>
  <c r="I340" i="52"/>
  <c r="H339" i="52"/>
  <c r="E339" i="52"/>
  <c r="F338" i="52"/>
  <c r="C338" i="52"/>
  <c r="F337" i="52"/>
  <c r="C337" i="52"/>
  <c r="F336" i="52"/>
  <c r="C336" i="52"/>
  <c r="F335" i="52"/>
  <c r="C335" i="52"/>
  <c r="F334" i="52"/>
  <c r="C334" i="52"/>
  <c r="F333" i="52"/>
  <c r="C333" i="52"/>
  <c r="F332" i="52"/>
  <c r="C332" i="52"/>
  <c r="F331" i="52"/>
  <c r="C331" i="52"/>
  <c r="F330" i="52"/>
  <c r="C330" i="52"/>
  <c r="F329" i="52"/>
  <c r="C329" i="52"/>
  <c r="F328" i="52"/>
  <c r="C328" i="52"/>
  <c r="F327" i="52"/>
  <c r="C327" i="52"/>
  <c r="F326" i="52"/>
  <c r="C326" i="52"/>
  <c r="F325" i="52"/>
  <c r="C325" i="52"/>
  <c r="F324" i="52"/>
  <c r="C324" i="52"/>
  <c r="F323" i="52"/>
  <c r="C323" i="52"/>
  <c r="F322" i="52"/>
  <c r="C322" i="52"/>
  <c r="F321" i="52"/>
  <c r="C321" i="52"/>
  <c r="F320" i="52"/>
  <c r="C320" i="52"/>
  <c r="F319" i="52"/>
  <c r="C319" i="52"/>
  <c r="F318" i="52"/>
  <c r="C318" i="52"/>
  <c r="F317" i="52"/>
  <c r="C317" i="52"/>
  <c r="F316" i="52"/>
  <c r="F339" i="52" s="1"/>
  <c r="C316" i="52"/>
  <c r="I310" i="52"/>
  <c r="H309" i="52"/>
  <c r="E309" i="52"/>
  <c r="F308" i="52"/>
  <c r="C308" i="52"/>
  <c r="F307" i="52"/>
  <c r="C307" i="52"/>
  <c r="F306" i="52"/>
  <c r="D306" i="52"/>
  <c r="C306" i="52"/>
  <c r="F305" i="52"/>
  <c r="C305" i="52"/>
  <c r="F304" i="52"/>
  <c r="C304" i="52"/>
  <c r="F303" i="52"/>
  <c r="C303" i="52"/>
  <c r="F302" i="52"/>
  <c r="C302" i="52"/>
  <c r="F301" i="52"/>
  <c r="C301" i="52"/>
  <c r="F300" i="52"/>
  <c r="C300" i="52"/>
  <c r="F299" i="52"/>
  <c r="C299" i="52"/>
  <c r="F298" i="52"/>
  <c r="C298" i="52"/>
  <c r="F297" i="52"/>
  <c r="C297" i="52"/>
  <c r="F296" i="52"/>
  <c r="C296" i="52"/>
  <c r="F295" i="52"/>
  <c r="C295" i="52"/>
  <c r="F294" i="52"/>
  <c r="C294" i="52"/>
  <c r="F293" i="52"/>
  <c r="C293" i="52"/>
  <c r="F292" i="52"/>
  <c r="C292" i="52"/>
  <c r="F291" i="52"/>
  <c r="C291" i="52"/>
  <c r="F290" i="52"/>
  <c r="C290" i="52"/>
  <c r="F289" i="52"/>
  <c r="C289" i="52"/>
  <c r="F288" i="52"/>
  <c r="C288" i="52"/>
  <c r="F287" i="52"/>
  <c r="C287" i="52"/>
  <c r="F286" i="52"/>
  <c r="F309" i="52" s="1"/>
  <c r="C286" i="52"/>
  <c r="I280" i="52"/>
  <c r="H279" i="52"/>
  <c r="F279" i="52"/>
  <c r="E279" i="52"/>
  <c r="F278" i="52"/>
  <c r="C278" i="52"/>
  <c r="F277" i="52"/>
  <c r="C277" i="52"/>
  <c r="F276" i="52"/>
  <c r="C276" i="52"/>
  <c r="F275" i="52"/>
  <c r="C275" i="52"/>
  <c r="F274" i="52"/>
  <c r="C274" i="52"/>
  <c r="F273" i="52"/>
  <c r="C273" i="52"/>
  <c r="F272" i="52"/>
  <c r="C272" i="52"/>
  <c r="F271" i="52"/>
  <c r="C271" i="52"/>
  <c r="F270" i="52"/>
  <c r="C270" i="52"/>
  <c r="F269" i="52"/>
  <c r="C269" i="52"/>
  <c r="F268" i="52"/>
  <c r="C268" i="52"/>
  <c r="F267" i="52"/>
  <c r="C267" i="52"/>
  <c r="F266" i="52"/>
  <c r="C266" i="52"/>
  <c r="F265" i="52"/>
  <c r="C265" i="52"/>
  <c r="F264" i="52"/>
  <c r="C264" i="52"/>
  <c r="F263" i="52"/>
  <c r="C263" i="52"/>
  <c r="F262" i="52"/>
  <c r="C262" i="52"/>
  <c r="F261" i="52"/>
  <c r="C261" i="52"/>
  <c r="F260" i="52"/>
  <c r="C260" i="52"/>
  <c r="F259" i="52"/>
  <c r="C259" i="52"/>
  <c r="F258" i="52"/>
  <c r="C258" i="52"/>
  <c r="F257" i="52"/>
  <c r="C257" i="52"/>
  <c r="F256" i="52"/>
  <c r="C256" i="52"/>
  <c r="I249" i="52"/>
  <c r="H248" i="52"/>
  <c r="F248" i="52"/>
  <c r="E248" i="52"/>
  <c r="F247" i="52"/>
  <c r="C247" i="52"/>
  <c r="F246" i="52"/>
  <c r="C246" i="52"/>
  <c r="F245" i="52"/>
  <c r="C245" i="52"/>
  <c r="F244" i="52"/>
  <c r="C244" i="52"/>
  <c r="F243" i="52"/>
  <c r="C243" i="52"/>
  <c r="F242" i="52"/>
  <c r="C242" i="52"/>
  <c r="F241" i="52"/>
  <c r="C241" i="52"/>
  <c r="F240" i="52"/>
  <c r="C240" i="52"/>
  <c r="F239" i="52"/>
  <c r="C239" i="52"/>
  <c r="F238" i="52"/>
  <c r="C238" i="52"/>
  <c r="F237" i="52"/>
  <c r="C237" i="52"/>
  <c r="F236" i="52"/>
  <c r="C236" i="52"/>
  <c r="F235" i="52"/>
  <c r="C235" i="52"/>
  <c r="F234" i="52"/>
  <c r="C234" i="52"/>
  <c r="F233" i="52"/>
  <c r="C233" i="52"/>
  <c r="F232" i="52"/>
  <c r="C232" i="52"/>
  <c r="F231" i="52"/>
  <c r="C231" i="52"/>
  <c r="F230" i="52"/>
  <c r="C230" i="52"/>
  <c r="F229" i="52"/>
  <c r="C229" i="52"/>
  <c r="F228" i="52"/>
  <c r="C228" i="52"/>
  <c r="F227" i="52"/>
  <c r="C227" i="52"/>
  <c r="F226" i="52"/>
  <c r="C226" i="52"/>
  <c r="F225" i="52"/>
  <c r="C225" i="52"/>
  <c r="C248" i="52" s="1"/>
  <c r="I224" i="52"/>
  <c r="I225" i="52" s="1"/>
  <c r="I226" i="52" s="1"/>
  <c r="I227" i="52" s="1"/>
  <c r="I228" i="52" s="1"/>
  <c r="I229" i="52" s="1"/>
  <c r="I230" i="52" s="1"/>
  <c r="I231" i="52" s="1"/>
  <c r="I232" i="52" s="1"/>
  <c r="I233" i="52" s="1"/>
  <c r="I234" i="52" s="1"/>
  <c r="I235" i="52" s="1"/>
  <c r="I236" i="52" s="1"/>
  <c r="I237" i="52" s="1"/>
  <c r="I238" i="52" s="1"/>
  <c r="I239" i="52" s="1"/>
  <c r="I240" i="52" s="1"/>
  <c r="I241" i="52" s="1"/>
  <c r="I242" i="52" s="1"/>
  <c r="I243" i="52" s="1"/>
  <c r="I244" i="52" s="1"/>
  <c r="I245" i="52" s="1"/>
  <c r="I246" i="52" s="1"/>
  <c r="I247" i="52" s="1"/>
  <c r="I255" i="52" s="1"/>
  <c r="I256" i="52" s="1"/>
  <c r="I257" i="52" s="1"/>
  <c r="I258" i="52" s="1"/>
  <c r="I259" i="52" s="1"/>
  <c r="I260" i="52" s="1"/>
  <c r="I261" i="52" s="1"/>
  <c r="I262" i="52" s="1"/>
  <c r="I263" i="52" s="1"/>
  <c r="I264" i="52" s="1"/>
  <c r="I265" i="52" s="1"/>
  <c r="I266" i="52" s="1"/>
  <c r="I267" i="52" s="1"/>
  <c r="I268" i="52" s="1"/>
  <c r="I269" i="52" s="1"/>
  <c r="I270" i="52" s="1"/>
  <c r="I271" i="52" s="1"/>
  <c r="I272" i="52" s="1"/>
  <c r="I273" i="52" s="1"/>
  <c r="I274" i="52" s="1"/>
  <c r="I275" i="52" s="1"/>
  <c r="I276" i="52" s="1"/>
  <c r="I277" i="52" s="1"/>
  <c r="H218" i="52"/>
  <c r="E218" i="52"/>
  <c r="F217" i="52"/>
  <c r="F206" i="52"/>
  <c r="F202" i="52"/>
  <c r="F197" i="52"/>
  <c r="F192" i="52"/>
  <c r="F218" i="52" s="1"/>
  <c r="H181" i="52"/>
  <c r="E181" i="52"/>
  <c r="C181" i="52"/>
  <c r="F178" i="52"/>
  <c r="F169" i="52"/>
  <c r="F164" i="52"/>
  <c r="F157" i="52"/>
  <c r="F154" i="52"/>
  <c r="F181" i="52" s="1"/>
  <c r="H143" i="52"/>
  <c r="E143" i="52"/>
  <c r="C143" i="52"/>
  <c r="F142" i="52"/>
  <c r="F132" i="52"/>
  <c r="F127" i="52"/>
  <c r="F122" i="52"/>
  <c r="F118" i="52"/>
  <c r="F143" i="52" s="1"/>
  <c r="H107" i="52"/>
  <c r="E107" i="52"/>
  <c r="C107" i="52"/>
  <c r="F105" i="52"/>
  <c r="F95" i="52"/>
  <c r="F88" i="52"/>
  <c r="F85" i="52"/>
  <c r="F80" i="52"/>
  <c r="F107" i="52" s="1"/>
  <c r="H70" i="52"/>
  <c r="E70" i="52"/>
  <c r="C70" i="52"/>
  <c r="F68" i="52"/>
  <c r="F61" i="52"/>
  <c r="F54" i="52"/>
  <c r="F51" i="52"/>
  <c r="F46" i="52"/>
  <c r="F70" i="52" s="1"/>
  <c r="H36" i="52"/>
  <c r="G36" i="52"/>
  <c r="E36" i="52"/>
  <c r="C36" i="52"/>
  <c r="F34" i="52"/>
  <c r="F24" i="52"/>
  <c r="F19" i="52"/>
  <c r="F13" i="52"/>
  <c r="F9" i="52"/>
  <c r="F36" i="52" s="1"/>
  <c r="I5" i="52"/>
  <c r="I6" i="52" s="1"/>
  <c r="I7" i="52" s="1"/>
  <c r="I8" i="52" s="1"/>
  <c r="I9" i="52" s="1"/>
  <c r="I10" i="52" s="1"/>
  <c r="I11" i="52" s="1"/>
  <c r="I12" i="52" s="1"/>
  <c r="I13" i="52" s="1"/>
  <c r="I14" i="52" s="1"/>
  <c r="I15" i="52" s="1"/>
  <c r="I16" i="52" s="1"/>
  <c r="I17" i="52" s="1"/>
  <c r="I18" i="52" s="1"/>
  <c r="I19" i="52" s="1"/>
  <c r="I20" i="52" s="1"/>
  <c r="I21" i="52" s="1"/>
  <c r="I22" i="52" s="1"/>
  <c r="I23" i="52" s="1"/>
  <c r="I24" i="52" s="1"/>
  <c r="I25" i="52" s="1"/>
  <c r="I26" i="52" s="1"/>
  <c r="I27" i="52" s="1"/>
  <c r="I28" i="52" s="1"/>
  <c r="I29" i="52" s="1"/>
  <c r="I30" i="52" s="1"/>
  <c r="I31" i="52" s="1"/>
  <c r="I32" i="52" s="1"/>
  <c r="I33" i="52" s="1"/>
  <c r="I34" i="52" s="1"/>
  <c r="I35" i="52" s="1"/>
  <c r="I41" i="52" s="1"/>
  <c r="I42" i="52" s="1"/>
  <c r="I43" i="52" s="1"/>
  <c r="I44" i="52" s="1"/>
  <c r="I45" i="52" s="1"/>
  <c r="I46" i="52" s="1"/>
  <c r="I47" i="52" s="1"/>
  <c r="I48" i="52" s="1"/>
  <c r="I49" i="52" s="1"/>
  <c r="I50" i="52" s="1"/>
  <c r="I51" i="52" s="1"/>
  <c r="I52" i="52" s="1"/>
  <c r="I53" i="52" s="1"/>
  <c r="I54" i="52" s="1"/>
  <c r="I55" i="52" s="1"/>
  <c r="I56" i="52" s="1"/>
  <c r="I57" i="52" s="1"/>
  <c r="I58" i="52" s="1"/>
  <c r="I59" i="52" s="1"/>
  <c r="I60" i="52" s="1"/>
  <c r="I61" i="52" s="1"/>
  <c r="I62" i="52" s="1"/>
  <c r="I63" i="52" s="1"/>
  <c r="I64" i="52" s="1"/>
  <c r="I65" i="52" s="1"/>
  <c r="I66" i="52" s="1"/>
  <c r="I67" i="52" s="1"/>
  <c r="I68" i="52" s="1"/>
  <c r="I69" i="52" s="1"/>
  <c r="I75" i="52" s="1"/>
  <c r="I76" i="52" s="1"/>
  <c r="I77" i="52" s="1"/>
  <c r="I78" i="52" s="1"/>
  <c r="I79" i="52" s="1"/>
  <c r="I80" i="52" s="1"/>
  <c r="I81" i="52" s="1"/>
  <c r="I82" i="52" s="1"/>
  <c r="I83" i="52" s="1"/>
  <c r="I84" i="52" s="1"/>
  <c r="I85" i="52" s="1"/>
  <c r="I86" i="52" s="1"/>
  <c r="I87" i="52" s="1"/>
  <c r="I88" i="52" s="1"/>
  <c r="I89" i="52" s="1"/>
  <c r="I90" i="52" s="1"/>
  <c r="I91" i="52" s="1"/>
  <c r="I92" i="52" s="1"/>
  <c r="I93" i="52" s="1"/>
  <c r="I94" i="52" s="1"/>
  <c r="I95" i="52" s="1"/>
  <c r="I96" i="52" s="1"/>
  <c r="I97" i="52" s="1"/>
  <c r="I98" i="52" s="1"/>
  <c r="I99" i="52" s="1"/>
  <c r="I100" i="52" s="1"/>
  <c r="I101" i="52" s="1"/>
  <c r="I102" i="52" s="1"/>
  <c r="I103" i="52" s="1"/>
  <c r="I104" i="52" s="1"/>
  <c r="I105" i="52" s="1"/>
  <c r="I106" i="52" s="1"/>
  <c r="I112" i="52" s="1"/>
  <c r="I113" i="52" s="1"/>
  <c r="I114" i="52" s="1"/>
  <c r="I115" i="52" s="1"/>
  <c r="I116" i="52" s="1"/>
  <c r="I117" i="52" s="1"/>
  <c r="I118" i="52" s="1"/>
  <c r="I119" i="52" s="1"/>
  <c r="I120" i="52" s="1"/>
  <c r="I121" i="52" s="1"/>
  <c r="I122" i="52" s="1"/>
  <c r="I123" i="52" s="1"/>
  <c r="I124" i="52" s="1"/>
  <c r="I125" i="52" s="1"/>
  <c r="I126" i="52" s="1"/>
  <c r="I127" i="52" s="1"/>
  <c r="I128" i="52" s="1"/>
  <c r="I129" i="52" s="1"/>
  <c r="I130" i="52" s="1"/>
  <c r="I131" i="52" s="1"/>
  <c r="I132" i="52" s="1"/>
  <c r="I133" i="52" s="1"/>
  <c r="I134" i="52" s="1"/>
  <c r="I135" i="52" s="1"/>
  <c r="I136" i="52" s="1"/>
  <c r="I137" i="52" s="1"/>
  <c r="I138" i="52" s="1"/>
  <c r="I139" i="52" s="1"/>
  <c r="I140" i="52" s="1"/>
  <c r="I141" i="52" s="1"/>
  <c r="I142" i="52" s="1"/>
  <c r="I149" i="52" s="1"/>
  <c r="I150" i="52" s="1"/>
  <c r="I151" i="52" s="1"/>
  <c r="I152" i="52" s="1"/>
  <c r="I153" i="52" s="1"/>
  <c r="I154" i="52" s="1"/>
  <c r="I155" i="52" s="1"/>
  <c r="I156" i="52" s="1"/>
  <c r="I157" i="52" s="1"/>
  <c r="I158" i="52" s="1"/>
  <c r="I159" i="52" s="1"/>
  <c r="I160" i="52" s="1"/>
  <c r="I161" i="52" s="1"/>
  <c r="I162" i="52" s="1"/>
  <c r="I163" i="52" s="1"/>
  <c r="I164" i="52" s="1"/>
  <c r="I165" i="52" s="1"/>
  <c r="I166" i="52" s="1"/>
  <c r="I167" i="52" s="1"/>
  <c r="I168" i="52" s="1"/>
  <c r="I169" i="52" s="1"/>
  <c r="I170" i="52" s="1"/>
  <c r="I171" i="52" s="1"/>
  <c r="I172" i="52" s="1"/>
  <c r="I173" i="52" s="1"/>
  <c r="I174" i="52" s="1"/>
  <c r="I175" i="52" s="1"/>
  <c r="I176" i="52" s="1"/>
  <c r="I177" i="52" s="1"/>
  <c r="I178" i="52" s="1"/>
  <c r="I179" i="52" s="1"/>
  <c r="I180" i="52" s="1"/>
  <c r="I187" i="52" s="1"/>
  <c r="I188" i="52" s="1"/>
  <c r="I189" i="52" s="1"/>
  <c r="I190" i="52" s="1"/>
  <c r="I191" i="52" s="1"/>
  <c r="I192" i="52" s="1"/>
  <c r="I193" i="52" s="1"/>
  <c r="I194" i="52" s="1"/>
  <c r="I195" i="52" s="1"/>
  <c r="I196" i="52" s="1"/>
  <c r="I197" i="52" s="1"/>
  <c r="I198" i="52" s="1"/>
  <c r="I199" i="52" s="1"/>
  <c r="I200" i="52" s="1"/>
  <c r="I201" i="52" s="1"/>
  <c r="I202" i="52" s="1"/>
  <c r="I203" i="52" s="1"/>
  <c r="I204" i="52" s="1"/>
  <c r="I205" i="52" s="1"/>
  <c r="I206" i="52" s="1"/>
  <c r="I207" i="52" s="1"/>
  <c r="I208" i="52" s="1"/>
  <c r="I209" i="52" s="1"/>
  <c r="I210" i="52" s="1"/>
  <c r="I211" i="52" s="1"/>
  <c r="I212" i="52" s="1"/>
  <c r="I213" i="52" s="1"/>
  <c r="I214" i="52" s="1"/>
  <c r="I215" i="52" s="1"/>
  <c r="I216" i="52" s="1"/>
  <c r="I217" i="52" s="1"/>
  <c r="I12" i="53" l="1"/>
  <c r="I13" i="53" s="1"/>
  <c r="I14" i="53" s="1"/>
  <c r="F15" i="53"/>
  <c r="I278" i="52"/>
  <c r="I285" i="52"/>
  <c r="I286" i="52" s="1"/>
  <c r="I287" i="52" s="1"/>
  <c r="I288" i="52" s="1"/>
  <c r="I289" i="52" s="1"/>
  <c r="I290" i="52" s="1"/>
  <c r="I291" i="52" s="1"/>
  <c r="I292" i="52" s="1"/>
  <c r="I293" i="52" s="1"/>
  <c r="I294" i="52" s="1"/>
  <c r="I295" i="52" s="1"/>
  <c r="I296" i="52" s="1"/>
  <c r="I297" i="52" s="1"/>
  <c r="I298" i="52" s="1"/>
  <c r="I299" i="52" s="1"/>
  <c r="I300" i="52" s="1"/>
  <c r="I301" i="52" s="1"/>
  <c r="I302" i="52" s="1"/>
  <c r="I303" i="52" s="1"/>
  <c r="I304" i="52" s="1"/>
  <c r="I305" i="52" s="1"/>
  <c r="I306" i="52" s="1"/>
  <c r="I307" i="52" s="1"/>
  <c r="I308" i="52" l="1"/>
  <c r="I315" i="52"/>
  <c r="I316" i="52" s="1"/>
  <c r="I317" i="52" s="1"/>
  <c r="I318" i="52" s="1"/>
  <c r="I319" i="52" s="1"/>
  <c r="I320" i="52" s="1"/>
  <c r="I321" i="52" s="1"/>
  <c r="I322" i="52" s="1"/>
  <c r="I323" i="52" s="1"/>
  <c r="I324" i="52" s="1"/>
  <c r="I325" i="52" s="1"/>
  <c r="I326" i="52" s="1"/>
  <c r="I327" i="52" s="1"/>
  <c r="I328" i="52" s="1"/>
  <c r="I329" i="52" s="1"/>
  <c r="I330" i="52" s="1"/>
  <c r="I331" i="52" s="1"/>
  <c r="I332" i="52" s="1"/>
  <c r="I333" i="52" s="1"/>
  <c r="I334" i="52" s="1"/>
  <c r="I335" i="52" s="1"/>
  <c r="I336" i="52" s="1"/>
  <c r="I337" i="52" s="1"/>
  <c r="I338" i="52" s="1"/>
  <c r="I345" i="52" s="1"/>
  <c r="I346" i="52" s="1"/>
  <c r="I347" i="52" s="1"/>
  <c r="I348" i="52" s="1"/>
  <c r="I349" i="52" s="1"/>
  <c r="I350" i="52" s="1"/>
  <c r="I351" i="52" s="1"/>
  <c r="I352" i="52" s="1"/>
  <c r="I353" i="52" s="1"/>
  <c r="I354" i="52" s="1"/>
  <c r="I355" i="52" s="1"/>
  <c r="I356" i="52" s="1"/>
  <c r="I357" i="52" s="1"/>
  <c r="I358" i="52" s="1"/>
  <c r="I359" i="52" s="1"/>
  <c r="I360" i="52" s="1"/>
  <c r="I361" i="52" s="1"/>
  <c r="I362" i="52" s="1"/>
  <c r="I363" i="52" s="1"/>
  <c r="I364" i="52" s="1"/>
  <c r="I365" i="52" s="1"/>
  <c r="I366" i="52" s="1"/>
  <c r="I367" i="52" s="1"/>
  <c r="C21" i="43"/>
  <c r="Y20" i="51"/>
  <c r="W20" i="51"/>
  <c r="U20" i="51"/>
  <c r="S20" i="51"/>
  <c r="Q20" i="51"/>
  <c r="O20" i="51"/>
  <c r="M20" i="51"/>
  <c r="K20" i="51"/>
  <c r="I20" i="51"/>
  <c r="G20" i="51"/>
  <c r="E20" i="51"/>
  <c r="C20" i="51"/>
  <c r="Y19" i="51"/>
  <c r="W19" i="51"/>
  <c r="U19" i="51"/>
  <c r="S19" i="51"/>
  <c r="Q19" i="51"/>
  <c r="O19" i="51"/>
  <c r="M19" i="51"/>
  <c r="K19" i="51"/>
  <c r="I19" i="51"/>
  <c r="I8" i="51" s="1"/>
  <c r="G19" i="51"/>
  <c r="E19" i="51"/>
  <c r="C19" i="51"/>
  <c r="Y3" i="50"/>
  <c r="W10" i="50"/>
  <c r="O22" i="50"/>
  <c r="M22" i="50"/>
  <c r="K22" i="50"/>
  <c r="I22" i="50"/>
  <c r="G22" i="50"/>
  <c r="E22" i="50"/>
  <c r="C22" i="50"/>
  <c r="M22" i="43"/>
  <c r="K22" i="43"/>
  <c r="I22" i="43"/>
  <c r="G22" i="43"/>
  <c r="E22" i="43"/>
  <c r="C22" i="43"/>
  <c r="K10" i="50"/>
  <c r="Y10" i="50"/>
  <c r="O21" i="50"/>
  <c r="M21" i="50"/>
  <c r="K21" i="50"/>
  <c r="I21" i="50"/>
  <c r="G21" i="50"/>
  <c r="E21" i="50"/>
  <c r="E10" i="50" s="1"/>
  <c r="E24" i="50" s="1"/>
  <c r="M21" i="43"/>
  <c r="K21" i="43"/>
  <c r="I21" i="43"/>
  <c r="G21" i="43"/>
  <c r="X8" i="51"/>
  <c r="W8" i="51"/>
  <c r="W22" i="51" s="1"/>
  <c r="T8" i="51"/>
  <c r="R8" i="51"/>
  <c r="Q8" i="51"/>
  <c r="P8" i="51"/>
  <c r="L8" i="51"/>
  <c r="L22" i="51" s="1"/>
  <c r="J8" i="51"/>
  <c r="H8" i="51"/>
  <c r="Z8" i="51"/>
  <c r="V8" i="51"/>
  <c r="N8" i="51"/>
  <c r="G8" i="51"/>
  <c r="G22" i="51" s="1"/>
  <c r="F8" i="51"/>
  <c r="D8" i="51"/>
  <c r="U5" i="51"/>
  <c r="O5" i="51"/>
  <c r="I5" i="51"/>
  <c r="I3" i="51" s="1"/>
  <c r="O4" i="51"/>
  <c r="Z3" i="51"/>
  <c r="Y3" i="51"/>
  <c r="X3" i="51"/>
  <c r="W3" i="51"/>
  <c r="V3" i="51"/>
  <c r="T3" i="51"/>
  <c r="S3" i="51"/>
  <c r="R3" i="51"/>
  <c r="Q3" i="51"/>
  <c r="P3" i="51"/>
  <c r="N3" i="51"/>
  <c r="M3" i="51"/>
  <c r="L3" i="51"/>
  <c r="K3" i="51"/>
  <c r="J3" i="51"/>
  <c r="H3" i="51"/>
  <c r="G3" i="51"/>
  <c r="F3" i="51"/>
  <c r="E3" i="51"/>
  <c r="D3" i="51"/>
  <c r="C3" i="51"/>
  <c r="Q10" i="50"/>
  <c r="Q24" i="50" s="1"/>
  <c r="O13" i="50"/>
  <c r="M13" i="50"/>
  <c r="K13" i="50"/>
  <c r="I13" i="50"/>
  <c r="G13" i="50"/>
  <c r="E13" i="50"/>
  <c r="C13" i="50"/>
  <c r="G10" i="50"/>
  <c r="G24" i="50" s="1"/>
  <c r="X10" i="50"/>
  <c r="V10" i="50"/>
  <c r="T10" i="50"/>
  <c r="R10" i="50"/>
  <c r="P10" i="50"/>
  <c r="N10" i="50"/>
  <c r="M10" i="50"/>
  <c r="M24" i="50" s="1"/>
  <c r="L10" i="50"/>
  <c r="J10" i="50"/>
  <c r="H10" i="50"/>
  <c r="F10" i="50"/>
  <c r="Z10" i="50"/>
  <c r="D10" i="50"/>
  <c r="O7" i="50"/>
  <c r="I7" i="50"/>
  <c r="I3" i="50" s="1"/>
  <c r="O6" i="50"/>
  <c r="O5" i="50"/>
  <c r="O4" i="50"/>
  <c r="Z3" i="50"/>
  <c r="X3" i="50"/>
  <c r="W3" i="50"/>
  <c r="V3" i="50"/>
  <c r="T3" i="50"/>
  <c r="S3" i="50"/>
  <c r="R3" i="50"/>
  <c r="Q3" i="50"/>
  <c r="P3" i="50"/>
  <c r="N3" i="50"/>
  <c r="M3" i="50"/>
  <c r="L3" i="50"/>
  <c r="K3" i="50"/>
  <c r="J3" i="50"/>
  <c r="H3" i="50"/>
  <c r="G3" i="50"/>
  <c r="F3" i="50"/>
  <c r="E3" i="50"/>
  <c r="D3" i="50"/>
  <c r="C3" i="50"/>
  <c r="F197" i="49"/>
  <c r="F157" i="49"/>
  <c r="F122" i="49"/>
  <c r="F85" i="49"/>
  <c r="F206" i="49"/>
  <c r="F169" i="49"/>
  <c r="F132" i="49"/>
  <c r="F95" i="49"/>
  <c r="F202" i="49"/>
  <c r="F164" i="49"/>
  <c r="F127" i="49"/>
  <c r="F88" i="49"/>
  <c r="F217" i="49"/>
  <c r="F178" i="49"/>
  <c r="F142" i="49"/>
  <c r="F105" i="49"/>
  <c r="H107" i="49"/>
  <c r="E107" i="49"/>
  <c r="C107" i="49"/>
  <c r="T22" i="51" l="1"/>
  <c r="D22" i="51"/>
  <c r="C10" i="46" s="1"/>
  <c r="I375" i="52"/>
  <c r="I376" i="52" s="1"/>
  <c r="I377" i="52" s="1"/>
  <c r="I378" i="52" s="1"/>
  <c r="I379" i="52" s="1"/>
  <c r="I380" i="52" s="1"/>
  <c r="I381" i="52" s="1"/>
  <c r="I382" i="52" s="1"/>
  <c r="I383" i="52" s="1"/>
  <c r="I384" i="52" s="1"/>
  <c r="I385" i="52" s="1"/>
  <c r="I386" i="52" s="1"/>
  <c r="I387" i="52" s="1"/>
  <c r="I388" i="52" s="1"/>
  <c r="I389" i="52" s="1"/>
  <c r="I390" i="52" s="1"/>
  <c r="I391" i="52" s="1"/>
  <c r="I392" i="52" s="1"/>
  <c r="I393" i="52" s="1"/>
  <c r="I394" i="52" s="1"/>
  <c r="I395" i="52" s="1"/>
  <c r="I396" i="52" s="1"/>
  <c r="I397" i="52" s="1"/>
  <c r="I398" i="52" s="1"/>
  <c r="I368" i="52"/>
  <c r="V22" i="51"/>
  <c r="N22" i="51"/>
  <c r="F22" i="51"/>
  <c r="D10" i="46" s="1"/>
  <c r="Z22" i="51"/>
  <c r="O3" i="51"/>
  <c r="S8" i="51"/>
  <c r="S22" i="51" s="1"/>
  <c r="Y8" i="51"/>
  <c r="Y22" i="51" s="1"/>
  <c r="C8" i="51"/>
  <c r="K8" i="51"/>
  <c r="K22" i="51" s="1"/>
  <c r="E8" i="51"/>
  <c r="E22" i="51" s="1"/>
  <c r="M8" i="51"/>
  <c r="M22" i="51" s="1"/>
  <c r="U3" i="51"/>
  <c r="X24" i="50"/>
  <c r="P24" i="50"/>
  <c r="Z24" i="50"/>
  <c r="Y24" i="50"/>
  <c r="V24" i="50"/>
  <c r="R24" i="50"/>
  <c r="D24" i="50"/>
  <c r="C9" i="46" s="1"/>
  <c r="W24" i="50"/>
  <c r="K24" i="50"/>
  <c r="C10" i="50"/>
  <c r="C24" i="50" s="1"/>
  <c r="H24" i="50"/>
  <c r="E9" i="46" s="1"/>
  <c r="O3" i="50"/>
  <c r="S10" i="50"/>
  <c r="S24" i="50" s="1"/>
  <c r="J24" i="50"/>
  <c r="F9" i="46" s="1"/>
  <c r="U3" i="50"/>
  <c r="I10" i="50"/>
  <c r="I24" i="50" s="1"/>
  <c r="O10" i="50"/>
  <c r="O24" i="50" s="1"/>
  <c r="X22" i="51"/>
  <c r="P22" i="51"/>
  <c r="U8" i="51"/>
  <c r="R22" i="51"/>
  <c r="Q22" i="51"/>
  <c r="J22" i="51"/>
  <c r="H22" i="51"/>
  <c r="I22" i="51"/>
  <c r="F10" i="46" s="1"/>
  <c r="O8" i="51"/>
  <c r="O22" i="51" s="1"/>
  <c r="T24" i="50"/>
  <c r="L24" i="50"/>
  <c r="F24" i="50"/>
  <c r="D9" i="46" s="1"/>
  <c r="N24" i="50"/>
  <c r="U10" i="50"/>
  <c r="F107" i="49"/>
  <c r="H399" i="49"/>
  <c r="E399" i="49"/>
  <c r="F398" i="49"/>
  <c r="F397" i="49"/>
  <c r="F396" i="49"/>
  <c r="F395" i="49"/>
  <c r="F394" i="49"/>
  <c r="F393" i="49"/>
  <c r="F392" i="49"/>
  <c r="F391" i="49"/>
  <c r="F390" i="49"/>
  <c r="F389" i="49"/>
  <c r="F388" i="49"/>
  <c r="F387" i="49"/>
  <c r="F386" i="49"/>
  <c r="F385" i="49"/>
  <c r="F384" i="49"/>
  <c r="F383" i="49"/>
  <c r="F382" i="49"/>
  <c r="F381" i="49"/>
  <c r="F380" i="49"/>
  <c r="F379" i="49"/>
  <c r="F378" i="49"/>
  <c r="F377" i="49"/>
  <c r="F376" i="49"/>
  <c r="H369" i="49"/>
  <c r="E369" i="49"/>
  <c r="F368" i="49"/>
  <c r="C368" i="49"/>
  <c r="F367" i="49"/>
  <c r="C367" i="49"/>
  <c r="F366" i="49"/>
  <c r="C366" i="49"/>
  <c r="F365" i="49"/>
  <c r="C365" i="49"/>
  <c r="F364" i="49"/>
  <c r="C364" i="49"/>
  <c r="F363" i="49"/>
  <c r="C363" i="49"/>
  <c r="F362" i="49"/>
  <c r="D362" i="49"/>
  <c r="C362" i="49"/>
  <c r="F361" i="49"/>
  <c r="C361" i="49"/>
  <c r="F360" i="49"/>
  <c r="D360" i="49"/>
  <c r="C360" i="49"/>
  <c r="F359" i="49"/>
  <c r="C359" i="49"/>
  <c r="F358" i="49"/>
  <c r="C358" i="49"/>
  <c r="F357" i="49"/>
  <c r="C357" i="49"/>
  <c r="F356" i="49"/>
  <c r="C356" i="49"/>
  <c r="F355" i="49"/>
  <c r="D355" i="49"/>
  <c r="C355" i="49"/>
  <c r="F354" i="49"/>
  <c r="C354" i="49"/>
  <c r="F353" i="49"/>
  <c r="C353" i="49"/>
  <c r="F352" i="49"/>
  <c r="C352" i="49"/>
  <c r="F351" i="49"/>
  <c r="C351" i="49"/>
  <c r="F350" i="49"/>
  <c r="C350" i="49"/>
  <c r="F349" i="49"/>
  <c r="C349" i="49"/>
  <c r="F348" i="49"/>
  <c r="C348" i="49"/>
  <c r="F347" i="49"/>
  <c r="C347" i="49"/>
  <c r="F346" i="49"/>
  <c r="C346" i="49"/>
  <c r="H339" i="49"/>
  <c r="E339" i="49"/>
  <c r="F338" i="49"/>
  <c r="C338" i="49"/>
  <c r="F337" i="49"/>
  <c r="C337" i="49"/>
  <c r="F336" i="49"/>
  <c r="C336" i="49"/>
  <c r="F335" i="49"/>
  <c r="C335" i="49"/>
  <c r="F334" i="49"/>
  <c r="C334" i="49"/>
  <c r="F333" i="49"/>
  <c r="C333" i="49"/>
  <c r="F332" i="49"/>
  <c r="C332" i="49"/>
  <c r="F331" i="49"/>
  <c r="C331" i="49"/>
  <c r="F330" i="49"/>
  <c r="C330" i="49"/>
  <c r="F329" i="49"/>
  <c r="C329" i="49"/>
  <c r="F328" i="49"/>
  <c r="C328" i="49"/>
  <c r="F327" i="49"/>
  <c r="C327" i="49"/>
  <c r="F326" i="49"/>
  <c r="C326" i="49"/>
  <c r="F325" i="49"/>
  <c r="C325" i="49"/>
  <c r="F324" i="49"/>
  <c r="C324" i="49"/>
  <c r="F323" i="49"/>
  <c r="C323" i="49"/>
  <c r="F322" i="49"/>
  <c r="C322" i="49"/>
  <c r="F321" i="49"/>
  <c r="C321" i="49"/>
  <c r="F320" i="49"/>
  <c r="C320" i="49"/>
  <c r="F319" i="49"/>
  <c r="C319" i="49"/>
  <c r="F318" i="49"/>
  <c r="C318" i="49"/>
  <c r="F317" i="49"/>
  <c r="C317" i="49"/>
  <c r="F316" i="49"/>
  <c r="C316" i="49"/>
  <c r="H309" i="49"/>
  <c r="E309" i="49"/>
  <c r="F308" i="49"/>
  <c r="C308" i="49"/>
  <c r="F307" i="49"/>
  <c r="C307" i="49"/>
  <c r="F306" i="49"/>
  <c r="D306" i="49"/>
  <c r="C306" i="49"/>
  <c r="F305" i="49"/>
  <c r="C305" i="49"/>
  <c r="F304" i="49"/>
  <c r="C304" i="49"/>
  <c r="F303" i="49"/>
  <c r="C303" i="49"/>
  <c r="F302" i="49"/>
  <c r="C302" i="49"/>
  <c r="F301" i="49"/>
  <c r="C301" i="49"/>
  <c r="F300" i="49"/>
  <c r="C300" i="49"/>
  <c r="F299" i="49"/>
  <c r="C299" i="49"/>
  <c r="F298" i="49"/>
  <c r="C298" i="49"/>
  <c r="F297" i="49"/>
  <c r="C297" i="49"/>
  <c r="F296" i="49"/>
  <c r="C296" i="49"/>
  <c r="F295" i="49"/>
  <c r="C295" i="49"/>
  <c r="F294" i="49"/>
  <c r="C294" i="49"/>
  <c r="F293" i="49"/>
  <c r="C293" i="49"/>
  <c r="F292" i="49"/>
  <c r="C292" i="49"/>
  <c r="F291" i="49"/>
  <c r="C291" i="49"/>
  <c r="F290" i="49"/>
  <c r="C290" i="49"/>
  <c r="F289" i="49"/>
  <c r="C289" i="49"/>
  <c r="F288" i="49"/>
  <c r="C288" i="49"/>
  <c r="F287" i="49"/>
  <c r="C287" i="49"/>
  <c r="F286" i="49"/>
  <c r="C286" i="49"/>
  <c r="H279" i="49"/>
  <c r="E279" i="49"/>
  <c r="F278" i="49"/>
  <c r="C278" i="49"/>
  <c r="F277" i="49"/>
  <c r="C277" i="49"/>
  <c r="F276" i="49"/>
  <c r="C276" i="49"/>
  <c r="F275" i="49"/>
  <c r="C275" i="49"/>
  <c r="F274" i="49"/>
  <c r="C274" i="49"/>
  <c r="F273" i="49"/>
  <c r="C273" i="49"/>
  <c r="F272" i="49"/>
  <c r="C272" i="49"/>
  <c r="F271" i="49"/>
  <c r="C271" i="49"/>
  <c r="F270" i="49"/>
  <c r="C270" i="49"/>
  <c r="F269" i="49"/>
  <c r="C269" i="49"/>
  <c r="F268" i="49"/>
  <c r="C268" i="49"/>
  <c r="F267" i="49"/>
  <c r="C267" i="49"/>
  <c r="F266" i="49"/>
  <c r="C266" i="49"/>
  <c r="F265" i="49"/>
  <c r="C265" i="49"/>
  <c r="F264" i="49"/>
  <c r="C264" i="49"/>
  <c r="F263" i="49"/>
  <c r="C263" i="49"/>
  <c r="F262" i="49"/>
  <c r="C262" i="49"/>
  <c r="F261" i="49"/>
  <c r="C261" i="49"/>
  <c r="F260" i="49"/>
  <c r="C260" i="49"/>
  <c r="F259" i="49"/>
  <c r="C259" i="49"/>
  <c r="F258" i="49"/>
  <c r="C258" i="49"/>
  <c r="F257" i="49"/>
  <c r="C257" i="49"/>
  <c r="F256" i="49"/>
  <c r="C256" i="49"/>
  <c r="H248" i="49"/>
  <c r="E248" i="49"/>
  <c r="F247" i="49"/>
  <c r="C247" i="49"/>
  <c r="F246" i="49"/>
  <c r="C246" i="49"/>
  <c r="F245" i="49"/>
  <c r="C245" i="49"/>
  <c r="F244" i="49"/>
  <c r="C244" i="49"/>
  <c r="F243" i="49"/>
  <c r="C243" i="49"/>
  <c r="F242" i="49"/>
  <c r="C242" i="49"/>
  <c r="F241" i="49"/>
  <c r="C241" i="49"/>
  <c r="F240" i="49"/>
  <c r="C240" i="49"/>
  <c r="F239" i="49"/>
  <c r="C239" i="49"/>
  <c r="F238" i="49"/>
  <c r="C238" i="49"/>
  <c r="F237" i="49"/>
  <c r="C237" i="49"/>
  <c r="F236" i="49"/>
  <c r="C236" i="49"/>
  <c r="F235" i="49"/>
  <c r="C235" i="49"/>
  <c r="F234" i="49"/>
  <c r="C234" i="49"/>
  <c r="F233" i="49"/>
  <c r="C233" i="49"/>
  <c r="F232" i="49"/>
  <c r="C232" i="49"/>
  <c r="F231" i="49"/>
  <c r="C231" i="49"/>
  <c r="F230" i="49"/>
  <c r="C230" i="49"/>
  <c r="F229" i="49"/>
  <c r="C229" i="49"/>
  <c r="F228" i="49"/>
  <c r="C228" i="49"/>
  <c r="F227" i="49"/>
  <c r="C227" i="49"/>
  <c r="F226" i="49"/>
  <c r="C226" i="49"/>
  <c r="F225" i="49"/>
  <c r="C225" i="49"/>
  <c r="H218" i="49"/>
  <c r="E218" i="49"/>
  <c r="H181" i="49"/>
  <c r="E181" i="49"/>
  <c r="H143" i="49"/>
  <c r="E143" i="49"/>
  <c r="H70" i="49"/>
  <c r="E70" i="49"/>
  <c r="H36" i="49"/>
  <c r="G36" i="49"/>
  <c r="E36" i="49"/>
  <c r="I5" i="49"/>
  <c r="U22" i="51" l="1"/>
  <c r="U24" i="50"/>
  <c r="C248" i="49"/>
  <c r="F309" i="49"/>
  <c r="F181" i="49"/>
  <c r="I370" i="49"/>
  <c r="F36" i="49"/>
  <c r="C36" i="49"/>
  <c r="I6" i="49"/>
  <c r="I7" i="49" s="1"/>
  <c r="I8" i="49" s="1"/>
  <c r="I9" i="49" s="1"/>
  <c r="I10" i="49" s="1"/>
  <c r="I11" i="49" s="1"/>
  <c r="I12" i="49" s="1"/>
  <c r="I13" i="49" s="1"/>
  <c r="I14" i="49" s="1"/>
  <c r="F279" i="49"/>
  <c r="C70" i="49"/>
  <c r="F143" i="49"/>
  <c r="C181" i="49"/>
  <c r="C143" i="49"/>
  <c r="F70" i="49"/>
  <c r="F218" i="49"/>
  <c r="I310" i="49"/>
  <c r="I249" i="49"/>
  <c r="F339" i="49"/>
  <c r="F248" i="49"/>
  <c r="I280" i="49"/>
  <c r="I400" i="49"/>
  <c r="I340" i="49"/>
  <c r="I15" i="49" l="1"/>
  <c r="I16" i="49" s="1"/>
  <c r="I17" i="49" s="1"/>
  <c r="I18" i="49" s="1"/>
  <c r="I19" i="49" s="1"/>
  <c r="I20" i="49" s="1"/>
  <c r="I21" i="49" s="1"/>
  <c r="I22" i="49" s="1"/>
  <c r="I23" i="49" s="1"/>
  <c r="I24" i="49" s="1"/>
  <c r="I25" i="49" s="1"/>
  <c r="I26" i="49" s="1"/>
  <c r="I27" i="49" s="1"/>
  <c r="I28" i="49" s="1"/>
  <c r="I29" i="49" s="1"/>
  <c r="I30" i="49" s="1"/>
  <c r="I31" i="49" s="1"/>
  <c r="I32" i="49" s="1"/>
  <c r="I33" i="49" s="1"/>
  <c r="I34" i="49" s="1"/>
  <c r="I35" i="49" s="1"/>
  <c r="I42" i="49" s="1"/>
  <c r="I43" i="49" l="1"/>
  <c r="I44" i="49" s="1"/>
  <c r="I45" i="49" s="1"/>
  <c r="I46" i="49" s="1"/>
  <c r="I47" i="49" s="1"/>
  <c r="I48" i="49" s="1"/>
  <c r="I49" i="49" s="1"/>
  <c r="I50" i="49" s="1"/>
  <c r="I51" i="49" s="1"/>
  <c r="I52" i="49" s="1"/>
  <c r="I53" i="49" s="1"/>
  <c r="I54" i="49" s="1"/>
  <c r="I55" i="49" s="1"/>
  <c r="I56" i="49" s="1"/>
  <c r="I57" i="49" s="1"/>
  <c r="I58" i="49" s="1"/>
  <c r="I59" i="49" s="1"/>
  <c r="I60" i="49" s="1"/>
  <c r="I61" i="49" s="1"/>
  <c r="I62" i="49" s="1"/>
  <c r="I63" i="49" s="1"/>
  <c r="I64" i="49" s="1"/>
  <c r="I65" i="49" s="1"/>
  <c r="I66" i="49" s="1"/>
  <c r="I67" i="49" s="1"/>
  <c r="I68" i="49" s="1"/>
  <c r="I69" i="49" s="1"/>
  <c r="I75" i="49" s="1"/>
  <c r="I76" i="49" l="1"/>
  <c r="I77" i="49" l="1"/>
  <c r="I78" i="49" s="1"/>
  <c r="I79" i="49" s="1"/>
  <c r="I80" i="49" s="1"/>
  <c r="I81" i="49" s="1"/>
  <c r="I82" i="49" s="1"/>
  <c r="I83" i="49" s="1"/>
  <c r="I84" i="49" s="1"/>
  <c r="I85" i="49" s="1"/>
  <c r="I86" i="49" s="1"/>
  <c r="I87" i="49" s="1"/>
  <c r="I88" i="49" s="1"/>
  <c r="I89" i="49" s="1"/>
  <c r="I90" i="49" s="1"/>
  <c r="I91" i="49" s="1"/>
  <c r="I92" i="49" s="1"/>
  <c r="I93" i="49" s="1"/>
  <c r="I94" i="49" s="1"/>
  <c r="I95" i="49" s="1"/>
  <c r="I96" i="49" s="1"/>
  <c r="I97" i="49" s="1"/>
  <c r="I98" i="49" s="1"/>
  <c r="I99" i="49" s="1"/>
  <c r="I100" i="49" s="1"/>
  <c r="I101" i="49" s="1"/>
  <c r="I102" i="49" s="1"/>
  <c r="I103" i="49" s="1"/>
  <c r="I104" i="49" s="1"/>
  <c r="I105" i="49" s="1"/>
  <c r="I106" i="49" s="1"/>
  <c r="I112" i="49" l="1"/>
  <c r="I113" i="49" s="1"/>
  <c r="I114" i="49" l="1"/>
  <c r="I115" i="49" s="1"/>
  <c r="I116" i="49" s="1"/>
  <c r="I117" i="49" s="1"/>
  <c r="I118" i="49" s="1"/>
  <c r="I119" i="49" s="1"/>
  <c r="I120" i="49" s="1"/>
  <c r="I121" i="49" s="1"/>
  <c r="I122" i="49" s="1"/>
  <c r="I123" i="49" s="1"/>
  <c r="I124" i="49" s="1"/>
  <c r="I125" i="49" s="1"/>
  <c r="I126" i="49" s="1"/>
  <c r="I127" i="49" s="1"/>
  <c r="I128" i="49" s="1"/>
  <c r="I129" i="49" s="1"/>
  <c r="I130" i="49" s="1"/>
  <c r="I131" i="49" s="1"/>
  <c r="I132" i="49" s="1"/>
  <c r="I133" i="49" s="1"/>
  <c r="I134" i="49" s="1"/>
  <c r="I135" i="49" s="1"/>
  <c r="I136" i="49" s="1"/>
  <c r="I137" i="49" s="1"/>
  <c r="I138" i="49" s="1"/>
  <c r="I139" i="49" s="1"/>
  <c r="I140" i="49" s="1"/>
  <c r="I141" i="49" s="1"/>
  <c r="I142" i="49" s="1"/>
  <c r="I149" i="49" s="1"/>
  <c r="I150" i="49" s="1"/>
  <c r="I151" i="49" s="1"/>
  <c r="I152" i="49" l="1"/>
  <c r="I153" i="49" s="1"/>
  <c r="I154" i="49" s="1"/>
  <c r="I155" i="49" s="1"/>
  <c r="I156" i="49" s="1"/>
  <c r="I157" i="49" s="1"/>
  <c r="I158" i="49" s="1"/>
  <c r="I159" i="49" s="1"/>
  <c r="I160" i="49" s="1"/>
  <c r="I161" i="49" s="1"/>
  <c r="I162" i="49" s="1"/>
  <c r="I163" i="49" s="1"/>
  <c r="I164" i="49" s="1"/>
  <c r="I165" i="49" s="1"/>
  <c r="I166" i="49" s="1"/>
  <c r="I167" i="49" s="1"/>
  <c r="I168" i="49" s="1"/>
  <c r="I169" i="49" s="1"/>
  <c r="I170" i="49" s="1"/>
  <c r="I171" i="49" s="1"/>
  <c r="I172" i="49" s="1"/>
  <c r="I173" i="49" s="1"/>
  <c r="I174" i="49" s="1"/>
  <c r="I175" i="49" s="1"/>
  <c r="I176" i="49" s="1"/>
  <c r="I177" i="49" s="1"/>
  <c r="I178" i="49" s="1"/>
  <c r="I179" i="49" s="1"/>
  <c r="I180" i="49" s="1"/>
  <c r="I11" i="47"/>
  <c r="D15" i="47"/>
  <c r="I7" i="43"/>
  <c r="O10" i="43" l="1"/>
  <c r="C10" i="43"/>
  <c r="I187" i="49"/>
  <c r="I188" i="49" s="1"/>
  <c r="I189" i="49" s="1"/>
  <c r="D10" i="43"/>
  <c r="E10" i="43"/>
  <c r="F10" i="43"/>
  <c r="G10" i="43"/>
  <c r="H10" i="43"/>
  <c r="I10" i="43"/>
  <c r="J10" i="43"/>
  <c r="K10" i="43"/>
  <c r="L10" i="43"/>
  <c r="M10" i="43"/>
  <c r="N10" i="43"/>
  <c r="P10" i="43"/>
  <c r="Q10" i="43"/>
  <c r="R10" i="43"/>
  <c r="S10" i="43"/>
  <c r="T10" i="43"/>
  <c r="U10" i="43"/>
  <c r="V10" i="43"/>
  <c r="W10" i="43"/>
  <c r="X10" i="43"/>
  <c r="Y10" i="43"/>
  <c r="Y24" i="43" s="1"/>
  <c r="Z10" i="43"/>
  <c r="D3" i="43"/>
  <c r="D24" i="43" s="1"/>
  <c r="C8" i="46" s="1"/>
  <c r="E3" i="43"/>
  <c r="F3" i="43"/>
  <c r="G3" i="43"/>
  <c r="H3" i="43"/>
  <c r="I3" i="43"/>
  <c r="J3" i="43"/>
  <c r="K3" i="43"/>
  <c r="L3" i="43"/>
  <c r="M3" i="43"/>
  <c r="N3" i="43"/>
  <c r="O3" i="43"/>
  <c r="P3" i="43"/>
  <c r="Q3" i="43"/>
  <c r="R3" i="43"/>
  <c r="S3" i="43"/>
  <c r="T3" i="43"/>
  <c r="U3" i="43"/>
  <c r="V3" i="43"/>
  <c r="W3" i="43"/>
  <c r="X3" i="43"/>
  <c r="Y3" i="43"/>
  <c r="Z3" i="43"/>
  <c r="C3" i="43"/>
  <c r="N24" i="43" l="1"/>
  <c r="F24" i="43"/>
  <c r="D8" i="46" s="1"/>
  <c r="D11" i="46" s="1"/>
  <c r="V24" i="43"/>
  <c r="P24" i="43"/>
  <c r="C24" i="43"/>
  <c r="H24" i="43"/>
  <c r="E8" i="46" s="1"/>
  <c r="E11" i="46" s="1"/>
  <c r="T24" i="43"/>
  <c r="L24" i="43"/>
  <c r="Z24" i="43"/>
  <c r="R24" i="43"/>
  <c r="F8" i="46"/>
  <c r="F11" i="46" s="1"/>
  <c r="I224" i="49"/>
  <c r="I225" i="49" s="1"/>
  <c r="I226" i="49" s="1"/>
  <c r="I227" i="49" s="1"/>
  <c r="I228" i="49" s="1"/>
  <c r="I229" i="49" s="1"/>
  <c r="I230" i="49" s="1"/>
  <c r="I231" i="49" s="1"/>
  <c r="I232" i="49" s="1"/>
  <c r="I233" i="49" s="1"/>
  <c r="I234" i="49" s="1"/>
  <c r="I235" i="49" s="1"/>
  <c r="I236" i="49" s="1"/>
  <c r="I237" i="49" s="1"/>
  <c r="I238" i="49" s="1"/>
  <c r="I239" i="49" s="1"/>
  <c r="I240" i="49" s="1"/>
  <c r="I241" i="49" s="1"/>
  <c r="I242" i="49" s="1"/>
  <c r="I243" i="49" s="1"/>
  <c r="I244" i="49" s="1"/>
  <c r="I245" i="49" s="1"/>
  <c r="I246" i="49" s="1"/>
  <c r="I247" i="49" s="1"/>
  <c r="I255" i="49" s="1"/>
  <c r="I256" i="49" s="1"/>
  <c r="I257" i="49" s="1"/>
  <c r="I258" i="49" s="1"/>
  <c r="I259" i="49" s="1"/>
  <c r="I260" i="49" s="1"/>
  <c r="I261" i="49" s="1"/>
  <c r="I262" i="49" s="1"/>
  <c r="I263" i="49" s="1"/>
  <c r="I264" i="49" s="1"/>
  <c r="I265" i="49" s="1"/>
  <c r="I266" i="49" s="1"/>
  <c r="I267" i="49" s="1"/>
  <c r="I268" i="49" s="1"/>
  <c r="I269" i="49" s="1"/>
  <c r="I270" i="49" s="1"/>
  <c r="I271" i="49" s="1"/>
  <c r="I272" i="49" s="1"/>
  <c r="I273" i="49" s="1"/>
  <c r="I274" i="49" s="1"/>
  <c r="I275" i="49" s="1"/>
  <c r="I276" i="49" s="1"/>
  <c r="I277" i="49" s="1"/>
  <c r="I190" i="49"/>
  <c r="I191" i="49" s="1"/>
  <c r="I192" i="49" s="1"/>
  <c r="I193" i="49" s="1"/>
  <c r="I194" i="49" s="1"/>
  <c r="I195" i="49" s="1"/>
  <c r="I196" i="49" s="1"/>
  <c r="I197" i="49" s="1"/>
  <c r="I198" i="49" s="1"/>
  <c r="I199" i="49" s="1"/>
  <c r="I200" i="49" s="1"/>
  <c r="I201" i="49" s="1"/>
  <c r="I202" i="49" s="1"/>
  <c r="I203" i="49" s="1"/>
  <c r="I204" i="49" s="1"/>
  <c r="I205" i="49" s="1"/>
  <c r="I206" i="49" s="1"/>
  <c r="I207" i="49" s="1"/>
  <c r="I208" i="49" s="1"/>
  <c r="I209" i="49" s="1"/>
  <c r="I210" i="49" s="1"/>
  <c r="I211" i="49" s="1"/>
  <c r="I212" i="49" s="1"/>
  <c r="I213" i="49" s="1"/>
  <c r="I214" i="49" s="1"/>
  <c r="I215" i="49" s="1"/>
  <c r="I216" i="49" s="1"/>
  <c r="I217" i="49" s="1"/>
  <c r="I24" i="43"/>
  <c r="X24" i="43"/>
  <c r="K24" i="43"/>
  <c r="W24" i="43"/>
  <c r="U24" i="43"/>
  <c r="S24" i="43"/>
  <c r="Q24" i="43"/>
  <c r="O24" i="43"/>
  <c r="M24" i="43"/>
  <c r="G24" i="43"/>
  <c r="E24" i="43"/>
  <c r="N10" i="46"/>
  <c r="M10" i="46"/>
  <c r="I10" i="46"/>
  <c r="H10" i="46"/>
  <c r="G10" i="46"/>
  <c r="N9" i="46"/>
  <c r="M9" i="46"/>
  <c r="I9" i="46"/>
  <c r="H9" i="46"/>
  <c r="G9" i="46"/>
  <c r="N8" i="46"/>
  <c r="M8" i="46"/>
  <c r="I8" i="46"/>
  <c r="H8" i="46"/>
  <c r="G8" i="46"/>
  <c r="M11" i="46"/>
  <c r="N11" i="46"/>
  <c r="I278" i="49" l="1"/>
  <c r="I285" i="49"/>
  <c r="I286" i="49" s="1"/>
  <c r="I287" i="49" s="1"/>
  <c r="I288" i="49" s="1"/>
  <c r="I289" i="49" s="1"/>
  <c r="I290" i="49" s="1"/>
  <c r="I291" i="49" s="1"/>
  <c r="I292" i="49" s="1"/>
  <c r="I293" i="49" s="1"/>
  <c r="I294" i="49" s="1"/>
  <c r="I295" i="49" s="1"/>
  <c r="I296" i="49" s="1"/>
  <c r="I297" i="49" s="1"/>
  <c r="I298" i="49" s="1"/>
  <c r="I299" i="49" s="1"/>
  <c r="I300" i="49" s="1"/>
  <c r="I301" i="49" s="1"/>
  <c r="I302" i="49" s="1"/>
  <c r="I303" i="49" s="1"/>
  <c r="I304" i="49" s="1"/>
  <c r="I305" i="49" s="1"/>
  <c r="I306" i="49" s="1"/>
  <c r="I307" i="49" s="1"/>
  <c r="C11" i="46"/>
  <c r="G11" i="46"/>
  <c r="I11" i="46"/>
  <c r="H11" i="46"/>
  <c r="J254" i="23"/>
  <c r="O274" i="45"/>
  <c r="O272" i="45"/>
  <c r="O271" i="45"/>
  <c r="N270" i="45"/>
  <c r="M270" i="45"/>
  <c r="L270" i="45"/>
  <c r="K270" i="45"/>
  <c r="J270" i="45"/>
  <c r="I270" i="45"/>
  <c r="H270" i="45"/>
  <c r="G270" i="45"/>
  <c r="F270" i="45"/>
  <c r="E270" i="45"/>
  <c r="D270" i="45"/>
  <c r="C270" i="45"/>
  <c r="O269" i="45"/>
  <c r="O268" i="45"/>
  <c r="O267" i="45"/>
  <c r="O266" i="45"/>
  <c r="O265" i="45"/>
  <c r="O264" i="45"/>
  <c r="O263" i="45"/>
  <c r="O262" i="45"/>
  <c r="O261" i="45"/>
  <c r="O260" i="45"/>
  <c r="N259" i="45"/>
  <c r="M259" i="45"/>
  <c r="L259" i="45"/>
  <c r="L255" i="45" s="1"/>
  <c r="K259" i="45"/>
  <c r="J259" i="45"/>
  <c r="I259" i="45"/>
  <c r="H259" i="45"/>
  <c r="G259" i="45"/>
  <c r="F259" i="45"/>
  <c r="E259" i="45"/>
  <c r="E255" i="45" s="1"/>
  <c r="D259" i="45"/>
  <c r="C259" i="45"/>
  <c r="O259" i="45" s="1"/>
  <c r="O258" i="45"/>
  <c r="O257" i="45"/>
  <c r="N256" i="45"/>
  <c r="M256" i="45"/>
  <c r="L256" i="45"/>
  <c r="K256" i="45"/>
  <c r="J256" i="45"/>
  <c r="J255" i="45" s="1"/>
  <c r="I256" i="45"/>
  <c r="I255" i="45" s="1"/>
  <c r="H256" i="45"/>
  <c r="G256" i="45"/>
  <c r="G255" i="45" s="1"/>
  <c r="F256" i="45"/>
  <c r="E256" i="45"/>
  <c r="D256" i="45"/>
  <c r="D255" i="45" s="1"/>
  <c r="C256" i="45"/>
  <c r="O256" i="45" s="1"/>
  <c r="N255" i="45"/>
  <c r="M255" i="45"/>
  <c r="F255" i="45"/>
  <c r="O254" i="45"/>
  <c r="O253" i="45"/>
  <c r="N252" i="45"/>
  <c r="M252" i="45"/>
  <c r="L252" i="45"/>
  <c r="K252" i="45"/>
  <c r="J252" i="45"/>
  <c r="I252" i="45"/>
  <c r="H252" i="45"/>
  <c r="G252" i="45"/>
  <c r="F252" i="45"/>
  <c r="E252" i="45"/>
  <c r="D252" i="45"/>
  <c r="C252" i="45"/>
  <c r="O251" i="45"/>
  <c r="N250" i="45"/>
  <c r="M250" i="45"/>
  <c r="L250" i="45"/>
  <c r="K250" i="45"/>
  <c r="J250" i="45"/>
  <c r="J238" i="45" s="1"/>
  <c r="I250" i="45"/>
  <c r="H250" i="45"/>
  <c r="H238" i="45" s="1"/>
  <c r="G250" i="45"/>
  <c r="F250" i="45"/>
  <c r="E250" i="45"/>
  <c r="D250" i="45"/>
  <c r="C250" i="45"/>
  <c r="O250" i="45" s="1"/>
  <c r="O249" i="45"/>
  <c r="O248" i="45"/>
  <c r="O247" i="45"/>
  <c r="O246" i="45"/>
  <c r="O245" i="45"/>
  <c r="N244" i="45"/>
  <c r="M244" i="45"/>
  <c r="L244" i="45"/>
  <c r="K244" i="45"/>
  <c r="J244" i="45"/>
  <c r="I244" i="45"/>
  <c r="H244" i="45"/>
  <c r="G244" i="45"/>
  <c r="F244" i="45"/>
  <c r="E244" i="45"/>
  <c r="D244" i="45"/>
  <c r="C244" i="45"/>
  <c r="O243" i="45"/>
  <c r="O242" i="45"/>
  <c r="O241" i="45"/>
  <c r="O240" i="45"/>
  <c r="N239" i="45"/>
  <c r="M239" i="45"/>
  <c r="L239" i="45"/>
  <c r="L238" i="45" s="1"/>
  <c r="K239" i="45"/>
  <c r="J239" i="45"/>
  <c r="I239" i="45"/>
  <c r="H239" i="45"/>
  <c r="G239" i="45"/>
  <c r="G238" i="45" s="1"/>
  <c r="F239" i="45"/>
  <c r="E239" i="45"/>
  <c r="D239" i="45"/>
  <c r="D238" i="45" s="1"/>
  <c r="C239" i="45"/>
  <c r="I238" i="45"/>
  <c r="O237" i="45"/>
  <c r="N236" i="45"/>
  <c r="M236" i="45"/>
  <c r="L236" i="45"/>
  <c r="K236" i="45"/>
  <c r="J236" i="45"/>
  <c r="I236" i="45"/>
  <c r="H236" i="45"/>
  <c r="G236" i="45"/>
  <c r="G221" i="45" s="1"/>
  <c r="F236" i="45"/>
  <c r="E236" i="45"/>
  <c r="D236" i="45"/>
  <c r="C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N222" i="45"/>
  <c r="M222" i="45"/>
  <c r="M221" i="45" s="1"/>
  <c r="L222" i="45"/>
  <c r="K222" i="45"/>
  <c r="J222" i="45"/>
  <c r="J221" i="45" s="1"/>
  <c r="I222" i="45"/>
  <c r="H222" i="45"/>
  <c r="G222" i="45"/>
  <c r="F222" i="45"/>
  <c r="E222" i="45"/>
  <c r="E221" i="45" s="1"/>
  <c r="D222" i="45"/>
  <c r="C222" i="45"/>
  <c r="N221" i="45"/>
  <c r="F221" i="45"/>
  <c r="O220" i="45"/>
  <c r="O219" i="45"/>
  <c r="O218" i="45"/>
  <c r="N217" i="45"/>
  <c r="M217" i="45"/>
  <c r="L217" i="45"/>
  <c r="K217" i="45"/>
  <c r="J217" i="45"/>
  <c r="I217" i="45"/>
  <c r="H217" i="45"/>
  <c r="G217" i="45"/>
  <c r="F217" i="45"/>
  <c r="E217" i="45"/>
  <c r="D217" i="45"/>
  <c r="C217" i="45"/>
  <c r="O216" i="45"/>
  <c r="N215" i="45"/>
  <c r="M215" i="45"/>
  <c r="L215" i="45"/>
  <c r="K215" i="45"/>
  <c r="J215" i="45"/>
  <c r="I215" i="45"/>
  <c r="H215" i="45"/>
  <c r="G215" i="45"/>
  <c r="F215" i="45"/>
  <c r="E215" i="45"/>
  <c r="D215" i="45"/>
  <c r="C215" i="45"/>
  <c r="O214" i="45"/>
  <c r="O213" i="45"/>
  <c r="O212" i="45"/>
  <c r="O211" i="45"/>
  <c r="N210" i="45"/>
  <c r="M210" i="45"/>
  <c r="L210" i="45"/>
  <c r="K210" i="45"/>
  <c r="J210" i="45"/>
  <c r="J199" i="45" s="1"/>
  <c r="I210" i="45"/>
  <c r="H210" i="45"/>
  <c r="H199" i="45" s="1"/>
  <c r="G210" i="45"/>
  <c r="F210" i="45"/>
  <c r="E210" i="45"/>
  <c r="D210" i="45"/>
  <c r="C210" i="45"/>
  <c r="O209" i="45"/>
  <c r="O208" i="45"/>
  <c r="O207" i="45"/>
  <c r="O206" i="45"/>
  <c r="O205" i="45"/>
  <c r="O204" i="45"/>
  <c r="O203" i="45"/>
  <c r="O202" i="45"/>
  <c r="O201" i="45"/>
  <c r="N200" i="45"/>
  <c r="M200" i="45"/>
  <c r="L200" i="45"/>
  <c r="K200" i="45"/>
  <c r="J200" i="45"/>
  <c r="I200" i="45"/>
  <c r="H200" i="45"/>
  <c r="G200" i="45"/>
  <c r="F200" i="45"/>
  <c r="E200" i="45"/>
  <c r="D200" i="45"/>
  <c r="C200" i="45"/>
  <c r="I199" i="45"/>
  <c r="O198" i="45"/>
  <c r="O197" i="45"/>
  <c r="O196" i="45"/>
  <c r="O195" i="45"/>
  <c r="O194" i="45"/>
  <c r="O193" i="45"/>
  <c r="O192" i="45"/>
  <c r="N191" i="45"/>
  <c r="M191" i="45"/>
  <c r="L191" i="45"/>
  <c r="K191" i="45"/>
  <c r="K183" i="45" s="1"/>
  <c r="J191" i="45"/>
  <c r="I191" i="45"/>
  <c r="H191" i="45"/>
  <c r="G191" i="45"/>
  <c r="F191" i="45"/>
  <c r="E191" i="45"/>
  <c r="D191" i="45"/>
  <c r="C191" i="45"/>
  <c r="C183" i="45" s="1"/>
  <c r="O190" i="45"/>
  <c r="O189" i="45"/>
  <c r="O188" i="45"/>
  <c r="O187" i="45"/>
  <c r="O186" i="45"/>
  <c r="O185" i="45"/>
  <c r="N184" i="45"/>
  <c r="M184" i="45"/>
  <c r="M183" i="45" s="1"/>
  <c r="L184" i="45"/>
  <c r="K184" i="45"/>
  <c r="J184" i="45"/>
  <c r="J183" i="45" s="1"/>
  <c r="I184" i="45"/>
  <c r="I183" i="45" s="1"/>
  <c r="H184" i="45"/>
  <c r="G184" i="45"/>
  <c r="F184" i="45"/>
  <c r="E184" i="45"/>
  <c r="D184" i="45"/>
  <c r="C184" i="45"/>
  <c r="N183" i="45"/>
  <c r="L183" i="45"/>
  <c r="F183" i="45"/>
  <c r="E183" i="45"/>
  <c r="D183" i="45"/>
  <c r="O182" i="45"/>
  <c r="O181" i="45"/>
  <c r="O180" i="45"/>
  <c r="O179" i="45"/>
  <c r="O178" i="45"/>
  <c r="N177" i="45"/>
  <c r="M177" i="45"/>
  <c r="L177" i="45"/>
  <c r="K177" i="45"/>
  <c r="J177" i="45"/>
  <c r="I177" i="45"/>
  <c r="H177" i="45"/>
  <c r="G177" i="45"/>
  <c r="F177" i="45"/>
  <c r="E177" i="45"/>
  <c r="D177" i="45"/>
  <c r="C177" i="45"/>
  <c r="O176" i="45"/>
  <c r="O175" i="45"/>
  <c r="O174" i="45"/>
  <c r="O173" i="45"/>
  <c r="O172" i="45"/>
  <c r="O171" i="45"/>
  <c r="O170" i="45"/>
  <c r="O169" i="45"/>
  <c r="N168" i="45"/>
  <c r="M168" i="45"/>
  <c r="M167" i="45" s="1"/>
  <c r="L168" i="45"/>
  <c r="L167" i="45" s="1"/>
  <c r="K168" i="45"/>
  <c r="J168" i="45"/>
  <c r="I168" i="45"/>
  <c r="H168" i="45"/>
  <c r="G168" i="45"/>
  <c r="F168" i="45"/>
  <c r="E168" i="45"/>
  <c r="E167" i="45" s="1"/>
  <c r="D168" i="45"/>
  <c r="D167" i="45" s="1"/>
  <c r="C168" i="45"/>
  <c r="J167" i="45"/>
  <c r="I167" i="45"/>
  <c r="H167" i="45"/>
  <c r="O164" i="45"/>
  <c r="O163" i="45"/>
  <c r="O162" i="45"/>
  <c r="O161" i="45"/>
  <c r="O160" i="45"/>
  <c r="O159" i="45"/>
  <c r="O158" i="45"/>
  <c r="O157" i="45"/>
  <c r="O156" i="45"/>
  <c r="N155" i="45"/>
  <c r="N154" i="45" s="1"/>
  <c r="M155" i="45"/>
  <c r="L155" i="45"/>
  <c r="L154" i="45" s="1"/>
  <c r="K155" i="45"/>
  <c r="J155" i="45"/>
  <c r="I155" i="45"/>
  <c r="I154" i="45" s="1"/>
  <c r="H155" i="45"/>
  <c r="H154" i="45" s="1"/>
  <c r="G155" i="45"/>
  <c r="G154" i="45" s="1"/>
  <c r="F155" i="45"/>
  <c r="F154" i="45" s="1"/>
  <c r="E155" i="45"/>
  <c r="D155" i="45"/>
  <c r="D154" i="45" s="1"/>
  <c r="C155" i="45"/>
  <c r="M154" i="45"/>
  <c r="K154" i="45"/>
  <c r="J154" i="45"/>
  <c r="E154" i="45"/>
  <c r="C154" i="45"/>
  <c r="O153" i="45"/>
  <c r="O152" i="45"/>
  <c r="O151" i="45"/>
  <c r="O150" i="45"/>
  <c r="O149" i="45"/>
  <c r="O148" i="45"/>
  <c r="O147" i="45"/>
  <c r="O146" i="45"/>
  <c r="N145" i="45"/>
  <c r="M145" i="45"/>
  <c r="L145" i="45"/>
  <c r="K145" i="45"/>
  <c r="J145" i="45"/>
  <c r="I145" i="45"/>
  <c r="H145" i="45"/>
  <c r="G145" i="45"/>
  <c r="F145" i="45"/>
  <c r="E145" i="45"/>
  <c r="D145" i="45"/>
  <c r="C145" i="45"/>
  <c r="O144" i="45"/>
  <c r="O143" i="45"/>
  <c r="O142" i="45"/>
  <c r="O141" i="45"/>
  <c r="O140" i="45"/>
  <c r="O139" i="45"/>
  <c r="N138" i="45"/>
  <c r="M138" i="45"/>
  <c r="L138" i="45"/>
  <c r="K138" i="45"/>
  <c r="J138" i="45"/>
  <c r="I138" i="45"/>
  <c r="H138" i="45"/>
  <c r="G138" i="45"/>
  <c r="F138" i="45"/>
  <c r="E138" i="45"/>
  <c r="D138" i="45"/>
  <c r="C138" i="45"/>
  <c r="O137" i="45"/>
  <c r="O136" i="45"/>
  <c r="O135" i="45"/>
  <c r="O134" i="45"/>
  <c r="O133" i="45"/>
  <c r="O132" i="45"/>
  <c r="O131" i="45"/>
  <c r="N130" i="45"/>
  <c r="M130" i="45"/>
  <c r="L130" i="45"/>
  <c r="K130" i="45"/>
  <c r="J130" i="45"/>
  <c r="I130" i="45"/>
  <c r="H130" i="45"/>
  <c r="G130" i="45"/>
  <c r="O130" i="45" s="1"/>
  <c r="F130" i="45"/>
  <c r="E130" i="45"/>
  <c r="D130" i="45"/>
  <c r="C130" i="45"/>
  <c r="O129" i="45"/>
  <c r="O128" i="45"/>
  <c r="O127" i="45"/>
  <c r="N126" i="45"/>
  <c r="M126" i="45"/>
  <c r="L126" i="45"/>
  <c r="K126" i="45"/>
  <c r="J126" i="45"/>
  <c r="I126" i="45"/>
  <c r="H126" i="45"/>
  <c r="G126" i="45"/>
  <c r="F126" i="45"/>
  <c r="E126" i="45"/>
  <c r="D126" i="45"/>
  <c r="C126" i="45"/>
  <c r="O125" i="45"/>
  <c r="O124" i="45"/>
  <c r="N123" i="45"/>
  <c r="M123" i="45"/>
  <c r="L123" i="45"/>
  <c r="K123" i="45"/>
  <c r="J123" i="45"/>
  <c r="I123" i="45"/>
  <c r="H123" i="45"/>
  <c r="G123" i="45"/>
  <c r="F123" i="45"/>
  <c r="E123" i="45"/>
  <c r="D123" i="45"/>
  <c r="C123" i="45"/>
  <c r="O122" i="45"/>
  <c r="O121" i="45"/>
  <c r="O120" i="45"/>
  <c r="N119" i="45"/>
  <c r="M119" i="45"/>
  <c r="L119" i="45"/>
  <c r="K119" i="45"/>
  <c r="J119" i="45"/>
  <c r="J100" i="45" s="1"/>
  <c r="I119" i="45"/>
  <c r="H119" i="45"/>
  <c r="G119" i="45"/>
  <c r="F119" i="45"/>
  <c r="E119" i="45"/>
  <c r="D119" i="45"/>
  <c r="C119" i="45"/>
  <c r="O118" i="45"/>
  <c r="N117" i="45"/>
  <c r="M117" i="45"/>
  <c r="L117" i="45"/>
  <c r="K117" i="45"/>
  <c r="J117" i="45"/>
  <c r="I117" i="45"/>
  <c r="H117" i="45"/>
  <c r="G117" i="45"/>
  <c r="F117" i="45"/>
  <c r="E117" i="45"/>
  <c r="D117" i="45"/>
  <c r="C117" i="45"/>
  <c r="O116" i="45"/>
  <c r="O115" i="45"/>
  <c r="O114" i="45"/>
  <c r="O113" i="45"/>
  <c r="N112" i="45"/>
  <c r="M112" i="45"/>
  <c r="L112" i="45"/>
  <c r="K112" i="45"/>
  <c r="J112" i="45"/>
  <c r="I112" i="45"/>
  <c r="H112" i="45"/>
  <c r="H100" i="45" s="1"/>
  <c r="G112" i="45"/>
  <c r="F112" i="45"/>
  <c r="E112" i="45"/>
  <c r="D112" i="45"/>
  <c r="C112" i="45"/>
  <c r="O111" i="45"/>
  <c r="O110" i="45"/>
  <c r="O109" i="45"/>
  <c r="O108" i="45"/>
  <c r="O107" i="45"/>
  <c r="O106" i="45"/>
  <c r="O105" i="45"/>
  <c r="O104" i="45"/>
  <c r="O103" i="45"/>
  <c r="O102" i="45"/>
  <c r="N101" i="45"/>
  <c r="N100" i="45" s="1"/>
  <c r="M101" i="45"/>
  <c r="L101" i="45"/>
  <c r="K101" i="45"/>
  <c r="J101" i="45"/>
  <c r="I101" i="45"/>
  <c r="H101" i="45"/>
  <c r="G101" i="45"/>
  <c r="F101" i="45"/>
  <c r="F100" i="45" s="1"/>
  <c r="E101" i="45"/>
  <c r="D101" i="45"/>
  <c r="C101" i="45"/>
  <c r="I100" i="45"/>
  <c r="O99" i="45"/>
  <c r="O98" i="45"/>
  <c r="O97" i="45"/>
  <c r="O96" i="45"/>
  <c r="O95" i="45"/>
  <c r="N94" i="45"/>
  <c r="M94" i="45"/>
  <c r="L94" i="45"/>
  <c r="K94" i="45"/>
  <c r="J94" i="45"/>
  <c r="I94" i="45"/>
  <c r="H94" i="45"/>
  <c r="G94" i="45"/>
  <c r="F94" i="45"/>
  <c r="E94" i="45"/>
  <c r="D94" i="45"/>
  <c r="C94" i="45"/>
  <c r="O93" i="45"/>
  <c r="N92" i="45"/>
  <c r="M92" i="45"/>
  <c r="L92" i="45"/>
  <c r="K92" i="45"/>
  <c r="J92" i="45"/>
  <c r="I92" i="45"/>
  <c r="H92" i="45"/>
  <c r="G92" i="45"/>
  <c r="F92" i="45"/>
  <c r="E92" i="45"/>
  <c r="D92" i="45"/>
  <c r="C92" i="45"/>
  <c r="O91" i="45"/>
  <c r="O90" i="45"/>
  <c r="O89" i="45"/>
  <c r="N88" i="45"/>
  <c r="M88" i="45"/>
  <c r="M82" i="45" s="1"/>
  <c r="L88" i="45"/>
  <c r="K88" i="45"/>
  <c r="J88" i="45"/>
  <c r="I88" i="45"/>
  <c r="H88" i="45"/>
  <c r="G88" i="45"/>
  <c r="F88" i="45"/>
  <c r="E88" i="45"/>
  <c r="E82" i="45" s="1"/>
  <c r="D88" i="45"/>
  <c r="C88" i="45"/>
  <c r="O87" i="45"/>
  <c r="N86" i="45"/>
  <c r="M86" i="45"/>
  <c r="L86" i="45"/>
  <c r="K86" i="45"/>
  <c r="K82" i="45" s="1"/>
  <c r="J86" i="45"/>
  <c r="I86" i="45"/>
  <c r="H86" i="45"/>
  <c r="G86" i="45"/>
  <c r="F86" i="45"/>
  <c r="E86" i="45"/>
  <c r="D86" i="45"/>
  <c r="C86" i="45"/>
  <c r="O86" i="45" s="1"/>
  <c r="O85" i="45"/>
  <c r="O84" i="45"/>
  <c r="N83" i="45"/>
  <c r="M83" i="45"/>
  <c r="L83" i="45"/>
  <c r="K83" i="45"/>
  <c r="J83" i="45"/>
  <c r="I83" i="45"/>
  <c r="I82" i="45" s="1"/>
  <c r="H83" i="45"/>
  <c r="G83" i="45"/>
  <c r="F83" i="45"/>
  <c r="E83" i="45"/>
  <c r="D83" i="45"/>
  <c r="D82" i="45" s="1"/>
  <c r="C83" i="45"/>
  <c r="L82" i="45"/>
  <c r="O81" i="45"/>
  <c r="O80" i="45"/>
  <c r="O79" i="45"/>
  <c r="O78" i="45"/>
  <c r="O77" i="45"/>
  <c r="O76" i="45"/>
  <c r="O75" i="45"/>
  <c r="O74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O72" i="45"/>
  <c r="O71" i="45"/>
  <c r="O70" i="45"/>
  <c r="O69" i="45"/>
  <c r="O68" i="45"/>
  <c r="O67" i="45"/>
  <c r="N66" i="45"/>
  <c r="M66" i="45"/>
  <c r="L66" i="45"/>
  <c r="K66" i="45"/>
  <c r="J66" i="45"/>
  <c r="I66" i="45"/>
  <c r="H66" i="45"/>
  <c r="G66" i="45"/>
  <c r="F66" i="45"/>
  <c r="E66" i="45"/>
  <c r="D66" i="45"/>
  <c r="C66" i="45"/>
  <c r="O65" i="45"/>
  <c r="O63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O61" i="45"/>
  <c r="O60" i="45"/>
  <c r="O59" i="45"/>
  <c r="O58" i="45"/>
  <c r="O57" i="45"/>
  <c r="O56" i="45"/>
  <c r="O55" i="45"/>
  <c r="O54" i="45"/>
  <c r="O53" i="45"/>
  <c r="O52" i="45"/>
  <c r="N51" i="45"/>
  <c r="M51" i="45"/>
  <c r="L51" i="45"/>
  <c r="K51" i="45"/>
  <c r="J51" i="45"/>
  <c r="I51" i="45"/>
  <c r="H51" i="45"/>
  <c r="G51" i="45"/>
  <c r="F51" i="45"/>
  <c r="E51" i="45"/>
  <c r="D51" i="45"/>
  <c r="C51" i="45"/>
  <c r="O50" i="45"/>
  <c r="O49" i="45"/>
  <c r="O48" i="45"/>
  <c r="O47" i="45"/>
  <c r="N46" i="45"/>
  <c r="M46" i="45"/>
  <c r="L46" i="45"/>
  <c r="K46" i="45"/>
  <c r="J46" i="45"/>
  <c r="I46" i="45"/>
  <c r="H46" i="45"/>
  <c r="G46" i="45"/>
  <c r="F46" i="45"/>
  <c r="E46" i="45"/>
  <c r="D46" i="45"/>
  <c r="C46" i="45"/>
  <c r="O45" i="45"/>
  <c r="O44" i="45"/>
  <c r="O43" i="45"/>
  <c r="O42" i="45"/>
  <c r="O41" i="45"/>
  <c r="O40" i="45"/>
  <c r="N39" i="45"/>
  <c r="M39" i="45"/>
  <c r="L39" i="45"/>
  <c r="K39" i="45"/>
  <c r="J39" i="45"/>
  <c r="I39" i="45"/>
  <c r="H39" i="45"/>
  <c r="G39" i="45"/>
  <c r="F39" i="45"/>
  <c r="E39" i="45"/>
  <c r="D39" i="45"/>
  <c r="C39" i="45"/>
  <c r="O38" i="45"/>
  <c r="O37" i="45"/>
  <c r="O36" i="45"/>
  <c r="O35" i="45"/>
  <c r="O34" i="45"/>
  <c r="O33" i="45"/>
  <c r="O32" i="45"/>
  <c r="O31" i="45"/>
  <c r="O30" i="45"/>
  <c r="O29" i="45"/>
  <c r="N28" i="45"/>
  <c r="N27" i="45" s="1"/>
  <c r="M28" i="45"/>
  <c r="L28" i="45"/>
  <c r="K28" i="45"/>
  <c r="J28" i="45"/>
  <c r="I28" i="45"/>
  <c r="I27" i="45" s="1"/>
  <c r="H28" i="45"/>
  <c r="G28" i="45"/>
  <c r="G27" i="45" s="1"/>
  <c r="F28" i="45"/>
  <c r="F27" i="45" s="1"/>
  <c r="E28" i="45"/>
  <c r="D28" i="45"/>
  <c r="C28" i="45"/>
  <c r="O25" i="45"/>
  <c r="O24" i="45"/>
  <c r="O20" i="45"/>
  <c r="O19" i="45"/>
  <c r="O18" i="45"/>
  <c r="N17" i="45"/>
  <c r="M17" i="45"/>
  <c r="L17" i="45"/>
  <c r="K17" i="45"/>
  <c r="J17" i="45"/>
  <c r="I17" i="45"/>
  <c r="H17" i="45"/>
  <c r="G17" i="45"/>
  <c r="F17" i="45"/>
  <c r="E17" i="45"/>
  <c r="D17" i="45"/>
  <c r="C17" i="45"/>
  <c r="N15" i="45"/>
  <c r="M15" i="45"/>
  <c r="L15" i="45"/>
  <c r="K15" i="45"/>
  <c r="J15" i="45"/>
  <c r="I15" i="45"/>
  <c r="H15" i="45"/>
  <c r="G15" i="45"/>
  <c r="F15" i="45"/>
  <c r="E15" i="45"/>
  <c r="D15" i="45"/>
  <c r="C15" i="45"/>
  <c r="O14" i="45"/>
  <c r="O13" i="45"/>
  <c r="O12" i="45"/>
  <c r="O11" i="45"/>
  <c r="O9" i="45"/>
  <c r="O8" i="45"/>
  <c r="O7" i="45"/>
  <c r="O6" i="45"/>
  <c r="O274" i="44"/>
  <c r="O272" i="44"/>
  <c r="O271" i="44"/>
  <c r="N270" i="44"/>
  <c r="M270" i="44"/>
  <c r="L270" i="44"/>
  <c r="K270" i="44"/>
  <c r="J270" i="44"/>
  <c r="I270" i="44"/>
  <c r="H270" i="44"/>
  <c r="G270" i="44"/>
  <c r="F270" i="44"/>
  <c r="E270" i="44"/>
  <c r="D270" i="44"/>
  <c r="C270" i="44"/>
  <c r="O270" i="44" s="1"/>
  <c r="O269" i="44"/>
  <c r="O268" i="44"/>
  <c r="O267" i="44"/>
  <c r="O266" i="44"/>
  <c r="O265" i="44"/>
  <c r="O264" i="44"/>
  <c r="O263" i="44"/>
  <c r="O262" i="44"/>
  <c r="O261" i="44"/>
  <c r="O260" i="44"/>
  <c r="N259" i="44"/>
  <c r="M259" i="44"/>
  <c r="L259" i="44"/>
  <c r="K259" i="44"/>
  <c r="J259" i="44"/>
  <c r="I259" i="44"/>
  <c r="I255" i="44" s="1"/>
  <c r="H259" i="44"/>
  <c r="G259" i="44"/>
  <c r="F259" i="44"/>
  <c r="E259" i="44"/>
  <c r="D259" i="44"/>
  <c r="C259" i="44"/>
  <c r="O258" i="44"/>
  <c r="O257" i="44"/>
  <c r="N256" i="44"/>
  <c r="N255" i="44" s="1"/>
  <c r="M256" i="44"/>
  <c r="L256" i="44"/>
  <c r="K256" i="44"/>
  <c r="J256" i="44"/>
  <c r="I256" i="44"/>
  <c r="H256" i="44"/>
  <c r="H255" i="44" s="1"/>
  <c r="G256" i="44"/>
  <c r="O256" i="44" s="1"/>
  <c r="F256" i="44"/>
  <c r="F255" i="44" s="1"/>
  <c r="E256" i="44"/>
  <c r="D256" i="44"/>
  <c r="C256" i="44"/>
  <c r="M255" i="44"/>
  <c r="L255" i="44"/>
  <c r="K255" i="44"/>
  <c r="E255" i="44"/>
  <c r="D255" i="44"/>
  <c r="C255" i="44"/>
  <c r="O254" i="44"/>
  <c r="O253" i="44"/>
  <c r="N252" i="44"/>
  <c r="M252" i="44"/>
  <c r="L252" i="44"/>
  <c r="K252" i="44"/>
  <c r="J252" i="44"/>
  <c r="I252" i="44"/>
  <c r="H252" i="44"/>
  <c r="G252" i="44"/>
  <c r="F252" i="44"/>
  <c r="E252" i="44"/>
  <c r="D252" i="44"/>
  <c r="C252" i="44"/>
  <c r="O252" i="44" s="1"/>
  <c r="O251" i="44"/>
  <c r="N250" i="44"/>
  <c r="M250" i="44"/>
  <c r="L250" i="44"/>
  <c r="K250" i="44"/>
  <c r="J250" i="44"/>
  <c r="I250" i="44"/>
  <c r="H250" i="44"/>
  <c r="H238" i="44" s="1"/>
  <c r="G250" i="44"/>
  <c r="F250" i="44"/>
  <c r="E250" i="44"/>
  <c r="D250" i="44"/>
  <c r="C250" i="44"/>
  <c r="O249" i="44"/>
  <c r="O248" i="44"/>
  <c r="O247" i="44"/>
  <c r="O246" i="44"/>
  <c r="O245" i="44"/>
  <c r="N244" i="44"/>
  <c r="M244" i="44"/>
  <c r="L244" i="44"/>
  <c r="K244" i="44"/>
  <c r="J244" i="44"/>
  <c r="J238" i="44" s="1"/>
  <c r="I244" i="44"/>
  <c r="I238" i="44" s="1"/>
  <c r="H244" i="44"/>
  <c r="G244" i="44"/>
  <c r="F244" i="44"/>
  <c r="E244" i="44"/>
  <c r="D244" i="44"/>
  <c r="C244" i="44"/>
  <c r="O243" i="44"/>
  <c r="O242" i="44"/>
  <c r="O241" i="44"/>
  <c r="O240" i="44"/>
  <c r="N239" i="44"/>
  <c r="M239" i="44"/>
  <c r="M238" i="44" s="1"/>
  <c r="L239" i="44"/>
  <c r="K239" i="44"/>
  <c r="J239" i="44"/>
  <c r="I239" i="44"/>
  <c r="H239" i="44"/>
  <c r="G239" i="44"/>
  <c r="G238" i="44" s="1"/>
  <c r="F239" i="44"/>
  <c r="E239" i="44"/>
  <c r="E238" i="44" s="1"/>
  <c r="D239" i="44"/>
  <c r="C239" i="44"/>
  <c r="N238" i="44"/>
  <c r="F238" i="44"/>
  <c r="O237" i="44"/>
  <c r="N236" i="44"/>
  <c r="M236" i="44"/>
  <c r="L236" i="44"/>
  <c r="K236" i="44"/>
  <c r="J236" i="44"/>
  <c r="I236" i="44"/>
  <c r="H236" i="44"/>
  <c r="G236" i="44"/>
  <c r="F236" i="44"/>
  <c r="E236" i="44"/>
  <c r="D236" i="44"/>
  <c r="C236" i="44"/>
  <c r="O236" i="44" s="1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N222" i="44"/>
  <c r="M222" i="44"/>
  <c r="M221" i="44" s="1"/>
  <c r="L222" i="44"/>
  <c r="L221" i="44" s="1"/>
  <c r="K222" i="44"/>
  <c r="K221" i="44" s="1"/>
  <c r="J222" i="44"/>
  <c r="I222" i="44"/>
  <c r="I221" i="44" s="1"/>
  <c r="H222" i="44"/>
  <c r="H221" i="44" s="1"/>
  <c r="G222" i="44"/>
  <c r="F222" i="44"/>
  <c r="E222" i="44"/>
  <c r="E221" i="44" s="1"/>
  <c r="D222" i="44"/>
  <c r="O222" i="44" s="1"/>
  <c r="C222" i="44"/>
  <c r="N221" i="44"/>
  <c r="F221" i="44"/>
  <c r="O220" i="44"/>
  <c r="O219" i="44"/>
  <c r="O218" i="44"/>
  <c r="N217" i="44"/>
  <c r="M217" i="44"/>
  <c r="L217" i="44"/>
  <c r="K217" i="44"/>
  <c r="J217" i="44"/>
  <c r="I217" i="44"/>
  <c r="H217" i="44"/>
  <c r="G217" i="44"/>
  <c r="F217" i="44"/>
  <c r="E217" i="44"/>
  <c r="D217" i="44"/>
  <c r="C217" i="44"/>
  <c r="O216" i="44"/>
  <c r="N215" i="44"/>
  <c r="M215" i="44"/>
  <c r="L215" i="44"/>
  <c r="K215" i="44"/>
  <c r="J215" i="44"/>
  <c r="I215" i="44"/>
  <c r="H215" i="44"/>
  <c r="G215" i="44"/>
  <c r="F215" i="44"/>
  <c r="E215" i="44"/>
  <c r="D215" i="44"/>
  <c r="C215" i="44"/>
  <c r="O214" i="44"/>
  <c r="O213" i="44"/>
  <c r="O212" i="44"/>
  <c r="O211" i="44"/>
  <c r="N210" i="44"/>
  <c r="M210" i="44"/>
  <c r="M199" i="44" s="1"/>
  <c r="L210" i="44"/>
  <c r="K210" i="44"/>
  <c r="J210" i="44"/>
  <c r="I210" i="44"/>
  <c r="H210" i="44"/>
  <c r="G210" i="44"/>
  <c r="F210" i="44"/>
  <c r="E210" i="44"/>
  <c r="E199" i="44" s="1"/>
  <c r="D210" i="44"/>
  <c r="C210" i="44"/>
  <c r="O209" i="44"/>
  <c r="O208" i="44"/>
  <c r="O207" i="44"/>
  <c r="O206" i="44"/>
  <c r="O205" i="44"/>
  <c r="O204" i="44"/>
  <c r="O203" i="44"/>
  <c r="O202" i="44"/>
  <c r="O201" i="44"/>
  <c r="N200" i="44"/>
  <c r="M200" i="44"/>
  <c r="L200" i="44"/>
  <c r="L199" i="44" s="1"/>
  <c r="K200" i="44"/>
  <c r="J200" i="44"/>
  <c r="I200" i="44"/>
  <c r="I199" i="44" s="1"/>
  <c r="H200" i="44"/>
  <c r="G200" i="44"/>
  <c r="F200" i="44"/>
  <c r="E200" i="44"/>
  <c r="D200" i="44"/>
  <c r="D199" i="44" s="1"/>
  <c r="C200" i="44"/>
  <c r="H199" i="44"/>
  <c r="O198" i="44"/>
  <c r="O197" i="44"/>
  <c r="O196" i="44"/>
  <c r="O195" i="44"/>
  <c r="O194" i="44"/>
  <c r="O193" i="44"/>
  <c r="O192" i="44"/>
  <c r="N191" i="44"/>
  <c r="M191" i="44"/>
  <c r="L191" i="44"/>
  <c r="K191" i="44"/>
  <c r="J191" i="44"/>
  <c r="I191" i="44"/>
  <c r="H191" i="44"/>
  <c r="G191" i="44"/>
  <c r="F191" i="44"/>
  <c r="E191" i="44"/>
  <c r="D191" i="44"/>
  <c r="C191" i="44"/>
  <c r="O190" i="44"/>
  <c r="O189" i="44"/>
  <c r="O188" i="44"/>
  <c r="O187" i="44"/>
  <c r="O186" i="44"/>
  <c r="O185" i="44"/>
  <c r="N184" i="44"/>
  <c r="M184" i="44"/>
  <c r="L184" i="44"/>
  <c r="K184" i="44"/>
  <c r="K183" i="44" s="1"/>
  <c r="J184" i="44"/>
  <c r="J183" i="44" s="1"/>
  <c r="I184" i="44"/>
  <c r="I183" i="44" s="1"/>
  <c r="H184" i="44"/>
  <c r="G184" i="44"/>
  <c r="F184" i="44"/>
  <c r="E184" i="44"/>
  <c r="E183" i="44" s="1"/>
  <c r="D184" i="44"/>
  <c r="C184" i="44"/>
  <c r="C183" i="44" s="1"/>
  <c r="M183" i="44"/>
  <c r="L183" i="44"/>
  <c r="D183" i="44"/>
  <c r="O182" i="44"/>
  <c r="O181" i="44"/>
  <c r="O180" i="44"/>
  <c r="O179" i="44"/>
  <c r="O178" i="44"/>
  <c r="N177" i="44"/>
  <c r="M177" i="44"/>
  <c r="L177" i="44"/>
  <c r="K177" i="44"/>
  <c r="J177" i="44"/>
  <c r="I177" i="44"/>
  <c r="I167" i="44" s="1"/>
  <c r="H177" i="44"/>
  <c r="H167" i="44" s="1"/>
  <c r="G177" i="44"/>
  <c r="F177" i="44"/>
  <c r="E177" i="44"/>
  <c r="D177" i="44"/>
  <c r="C177" i="44"/>
  <c r="O176" i="44"/>
  <c r="O175" i="44"/>
  <c r="O174" i="44"/>
  <c r="O173" i="44"/>
  <c r="O172" i="44"/>
  <c r="O171" i="44"/>
  <c r="O170" i="44"/>
  <c r="O169" i="44"/>
  <c r="N168" i="44"/>
  <c r="N167" i="44" s="1"/>
  <c r="M168" i="44"/>
  <c r="M167" i="44" s="1"/>
  <c r="L168" i="44"/>
  <c r="L167" i="44" s="1"/>
  <c r="K168" i="44"/>
  <c r="J168" i="44"/>
  <c r="I168" i="44"/>
  <c r="H168" i="44"/>
  <c r="G168" i="44"/>
  <c r="F168" i="44"/>
  <c r="F167" i="44" s="1"/>
  <c r="E168" i="44"/>
  <c r="D168" i="44"/>
  <c r="D167" i="44" s="1"/>
  <c r="C168" i="44"/>
  <c r="E167" i="44"/>
  <c r="O164" i="44"/>
  <c r="O163" i="44"/>
  <c r="O162" i="44"/>
  <c r="O161" i="44"/>
  <c r="O160" i="44"/>
  <c r="O159" i="44"/>
  <c r="O158" i="44"/>
  <c r="O157" i="44"/>
  <c r="O156" i="44"/>
  <c r="N155" i="44"/>
  <c r="N154" i="44" s="1"/>
  <c r="M155" i="44"/>
  <c r="M154" i="44" s="1"/>
  <c r="L155" i="44"/>
  <c r="L154" i="44" s="1"/>
  <c r="K155" i="44"/>
  <c r="K154" i="44" s="1"/>
  <c r="J155" i="44"/>
  <c r="I155" i="44"/>
  <c r="I154" i="44" s="1"/>
  <c r="H155" i="44"/>
  <c r="H154" i="44" s="1"/>
  <c r="G155" i="44"/>
  <c r="G154" i="44" s="1"/>
  <c r="F155" i="44"/>
  <c r="E155" i="44"/>
  <c r="E154" i="44" s="1"/>
  <c r="D155" i="44"/>
  <c r="C155" i="44"/>
  <c r="J154" i="44"/>
  <c r="D154" i="44"/>
  <c r="C154" i="44"/>
  <c r="O153" i="44"/>
  <c r="O152" i="44"/>
  <c r="O151" i="44"/>
  <c r="O150" i="44"/>
  <c r="O149" i="44"/>
  <c r="O148" i="44"/>
  <c r="O147" i="44"/>
  <c r="O146" i="44"/>
  <c r="N145" i="44"/>
  <c r="M145" i="44"/>
  <c r="L145" i="44"/>
  <c r="K145" i="44"/>
  <c r="J145" i="44"/>
  <c r="I145" i="44"/>
  <c r="H145" i="44"/>
  <c r="G145" i="44"/>
  <c r="F145" i="44"/>
  <c r="E145" i="44"/>
  <c r="D145" i="44"/>
  <c r="C145" i="44"/>
  <c r="O144" i="44"/>
  <c r="O143" i="44"/>
  <c r="O142" i="44"/>
  <c r="O141" i="44"/>
  <c r="O140" i="44"/>
  <c r="O139" i="44"/>
  <c r="N138" i="44"/>
  <c r="M138" i="44"/>
  <c r="L138" i="44"/>
  <c r="K138" i="44"/>
  <c r="J138" i="44"/>
  <c r="I138" i="44"/>
  <c r="H138" i="44"/>
  <c r="G138" i="44"/>
  <c r="F138" i="44"/>
  <c r="E138" i="44"/>
  <c r="D138" i="44"/>
  <c r="C138" i="44"/>
  <c r="O137" i="44"/>
  <c r="O136" i="44"/>
  <c r="O135" i="44"/>
  <c r="O134" i="44"/>
  <c r="O133" i="44"/>
  <c r="O132" i="44"/>
  <c r="O131" i="44"/>
  <c r="N130" i="44"/>
  <c r="M130" i="44"/>
  <c r="L130" i="44"/>
  <c r="K130" i="44"/>
  <c r="J130" i="44"/>
  <c r="I130" i="44"/>
  <c r="H130" i="44"/>
  <c r="G130" i="44"/>
  <c r="F130" i="44"/>
  <c r="E130" i="44"/>
  <c r="D130" i="44"/>
  <c r="C130" i="44"/>
  <c r="O129" i="44"/>
  <c r="O128" i="44"/>
  <c r="O127" i="44"/>
  <c r="N126" i="44"/>
  <c r="M126" i="44"/>
  <c r="L126" i="44"/>
  <c r="K126" i="44"/>
  <c r="J126" i="44"/>
  <c r="I126" i="44"/>
  <c r="H126" i="44"/>
  <c r="G126" i="44"/>
  <c r="F126" i="44"/>
  <c r="E126" i="44"/>
  <c r="D126" i="44"/>
  <c r="C126" i="44"/>
  <c r="O126" i="44" s="1"/>
  <c r="O125" i="44"/>
  <c r="O124" i="44"/>
  <c r="N123" i="44"/>
  <c r="M123" i="44"/>
  <c r="L123" i="44"/>
  <c r="K123" i="44"/>
  <c r="J123" i="44"/>
  <c r="I123" i="44"/>
  <c r="H123" i="44"/>
  <c r="G123" i="44"/>
  <c r="F123" i="44"/>
  <c r="E123" i="44"/>
  <c r="D123" i="44"/>
  <c r="C123" i="44"/>
  <c r="O122" i="44"/>
  <c r="O121" i="44"/>
  <c r="O120" i="44"/>
  <c r="N119" i="44"/>
  <c r="M119" i="44"/>
  <c r="L119" i="44"/>
  <c r="K119" i="44"/>
  <c r="J119" i="44"/>
  <c r="J100" i="44" s="1"/>
  <c r="I119" i="44"/>
  <c r="I100" i="44" s="1"/>
  <c r="H119" i="44"/>
  <c r="G119" i="44"/>
  <c r="F119" i="44"/>
  <c r="E119" i="44"/>
  <c r="D119" i="44"/>
  <c r="C119" i="44"/>
  <c r="O118" i="44"/>
  <c r="N117" i="44"/>
  <c r="M117" i="44"/>
  <c r="L117" i="44"/>
  <c r="K117" i="44"/>
  <c r="J117" i="44"/>
  <c r="I117" i="44"/>
  <c r="H117" i="44"/>
  <c r="G117" i="44"/>
  <c r="F117" i="44"/>
  <c r="E117" i="44"/>
  <c r="D117" i="44"/>
  <c r="C117" i="44"/>
  <c r="O116" i="44"/>
  <c r="O115" i="44"/>
  <c r="O114" i="44"/>
  <c r="O113" i="44"/>
  <c r="N112" i="44"/>
  <c r="N100" i="44" s="1"/>
  <c r="M112" i="44"/>
  <c r="L112" i="44"/>
  <c r="K112" i="44"/>
  <c r="J112" i="44"/>
  <c r="I112" i="44"/>
  <c r="H112" i="44"/>
  <c r="G112" i="44"/>
  <c r="F112" i="44"/>
  <c r="F100" i="44" s="1"/>
  <c r="E112" i="44"/>
  <c r="D112" i="44"/>
  <c r="C112" i="44"/>
  <c r="O111" i="44"/>
  <c r="O110" i="44"/>
  <c r="O109" i="44"/>
  <c r="O108" i="44"/>
  <c r="O107" i="44"/>
  <c r="O106" i="44"/>
  <c r="O105" i="44"/>
  <c r="O104" i="44"/>
  <c r="O103" i="44"/>
  <c r="O102" i="44"/>
  <c r="N101" i="44"/>
  <c r="M101" i="44"/>
  <c r="M100" i="44" s="1"/>
  <c r="L101" i="44"/>
  <c r="L100" i="44" s="1"/>
  <c r="K101" i="44"/>
  <c r="J101" i="44"/>
  <c r="I101" i="44"/>
  <c r="H101" i="44"/>
  <c r="G101" i="44"/>
  <c r="F101" i="44"/>
  <c r="E101" i="44"/>
  <c r="E100" i="44" s="1"/>
  <c r="D101" i="44"/>
  <c r="O101" i="44" s="1"/>
  <c r="C101" i="44"/>
  <c r="O99" i="44"/>
  <c r="O98" i="44"/>
  <c r="O97" i="44"/>
  <c r="O96" i="44"/>
  <c r="O95" i="44"/>
  <c r="N94" i="44"/>
  <c r="M94" i="44"/>
  <c r="L94" i="44"/>
  <c r="K94" i="44"/>
  <c r="J94" i="44"/>
  <c r="I94" i="44"/>
  <c r="H94" i="44"/>
  <c r="G94" i="44"/>
  <c r="F94" i="44"/>
  <c r="E94" i="44"/>
  <c r="D94" i="44"/>
  <c r="C94" i="44"/>
  <c r="O93" i="44"/>
  <c r="N92" i="44"/>
  <c r="M92" i="44"/>
  <c r="M82" i="44" s="1"/>
  <c r="L92" i="44"/>
  <c r="K92" i="44"/>
  <c r="J92" i="44"/>
  <c r="I92" i="44"/>
  <c r="H92" i="44"/>
  <c r="G92" i="44"/>
  <c r="F92" i="44"/>
  <c r="E92" i="44"/>
  <c r="D92" i="44"/>
  <c r="C92" i="44"/>
  <c r="O91" i="44"/>
  <c r="O90" i="44"/>
  <c r="O89" i="44"/>
  <c r="N88" i="44"/>
  <c r="M88" i="44"/>
  <c r="L88" i="44"/>
  <c r="K88" i="44"/>
  <c r="K82" i="44" s="1"/>
  <c r="J88" i="44"/>
  <c r="I88" i="44"/>
  <c r="H88" i="44"/>
  <c r="G88" i="44"/>
  <c r="F88" i="44"/>
  <c r="E88" i="44"/>
  <c r="D88" i="44"/>
  <c r="C88" i="44"/>
  <c r="O88" i="44" s="1"/>
  <c r="O87" i="44"/>
  <c r="N86" i="44"/>
  <c r="M86" i="44"/>
  <c r="L86" i="44"/>
  <c r="K86" i="44"/>
  <c r="J86" i="44"/>
  <c r="I86" i="44"/>
  <c r="H86" i="44"/>
  <c r="H82" i="44" s="1"/>
  <c r="G86" i="44"/>
  <c r="F86" i="44"/>
  <c r="E86" i="44"/>
  <c r="D86" i="44"/>
  <c r="C86" i="44"/>
  <c r="O85" i="44"/>
  <c r="O84" i="44"/>
  <c r="N83" i="44"/>
  <c r="N82" i="44" s="1"/>
  <c r="M83" i="44"/>
  <c r="L83" i="44"/>
  <c r="L82" i="44" s="1"/>
  <c r="K83" i="44"/>
  <c r="J83" i="44"/>
  <c r="I83" i="44"/>
  <c r="H83" i="44"/>
  <c r="G83" i="44"/>
  <c r="F83" i="44"/>
  <c r="F82" i="44" s="1"/>
  <c r="E83" i="44"/>
  <c r="D83" i="44"/>
  <c r="C83" i="44"/>
  <c r="E82" i="44"/>
  <c r="D82" i="44"/>
  <c r="O81" i="44"/>
  <c r="O80" i="44"/>
  <c r="O79" i="44"/>
  <c r="O78" i="44"/>
  <c r="O77" i="44"/>
  <c r="O76" i="44"/>
  <c r="O75" i="44"/>
  <c r="O74" i="44"/>
  <c r="N73" i="44"/>
  <c r="M73" i="44"/>
  <c r="L73" i="44"/>
  <c r="K73" i="44"/>
  <c r="J73" i="44"/>
  <c r="I73" i="44"/>
  <c r="H73" i="44"/>
  <c r="G73" i="44"/>
  <c r="F73" i="44"/>
  <c r="E73" i="44"/>
  <c r="D73" i="44"/>
  <c r="C73" i="44"/>
  <c r="O72" i="44"/>
  <c r="O71" i="44"/>
  <c r="O70" i="44"/>
  <c r="O69" i="44"/>
  <c r="O68" i="44"/>
  <c r="O67" i="44"/>
  <c r="N66" i="44"/>
  <c r="M66" i="44"/>
  <c r="L66" i="44"/>
  <c r="K66" i="44"/>
  <c r="J66" i="44"/>
  <c r="I66" i="44"/>
  <c r="H66" i="44"/>
  <c r="G66" i="44"/>
  <c r="F66" i="44"/>
  <c r="E66" i="44"/>
  <c r="D66" i="44"/>
  <c r="C66" i="44"/>
  <c r="O65" i="44"/>
  <c r="O63" i="44"/>
  <c r="N62" i="44"/>
  <c r="M62" i="44"/>
  <c r="L62" i="44"/>
  <c r="K62" i="44"/>
  <c r="J62" i="44"/>
  <c r="I62" i="44"/>
  <c r="H62" i="44"/>
  <c r="G62" i="44"/>
  <c r="F62" i="44"/>
  <c r="E62" i="44"/>
  <c r="D62" i="44"/>
  <c r="C62" i="44"/>
  <c r="O61" i="44"/>
  <c r="O60" i="44"/>
  <c r="O59" i="44"/>
  <c r="O58" i="44"/>
  <c r="O57" i="44"/>
  <c r="O56" i="44"/>
  <c r="O55" i="44"/>
  <c r="O54" i="44"/>
  <c r="O53" i="44"/>
  <c r="O52" i="44"/>
  <c r="N51" i="44"/>
  <c r="M51" i="44"/>
  <c r="L51" i="44"/>
  <c r="K51" i="44"/>
  <c r="J51" i="44"/>
  <c r="I51" i="44"/>
  <c r="H51" i="44"/>
  <c r="G51" i="44"/>
  <c r="F51" i="44"/>
  <c r="E51" i="44"/>
  <c r="D51" i="44"/>
  <c r="C51" i="44"/>
  <c r="O50" i="44"/>
  <c r="O49" i="44"/>
  <c r="O48" i="44"/>
  <c r="O47" i="44"/>
  <c r="N46" i="44"/>
  <c r="M46" i="44"/>
  <c r="L46" i="44"/>
  <c r="K46" i="44"/>
  <c r="J46" i="44"/>
  <c r="I46" i="44"/>
  <c r="H46" i="44"/>
  <c r="G46" i="44"/>
  <c r="F46" i="44"/>
  <c r="E46" i="44"/>
  <c r="D46" i="44"/>
  <c r="C46" i="44"/>
  <c r="O45" i="44"/>
  <c r="O44" i="44"/>
  <c r="O43" i="44"/>
  <c r="O42" i="44"/>
  <c r="O41" i="44"/>
  <c r="O40" i="44"/>
  <c r="N39" i="44"/>
  <c r="M39" i="44"/>
  <c r="L39" i="44"/>
  <c r="K39" i="44"/>
  <c r="J39" i="44"/>
  <c r="I39" i="44"/>
  <c r="I27" i="44" s="1"/>
  <c r="H39" i="44"/>
  <c r="H27" i="44" s="1"/>
  <c r="G39" i="44"/>
  <c r="F39" i="44"/>
  <c r="E39" i="44"/>
  <c r="D39" i="44"/>
  <c r="C39" i="44"/>
  <c r="O38" i="44"/>
  <c r="O37" i="44"/>
  <c r="O36" i="44"/>
  <c r="O35" i="44"/>
  <c r="O34" i="44"/>
  <c r="O33" i="44"/>
  <c r="O32" i="44"/>
  <c r="O31" i="44"/>
  <c r="O30" i="44"/>
  <c r="O29" i="44"/>
  <c r="N28" i="44"/>
  <c r="M28" i="44"/>
  <c r="M27" i="44" s="1"/>
  <c r="L28" i="44"/>
  <c r="L27" i="44" s="1"/>
  <c r="K28" i="44"/>
  <c r="J28" i="44"/>
  <c r="I28" i="44"/>
  <c r="H28" i="44"/>
  <c r="G28" i="44"/>
  <c r="G27" i="44" s="1"/>
  <c r="F28" i="44"/>
  <c r="E28" i="44"/>
  <c r="E27" i="44" s="1"/>
  <c r="D28" i="44"/>
  <c r="C28" i="44"/>
  <c r="O25" i="44"/>
  <c r="O24" i="44"/>
  <c r="O20" i="44"/>
  <c r="O19" i="44"/>
  <c r="O18" i="44"/>
  <c r="N17" i="44"/>
  <c r="M17" i="44"/>
  <c r="L17" i="44"/>
  <c r="K17" i="44"/>
  <c r="J17" i="44"/>
  <c r="I17" i="44"/>
  <c r="H17" i="44"/>
  <c r="G17" i="44"/>
  <c r="F17" i="44"/>
  <c r="E17" i="44"/>
  <c r="D17" i="44"/>
  <c r="C17" i="44"/>
  <c r="N15" i="44"/>
  <c r="M15" i="44"/>
  <c r="L15" i="44"/>
  <c r="K15" i="44"/>
  <c r="J15" i="44"/>
  <c r="I15" i="44"/>
  <c r="H15" i="44"/>
  <c r="G15" i="44"/>
  <c r="F15" i="44"/>
  <c r="E15" i="44"/>
  <c r="D15" i="44"/>
  <c r="C15" i="44"/>
  <c r="O14" i="44"/>
  <c r="O13" i="44"/>
  <c r="O12" i="44"/>
  <c r="O11" i="44"/>
  <c r="O9" i="44"/>
  <c r="O8" i="44"/>
  <c r="O7" i="44"/>
  <c r="O6" i="44"/>
  <c r="I315" i="49" l="1"/>
  <c r="I316" i="49" s="1"/>
  <c r="I317" i="49" s="1"/>
  <c r="I318" i="49" s="1"/>
  <c r="I319" i="49" s="1"/>
  <c r="I320" i="49" s="1"/>
  <c r="I321" i="49" s="1"/>
  <c r="I322" i="49" s="1"/>
  <c r="I323" i="49" s="1"/>
  <c r="I324" i="49" s="1"/>
  <c r="I325" i="49" s="1"/>
  <c r="I326" i="49" s="1"/>
  <c r="I327" i="49" s="1"/>
  <c r="I328" i="49" s="1"/>
  <c r="I329" i="49" s="1"/>
  <c r="I330" i="49" s="1"/>
  <c r="I331" i="49" s="1"/>
  <c r="I332" i="49" s="1"/>
  <c r="I333" i="49" s="1"/>
  <c r="I334" i="49" s="1"/>
  <c r="I335" i="49" s="1"/>
  <c r="I336" i="49" s="1"/>
  <c r="I337" i="49" s="1"/>
  <c r="I338" i="49" s="1"/>
  <c r="I345" i="49" s="1"/>
  <c r="I346" i="49" s="1"/>
  <c r="I347" i="49" s="1"/>
  <c r="I348" i="49" s="1"/>
  <c r="I349" i="49" s="1"/>
  <c r="I350" i="49" s="1"/>
  <c r="I351" i="49" s="1"/>
  <c r="I352" i="49" s="1"/>
  <c r="I353" i="49" s="1"/>
  <c r="I354" i="49" s="1"/>
  <c r="I355" i="49" s="1"/>
  <c r="I356" i="49" s="1"/>
  <c r="I357" i="49" s="1"/>
  <c r="I358" i="49" s="1"/>
  <c r="I359" i="49" s="1"/>
  <c r="I360" i="49" s="1"/>
  <c r="I361" i="49" s="1"/>
  <c r="I362" i="49" s="1"/>
  <c r="I363" i="49" s="1"/>
  <c r="I364" i="49" s="1"/>
  <c r="I365" i="49" s="1"/>
  <c r="I366" i="49" s="1"/>
  <c r="I367" i="49" s="1"/>
  <c r="I308" i="49"/>
  <c r="O200" i="44"/>
  <c r="O210" i="45"/>
  <c r="C221" i="44"/>
  <c r="H100" i="44"/>
  <c r="H273" i="44" s="1"/>
  <c r="O138" i="44"/>
  <c r="K100" i="44"/>
  <c r="O239" i="44"/>
  <c r="K238" i="44"/>
  <c r="O66" i="44"/>
  <c r="O39" i="44"/>
  <c r="O62" i="44"/>
  <c r="O73" i="44"/>
  <c r="I82" i="44"/>
  <c r="G100" i="44"/>
  <c r="O130" i="44"/>
  <c r="F199" i="44"/>
  <c r="N199" i="44"/>
  <c r="D238" i="44"/>
  <c r="L238" i="44"/>
  <c r="J255" i="44"/>
  <c r="J27" i="44"/>
  <c r="O94" i="44"/>
  <c r="O123" i="44"/>
  <c r="O145" i="44"/>
  <c r="J167" i="44"/>
  <c r="O177" i="44"/>
  <c r="F183" i="44"/>
  <c r="N183" i="44"/>
  <c r="O191" i="44"/>
  <c r="G221" i="44"/>
  <c r="O250" i="44"/>
  <c r="O259" i="44"/>
  <c r="O46" i="44"/>
  <c r="K27" i="44"/>
  <c r="O51" i="44"/>
  <c r="O112" i="44"/>
  <c r="O119" i="44"/>
  <c r="O168" i="44"/>
  <c r="K167" i="44"/>
  <c r="G167" i="44"/>
  <c r="O184" i="44"/>
  <c r="O215" i="44"/>
  <c r="O217" i="44"/>
  <c r="O28" i="44"/>
  <c r="F27" i="44"/>
  <c r="N27" i="44"/>
  <c r="O117" i="44"/>
  <c r="H183" i="44"/>
  <c r="G199" i="44"/>
  <c r="J221" i="44"/>
  <c r="G82" i="44"/>
  <c r="E273" i="44"/>
  <c r="M273" i="44"/>
  <c r="C82" i="44"/>
  <c r="O82" i="44" s="1"/>
  <c r="O86" i="44"/>
  <c r="J82" i="44"/>
  <c r="O92" i="44"/>
  <c r="J199" i="44"/>
  <c r="K199" i="44"/>
  <c r="O210" i="44"/>
  <c r="O244" i="44"/>
  <c r="L273" i="44"/>
  <c r="O155" i="44"/>
  <c r="O39" i="45"/>
  <c r="O66" i="45"/>
  <c r="H82" i="45"/>
  <c r="E100" i="45"/>
  <c r="M100" i="45"/>
  <c r="O138" i="45"/>
  <c r="K100" i="45"/>
  <c r="F167" i="45"/>
  <c r="N167" i="45"/>
  <c r="O215" i="45"/>
  <c r="D221" i="45"/>
  <c r="L221" i="45"/>
  <c r="C238" i="45"/>
  <c r="K238" i="45"/>
  <c r="K255" i="45"/>
  <c r="O17" i="45"/>
  <c r="O62" i="45"/>
  <c r="O73" i="45"/>
  <c r="G100" i="45"/>
  <c r="O126" i="45"/>
  <c r="O145" i="45"/>
  <c r="O200" i="45"/>
  <c r="K199" i="45"/>
  <c r="K273" i="45" s="1"/>
  <c r="E238" i="45"/>
  <c r="M238" i="45"/>
  <c r="J27" i="45"/>
  <c r="J273" i="45" s="1"/>
  <c r="J275" i="45" s="1"/>
  <c r="J10" i="46" s="1"/>
  <c r="O94" i="45"/>
  <c r="O123" i="45"/>
  <c r="D199" i="45"/>
  <c r="L199" i="45"/>
  <c r="G199" i="45"/>
  <c r="F238" i="45"/>
  <c r="N238" i="45"/>
  <c r="O28" i="45"/>
  <c r="L27" i="45"/>
  <c r="O117" i="45"/>
  <c r="C167" i="45"/>
  <c r="K167" i="45"/>
  <c r="G167" i="45"/>
  <c r="F199" i="45"/>
  <c r="N199" i="45"/>
  <c r="I221" i="45"/>
  <c r="H221" i="45"/>
  <c r="O46" i="45"/>
  <c r="K27" i="45"/>
  <c r="O51" i="45"/>
  <c r="O119" i="45"/>
  <c r="O177" i="45"/>
  <c r="E199" i="45"/>
  <c r="M199" i="45"/>
  <c r="E27" i="45"/>
  <c r="M27" i="45"/>
  <c r="F82" i="45"/>
  <c r="N82" i="45"/>
  <c r="N273" i="45" s="1"/>
  <c r="J82" i="45"/>
  <c r="O92" i="45"/>
  <c r="O112" i="45"/>
  <c r="O154" i="45"/>
  <c r="G183" i="45"/>
  <c r="O183" i="45" s="1"/>
  <c r="O252" i="45"/>
  <c r="H27" i="45"/>
  <c r="G82" i="45"/>
  <c r="G273" i="45" s="1"/>
  <c r="O88" i="45"/>
  <c r="O101" i="45"/>
  <c r="L100" i="45"/>
  <c r="H183" i="45"/>
  <c r="O217" i="45"/>
  <c r="O222" i="45"/>
  <c r="K221" i="45"/>
  <c r="H255" i="45"/>
  <c r="H273" i="45" s="1"/>
  <c r="O270" i="45"/>
  <c r="O191" i="45"/>
  <c r="O17" i="44"/>
  <c r="I273" i="45"/>
  <c r="F273" i="45"/>
  <c r="C82" i="45"/>
  <c r="O184" i="45"/>
  <c r="O236" i="45"/>
  <c r="O155" i="45"/>
  <c r="C27" i="45"/>
  <c r="C100" i="45"/>
  <c r="O100" i="45" s="1"/>
  <c r="D27" i="45"/>
  <c r="D273" i="45" s="1"/>
  <c r="C199" i="45"/>
  <c r="O239" i="45"/>
  <c r="O168" i="45"/>
  <c r="O244" i="45"/>
  <c r="D100" i="45"/>
  <c r="C221" i="45"/>
  <c r="O221" i="45" s="1"/>
  <c r="O83" i="45"/>
  <c r="O15" i="45"/>
  <c r="C255" i="45"/>
  <c r="E275" i="44"/>
  <c r="F273" i="44"/>
  <c r="F275" i="44" s="1"/>
  <c r="M275" i="44"/>
  <c r="I273" i="44"/>
  <c r="O83" i="44"/>
  <c r="C27" i="44"/>
  <c r="C100" i="44"/>
  <c r="O100" i="44" s="1"/>
  <c r="C238" i="44"/>
  <c r="D27" i="44"/>
  <c r="D100" i="44"/>
  <c r="F154" i="44"/>
  <c r="O154" i="44" s="1"/>
  <c r="C167" i="44"/>
  <c r="O167" i="44" s="1"/>
  <c r="G183" i="44"/>
  <c r="O183" i="44" s="1"/>
  <c r="C199" i="44"/>
  <c r="G255" i="44"/>
  <c r="O255" i="44" s="1"/>
  <c r="D221" i="44"/>
  <c r="O15" i="44"/>
  <c r="I375" i="49" l="1"/>
  <c r="I376" i="49" s="1"/>
  <c r="I377" i="49" s="1"/>
  <c r="I378" i="49" s="1"/>
  <c r="I379" i="49" s="1"/>
  <c r="I380" i="49" s="1"/>
  <c r="I381" i="49" s="1"/>
  <c r="I382" i="49" s="1"/>
  <c r="I383" i="49" s="1"/>
  <c r="I384" i="49" s="1"/>
  <c r="I385" i="49" s="1"/>
  <c r="I386" i="49" s="1"/>
  <c r="I387" i="49" s="1"/>
  <c r="I388" i="49" s="1"/>
  <c r="I389" i="49" s="1"/>
  <c r="I390" i="49" s="1"/>
  <c r="I391" i="49" s="1"/>
  <c r="I392" i="49" s="1"/>
  <c r="I393" i="49" s="1"/>
  <c r="I394" i="49" s="1"/>
  <c r="I395" i="49" s="1"/>
  <c r="I396" i="49" s="1"/>
  <c r="I397" i="49" s="1"/>
  <c r="I398" i="49" s="1"/>
  <c r="I368" i="49"/>
  <c r="J273" i="44"/>
  <c r="J275" i="44" s="1"/>
  <c r="J9" i="46" s="1"/>
  <c r="K273" i="44"/>
  <c r="K275" i="44" s="1"/>
  <c r="K9" i="46" s="1"/>
  <c r="O199" i="45"/>
  <c r="N273" i="44"/>
  <c r="N275" i="44" s="1"/>
  <c r="D273" i="44"/>
  <c r="O221" i="44"/>
  <c r="O238" i="44"/>
  <c r="L275" i="44"/>
  <c r="L9" i="46" s="1"/>
  <c r="O199" i="44"/>
  <c r="O255" i="45"/>
  <c r="O82" i="45"/>
  <c r="O167" i="45"/>
  <c r="O238" i="45"/>
  <c r="M273" i="45"/>
  <c r="M275" i="45" s="1"/>
  <c r="E273" i="45"/>
  <c r="E275" i="45" s="1"/>
  <c r="L273" i="45"/>
  <c r="L275" i="45" s="1"/>
  <c r="L10" i="46" s="1"/>
  <c r="H275" i="44"/>
  <c r="I275" i="45"/>
  <c r="F275" i="45"/>
  <c r="N275" i="45"/>
  <c r="K275" i="45"/>
  <c r="K10" i="46" s="1"/>
  <c r="D275" i="45"/>
  <c r="G275" i="45"/>
  <c r="G284" i="45"/>
  <c r="G286" i="45" s="1"/>
  <c r="O27" i="45"/>
  <c r="C273" i="45"/>
  <c r="H275" i="45"/>
  <c r="O27" i="44"/>
  <c r="C273" i="44"/>
  <c r="G273" i="44"/>
  <c r="D275" i="44"/>
  <c r="I275" i="44"/>
  <c r="O273" i="45" l="1"/>
  <c r="C275" i="45"/>
  <c r="O275" i="45" s="1"/>
  <c r="O273" i="44"/>
  <c r="C275" i="44"/>
  <c r="G284" i="44"/>
  <c r="G286" i="44" s="1"/>
  <c r="G275" i="44"/>
  <c r="O275" i="44" l="1"/>
  <c r="M46" i="23" l="1"/>
  <c r="M62" i="23"/>
  <c r="M39" i="23"/>
  <c r="M28" i="23"/>
  <c r="M51" i="23" l="1"/>
  <c r="O71" i="23" l="1"/>
  <c r="N51" i="23" l="1"/>
  <c r="L51" i="23"/>
  <c r="K51" i="23"/>
  <c r="N46" i="23"/>
  <c r="L46" i="23"/>
  <c r="K46" i="23"/>
  <c r="J46" i="23"/>
  <c r="J51" i="23" l="1"/>
  <c r="H130" i="23" l="1"/>
  <c r="N155" i="23" l="1"/>
  <c r="M155" i="23"/>
  <c r="L155" i="23"/>
  <c r="K155" i="23"/>
  <c r="J155" i="23"/>
  <c r="I155" i="23"/>
  <c r="H155" i="23"/>
  <c r="G155" i="23" l="1"/>
  <c r="G154" i="23" s="1"/>
  <c r="O241" i="23"/>
  <c r="N239" i="23"/>
  <c r="M239" i="23"/>
  <c r="L239" i="23"/>
  <c r="K239" i="23"/>
  <c r="J239" i="23"/>
  <c r="I239" i="23"/>
  <c r="H239" i="23"/>
  <c r="D239" i="23" l="1"/>
  <c r="G239" i="23"/>
  <c r="E239" i="23"/>
  <c r="O240" i="23"/>
  <c r="F239" i="23"/>
  <c r="C239" i="23"/>
  <c r="O239" i="23" l="1"/>
  <c r="G66" i="23"/>
  <c r="N200" i="23" l="1"/>
  <c r="M200" i="23"/>
  <c r="L200" i="23"/>
  <c r="K200" i="23"/>
  <c r="J200" i="23"/>
  <c r="I200" i="23"/>
  <c r="H200" i="23"/>
  <c r="G200" i="23"/>
  <c r="D200" i="23"/>
  <c r="C200" i="23"/>
  <c r="N17" i="23"/>
  <c r="M17" i="23"/>
  <c r="L17" i="23"/>
  <c r="K17" i="23"/>
  <c r="J17" i="23"/>
  <c r="I17" i="23"/>
  <c r="H17" i="23"/>
  <c r="G17" i="23"/>
  <c r="D17" i="23"/>
  <c r="C17" i="23"/>
  <c r="F200" i="23" l="1"/>
  <c r="N86" i="23"/>
  <c r="M86" i="23"/>
  <c r="L86" i="23"/>
  <c r="K86" i="23"/>
  <c r="J86" i="23"/>
  <c r="I86" i="23"/>
  <c r="H86" i="23"/>
  <c r="G86" i="23"/>
  <c r="F86" i="23"/>
  <c r="F17" i="23" l="1"/>
  <c r="I46" i="23"/>
  <c r="H46" i="23"/>
  <c r="I51" i="23"/>
  <c r="H51" i="23"/>
  <c r="G51" i="23"/>
  <c r="F51" i="23"/>
  <c r="E200" i="23" l="1"/>
  <c r="E17" i="23" l="1"/>
  <c r="O17" i="23" s="1"/>
  <c r="E86" i="23"/>
  <c r="E51" i="23"/>
  <c r="O14" i="23"/>
  <c r="C15" i="23" l="1"/>
  <c r="D135" i="39" l="1"/>
  <c r="D86" i="23"/>
  <c r="D51" i="23" l="1"/>
  <c r="G46" i="23"/>
  <c r="F46" i="23"/>
  <c r="E46" i="23"/>
  <c r="D46" i="23"/>
  <c r="BI381" i="39"/>
  <c r="C51" i="23" l="1"/>
  <c r="C46" i="23"/>
  <c r="N39" i="23"/>
  <c r="L39" i="23"/>
  <c r="K39" i="23"/>
  <c r="J39" i="23"/>
  <c r="I39" i="23"/>
  <c r="H39" i="23"/>
  <c r="G39" i="23"/>
  <c r="F39" i="23"/>
  <c r="E39" i="23"/>
  <c r="D39" i="23"/>
  <c r="C39" i="23"/>
  <c r="O13" i="23" l="1"/>
  <c r="C382" i="39" l="1"/>
  <c r="D149" i="39"/>
  <c r="D382" i="39"/>
  <c r="BI382" i="39" s="1"/>
  <c r="D381" i="39"/>
  <c r="D6" i="39"/>
  <c r="D17" i="39" s="1"/>
  <c r="D18" i="39" s="1"/>
  <c r="F6" i="39"/>
  <c r="H6" i="39"/>
  <c r="J6" i="39"/>
  <c r="L6" i="39"/>
  <c r="N6" i="39"/>
  <c r="N17" i="39" s="1"/>
  <c r="N18" i="39" s="1"/>
  <c r="P6" i="39"/>
  <c r="R6" i="39"/>
  <c r="T6" i="39"/>
  <c r="V6" i="39"/>
  <c r="X6" i="39"/>
  <c r="Z6" i="39"/>
  <c r="BC6" i="39"/>
  <c r="AA8" i="39"/>
  <c r="AB8" i="39"/>
  <c r="AC8" i="39"/>
  <c r="AD8" i="39"/>
  <c r="AE8" i="39"/>
  <c r="AF8" i="39"/>
  <c r="AG8" i="39"/>
  <c r="AH8" i="39"/>
  <c r="AJ8" i="39"/>
  <c r="AK8" i="39"/>
  <c r="AL8" i="39"/>
  <c r="AM8" i="39"/>
  <c r="AN8" i="39"/>
  <c r="AP8" i="39"/>
  <c r="AQ8" i="39"/>
  <c r="AR8" i="39"/>
  <c r="AS8" i="39"/>
  <c r="AT8" i="39"/>
  <c r="AU8" i="39"/>
  <c r="AV8" i="39"/>
  <c r="AW8" i="39"/>
  <c r="AX8" i="39"/>
  <c r="AY8" i="39"/>
  <c r="AZ8" i="39"/>
  <c r="BA8" i="39"/>
  <c r="AA9" i="39"/>
  <c r="AB9" i="39"/>
  <c r="AC9" i="39"/>
  <c r="AD9" i="39"/>
  <c r="AE9" i="39"/>
  <c r="AF9" i="39"/>
  <c r="AG9" i="39"/>
  <c r="AH9" i="39"/>
  <c r="AJ9" i="39"/>
  <c r="AK9" i="39"/>
  <c r="AL9" i="39"/>
  <c r="AM9" i="39"/>
  <c r="AN9" i="39"/>
  <c r="AO9" i="39"/>
  <c r="AP9" i="39"/>
  <c r="AQ9" i="39"/>
  <c r="AR9" i="39"/>
  <c r="BB9" i="39" s="1"/>
  <c r="AS9" i="39"/>
  <c r="AT9" i="39"/>
  <c r="AU9" i="39"/>
  <c r="AV9" i="39"/>
  <c r="AW9" i="39"/>
  <c r="AX9" i="39"/>
  <c r="AY9" i="39"/>
  <c r="AZ9" i="39"/>
  <c r="BA9" i="39"/>
  <c r="A10" i="39"/>
  <c r="AA10" i="39"/>
  <c r="AB10" i="39"/>
  <c r="AC10" i="39"/>
  <c r="AD10" i="39"/>
  <c r="AE10" i="39"/>
  <c r="AF10" i="39"/>
  <c r="AG10" i="39"/>
  <c r="AH10" i="39"/>
  <c r="AJ10" i="39"/>
  <c r="AK10" i="39"/>
  <c r="AL10" i="39"/>
  <c r="AM10" i="39"/>
  <c r="AN10" i="39"/>
  <c r="AP10" i="39"/>
  <c r="BB10" i="39" s="1"/>
  <c r="AQ10" i="39"/>
  <c r="AR10" i="39"/>
  <c r="AS10" i="39"/>
  <c r="AT10" i="39"/>
  <c r="AU10" i="39"/>
  <c r="AV10" i="39"/>
  <c r="AW10" i="39"/>
  <c r="AX10" i="39"/>
  <c r="AY10" i="39"/>
  <c r="AZ10" i="39"/>
  <c r="BA10" i="39"/>
  <c r="AA11" i="39"/>
  <c r="AB11" i="39"/>
  <c r="AC11" i="39"/>
  <c r="AD11" i="39"/>
  <c r="AE11" i="39"/>
  <c r="AF11" i="39"/>
  <c r="AG11" i="39"/>
  <c r="AO11" i="39" s="1"/>
  <c r="AH11" i="39"/>
  <c r="AJ11" i="39"/>
  <c r="AK11" i="39"/>
  <c r="AL11" i="39"/>
  <c r="AM11" i="39"/>
  <c r="AN11" i="39"/>
  <c r="AP11" i="39"/>
  <c r="AQ11" i="39"/>
  <c r="AR11" i="39"/>
  <c r="AS11" i="39"/>
  <c r="AT11" i="39"/>
  <c r="AU11" i="39"/>
  <c r="AV11" i="39"/>
  <c r="AW11" i="39"/>
  <c r="AX11" i="39"/>
  <c r="AY11" i="39"/>
  <c r="AZ11" i="39"/>
  <c r="BA11" i="39"/>
  <c r="AA12" i="39"/>
  <c r="AB12" i="39"/>
  <c r="AC12" i="39"/>
  <c r="AO12" i="39" s="1"/>
  <c r="AD12" i="39"/>
  <c r="AE12" i="39"/>
  <c r="AF12" i="39"/>
  <c r="AG12" i="39"/>
  <c r="AH12" i="39"/>
  <c r="AJ12" i="39"/>
  <c r="AK12" i="39"/>
  <c r="AL12" i="39"/>
  <c r="AM12" i="39"/>
  <c r="AN12" i="39"/>
  <c r="AP12" i="39"/>
  <c r="AQ12" i="39"/>
  <c r="AR12" i="39"/>
  <c r="AS12" i="39"/>
  <c r="AT12" i="39"/>
  <c r="AU12" i="39"/>
  <c r="BB12" i="39" s="1"/>
  <c r="AV12" i="39"/>
  <c r="AW12" i="39"/>
  <c r="AX12" i="39"/>
  <c r="AY12" i="39"/>
  <c r="AZ12" i="39"/>
  <c r="BA12" i="39"/>
  <c r="AA13" i="39"/>
  <c r="AB13" i="39"/>
  <c r="AC13" i="39"/>
  <c r="AD13" i="39"/>
  <c r="AO13" i="39" s="1"/>
  <c r="AE13" i="39"/>
  <c r="AF13" i="39"/>
  <c r="AG13" i="39"/>
  <c r="AH13" i="39"/>
  <c r="AJ13" i="39"/>
  <c r="AK13" i="39"/>
  <c r="AL13" i="39"/>
  <c r="AM13" i="39"/>
  <c r="AN13" i="39"/>
  <c r="AP13" i="39"/>
  <c r="AQ13" i="39"/>
  <c r="BB13" i="39" s="1"/>
  <c r="AR13" i="39"/>
  <c r="AS13" i="39"/>
  <c r="AT13" i="39"/>
  <c r="AU13" i="39"/>
  <c r="AV13" i="39"/>
  <c r="AW13" i="39"/>
  <c r="AX13" i="39"/>
  <c r="AY13" i="39"/>
  <c r="AZ13" i="39"/>
  <c r="BA13" i="39"/>
  <c r="AA14" i="39"/>
  <c r="AB14" i="39"/>
  <c r="AC14" i="39"/>
  <c r="AD14" i="39"/>
  <c r="AE14" i="39"/>
  <c r="AF14" i="39"/>
  <c r="AG14" i="39"/>
  <c r="AH14" i="39"/>
  <c r="AJ14" i="39"/>
  <c r="AK14" i="39"/>
  <c r="AL14" i="39"/>
  <c r="AM14" i="39"/>
  <c r="AN14" i="39"/>
  <c r="AO14" i="39"/>
  <c r="AP14" i="39"/>
  <c r="AQ14" i="39"/>
  <c r="AR14" i="39"/>
  <c r="BB14" i="39" s="1"/>
  <c r="AS14" i="39"/>
  <c r="AT14" i="39"/>
  <c r="AU14" i="39"/>
  <c r="AV14" i="39"/>
  <c r="AW14" i="39"/>
  <c r="AX14" i="39"/>
  <c r="AY14" i="39"/>
  <c r="AZ14" i="39"/>
  <c r="BA14" i="39"/>
  <c r="C16" i="39"/>
  <c r="E16" i="39"/>
  <c r="E18" i="39" s="1"/>
  <c r="G16" i="39"/>
  <c r="G18" i="39" s="1"/>
  <c r="I16" i="39"/>
  <c r="K16" i="39"/>
  <c r="M16" i="39"/>
  <c r="M18" i="39" s="1"/>
  <c r="O16" i="39"/>
  <c r="Q16" i="39"/>
  <c r="S16" i="39"/>
  <c r="U16" i="39"/>
  <c r="U18" i="39" s="1"/>
  <c r="W16" i="39"/>
  <c r="W18" i="39" s="1"/>
  <c r="Y16" i="39"/>
  <c r="AA16" i="39"/>
  <c r="AB16" i="39"/>
  <c r="AB18" i="39" s="1"/>
  <c r="AC16" i="39"/>
  <c r="AD16" i="39"/>
  <c r="AE16" i="39"/>
  <c r="AF16" i="39"/>
  <c r="AF18" i="39" s="1"/>
  <c r="AG16" i="39"/>
  <c r="AH16" i="39"/>
  <c r="AJ16" i="39"/>
  <c r="AK16" i="39"/>
  <c r="AK18" i="39" s="1"/>
  <c r="AL16" i="39"/>
  <c r="AM16" i="39"/>
  <c r="AN16" i="39"/>
  <c r="AP16" i="39"/>
  <c r="AQ16" i="39"/>
  <c r="AR16" i="39"/>
  <c r="AS16" i="39"/>
  <c r="AS18" i="39" s="1"/>
  <c r="AT16" i="39"/>
  <c r="AU16" i="39"/>
  <c r="AV16" i="39"/>
  <c r="AW16" i="39"/>
  <c r="AW18" i="39" s="1"/>
  <c r="AX16" i="39"/>
  <c r="AX18" i="39" s="1"/>
  <c r="AY16" i="39"/>
  <c r="AZ16" i="39"/>
  <c r="BA16" i="39"/>
  <c r="BA18" i="39" s="1"/>
  <c r="C17" i="39"/>
  <c r="E17" i="39"/>
  <c r="F17" i="39"/>
  <c r="F18" i="39" s="1"/>
  <c r="G17" i="39"/>
  <c r="H17" i="39"/>
  <c r="I17" i="39"/>
  <c r="I18" i="39" s="1"/>
  <c r="J17" i="39"/>
  <c r="K17" i="39"/>
  <c r="L17" i="39"/>
  <c r="M17" i="39"/>
  <c r="O17" i="39"/>
  <c r="P17" i="39"/>
  <c r="Q17" i="39"/>
  <c r="Q18" i="39" s="1"/>
  <c r="R17" i="39"/>
  <c r="S17" i="39"/>
  <c r="T17" i="39"/>
  <c r="U17" i="39"/>
  <c r="V17" i="39"/>
  <c r="V18" i="39" s="1"/>
  <c r="W17" i="39"/>
  <c r="X17" i="39"/>
  <c r="Y17" i="39"/>
  <c r="Y18" i="39" s="1"/>
  <c r="Z17" i="39"/>
  <c r="AA17" i="39"/>
  <c r="AB17" i="39"/>
  <c r="AC17" i="39"/>
  <c r="AO17" i="39" s="1"/>
  <c r="AD17" i="39"/>
  <c r="AD18" i="39" s="1"/>
  <c r="AE17" i="39"/>
  <c r="AF17" i="39"/>
  <c r="AG17" i="39"/>
  <c r="AH17" i="39"/>
  <c r="AJ17" i="39"/>
  <c r="AK17" i="39"/>
  <c r="AL17" i="39"/>
  <c r="AL18" i="39" s="1"/>
  <c r="AM17" i="39"/>
  <c r="AM18" i="39" s="1"/>
  <c r="AN17" i="39"/>
  <c r="AP17" i="39"/>
  <c r="AQ17" i="39"/>
  <c r="AR17" i="39"/>
  <c r="AS17" i="39"/>
  <c r="AT17" i="39"/>
  <c r="AT18" i="39" s="1"/>
  <c r="AU17" i="39"/>
  <c r="AV17" i="39"/>
  <c r="AW17" i="39"/>
  <c r="AX17" i="39"/>
  <c r="AY17" i="39"/>
  <c r="AZ17" i="39"/>
  <c r="BA17" i="39"/>
  <c r="C18" i="39"/>
  <c r="H18" i="39"/>
  <c r="J18" i="39"/>
  <c r="K18" i="39"/>
  <c r="L18" i="39"/>
  <c r="O18" i="39"/>
  <c r="P18" i="39"/>
  <c r="R18" i="39"/>
  <c r="S18" i="39"/>
  <c r="T18" i="39"/>
  <c r="X18" i="39"/>
  <c r="Z18" i="39"/>
  <c r="AA18" i="39"/>
  <c r="AE18" i="39"/>
  <c r="AH18" i="39"/>
  <c r="AJ18" i="39"/>
  <c r="AN18" i="39"/>
  <c r="AQ18" i="39"/>
  <c r="AR18" i="39"/>
  <c r="AV18" i="39"/>
  <c r="AY18" i="39"/>
  <c r="AZ18" i="39"/>
  <c r="D21" i="39"/>
  <c r="F21" i="39"/>
  <c r="H21" i="39"/>
  <c r="J21" i="39"/>
  <c r="L21" i="39"/>
  <c r="N21" i="39"/>
  <c r="N32" i="39" s="1"/>
  <c r="N33" i="39" s="1"/>
  <c r="P21" i="39"/>
  <c r="R21" i="39"/>
  <c r="T21" i="39"/>
  <c r="V21" i="39"/>
  <c r="X21" i="39"/>
  <c r="Z21" i="39"/>
  <c r="AH23" i="39"/>
  <c r="AO23" i="39" s="1"/>
  <c r="AJ23" i="39"/>
  <c r="AK23" i="39"/>
  <c r="AL23" i="39"/>
  <c r="AM23" i="39"/>
  <c r="AN23" i="39"/>
  <c r="AP23" i="39"/>
  <c r="BB23" i="39" s="1"/>
  <c r="AQ23" i="39"/>
  <c r="AR23" i="39"/>
  <c r="AS23" i="39"/>
  <c r="AT23" i="39"/>
  <c r="AU23" i="39"/>
  <c r="AV23" i="39"/>
  <c r="AW23" i="39"/>
  <c r="AX23" i="39"/>
  <c r="AY23" i="39"/>
  <c r="AZ23" i="39"/>
  <c r="BA23" i="39"/>
  <c r="AH24" i="39"/>
  <c r="AO24" i="39" s="1"/>
  <c r="AJ24" i="39"/>
  <c r="AK24" i="39"/>
  <c r="AL24" i="39"/>
  <c r="AM24" i="39"/>
  <c r="AN24" i="39"/>
  <c r="AP24" i="39"/>
  <c r="AQ24" i="39"/>
  <c r="AR24" i="39"/>
  <c r="AS24" i="39"/>
  <c r="AT24" i="39"/>
  <c r="AU24" i="39"/>
  <c r="AV24" i="39"/>
  <c r="AW24" i="39"/>
  <c r="AX24" i="39"/>
  <c r="AY24" i="39"/>
  <c r="AZ24" i="39"/>
  <c r="BA24" i="39"/>
  <c r="BB24" i="39"/>
  <c r="A25" i="39"/>
  <c r="AL25" i="39" s="1"/>
  <c r="AH25" i="39"/>
  <c r="AP25" i="39"/>
  <c r="BB25" i="39" s="1"/>
  <c r="AQ25" i="39"/>
  <c r="AX25" i="39"/>
  <c r="AY25" i="39"/>
  <c r="AH26" i="39"/>
  <c r="AJ26" i="39"/>
  <c r="AO26" i="39" s="1"/>
  <c r="AK26" i="39"/>
  <c r="AL26" i="39"/>
  <c r="AM26" i="39"/>
  <c r="AN26" i="39"/>
  <c r="AP26" i="39"/>
  <c r="AQ26" i="39"/>
  <c r="AR26" i="39"/>
  <c r="AS26" i="39"/>
  <c r="AT26" i="39"/>
  <c r="AU26" i="39"/>
  <c r="AV26" i="39"/>
  <c r="AW26" i="39"/>
  <c r="AX26" i="39"/>
  <c r="AY26" i="39"/>
  <c r="AZ26" i="39"/>
  <c r="BA26" i="39"/>
  <c r="BB26" i="39"/>
  <c r="AH27" i="39"/>
  <c r="AO27" i="39" s="1"/>
  <c r="AJ27" i="39"/>
  <c r="AK27" i="39"/>
  <c r="AL27" i="39"/>
  <c r="AM27" i="39"/>
  <c r="AN27" i="39"/>
  <c r="AP27" i="39"/>
  <c r="BB27" i="39" s="1"/>
  <c r="AQ27" i="39"/>
  <c r="AR27" i="39"/>
  <c r="AS27" i="39"/>
  <c r="AT27" i="39"/>
  <c r="AU27" i="39"/>
  <c r="AV27" i="39"/>
  <c r="AW27" i="39"/>
  <c r="AX27" i="39"/>
  <c r="AY27" i="39"/>
  <c r="AZ27" i="39"/>
  <c r="BA27" i="39"/>
  <c r="AH28" i="39"/>
  <c r="AJ28" i="39"/>
  <c r="AO28" i="39" s="1"/>
  <c r="AK28" i="39"/>
  <c r="AL28" i="39"/>
  <c r="AM28" i="39"/>
  <c r="AN28" i="39"/>
  <c r="AP28" i="39"/>
  <c r="AQ28" i="39"/>
  <c r="AR28" i="39"/>
  <c r="AS28" i="39"/>
  <c r="AT28" i="39"/>
  <c r="AU28" i="39"/>
  <c r="AV28" i="39"/>
  <c r="AW28" i="39"/>
  <c r="AX28" i="39"/>
  <c r="AY28" i="39"/>
  <c r="AZ28" i="39"/>
  <c r="BA28" i="39"/>
  <c r="BB28" i="39"/>
  <c r="AH29" i="39"/>
  <c r="AO29" i="39" s="1"/>
  <c r="AJ29" i="39"/>
  <c r="AK29" i="39"/>
  <c r="AL29" i="39"/>
  <c r="AM29" i="39"/>
  <c r="AN29" i="39"/>
  <c r="AP29" i="39"/>
  <c r="BB29" i="39" s="1"/>
  <c r="AQ29" i="39"/>
  <c r="AR29" i="39"/>
  <c r="AS29" i="39"/>
  <c r="AT29" i="39"/>
  <c r="AU29" i="39"/>
  <c r="AV29" i="39"/>
  <c r="AW29" i="39"/>
  <c r="AX29" i="39"/>
  <c r="AY29" i="39"/>
  <c r="AZ29" i="39"/>
  <c r="BA29" i="39"/>
  <c r="C31" i="39"/>
  <c r="E31" i="39"/>
  <c r="G31" i="39"/>
  <c r="I31" i="39"/>
  <c r="I33" i="39" s="1"/>
  <c r="K31" i="39"/>
  <c r="K33" i="39" s="1"/>
  <c r="M31" i="39"/>
  <c r="O31" i="39"/>
  <c r="Q31" i="39"/>
  <c r="Q33" i="39" s="1"/>
  <c r="S31" i="39"/>
  <c r="U31" i="39"/>
  <c r="W31" i="39"/>
  <c r="Y31" i="39"/>
  <c r="Y33" i="39" s="1"/>
  <c r="AA31" i="39"/>
  <c r="AA33" i="39" s="1"/>
  <c r="AB31" i="39"/>
  <c r="AC31" i="39"/>
  <c r="AD31" i="39"/>
  <c r="AE31" i="39"/>
  <c r="AF31" i="39"/>
  <c r="AG31" i="39"/>
  <c r="AH31" i="39"/>
  <c r="AH33" i="39" s="1"/>
  <c r="AJ31" i="39"/>
  <c r="AJ33" i="39" s="1"/>
  <c r="AK31" i="39"/>
  <c r="AL31" i="39"/>
  <c r="AM31" i="39"/>
  <c r="AM33" i="39" s="1"/>
  <c r="AN31" i="39"/>
  <c r="AP31" i="39"/>
  <c r="BB31" i="39" s="1"/>
  <c r="AQ31" i="39"/>
  <c r="AQ33" i="39" s="1"/>
  <c r="AR31" i="39"/>
  <c r="AR33" i="39" s="1"/>
  <c r="AS31" i="39"/>
  <c r="AT31" i="39"/>
  <c r="AU31" i="39"/>
  <c r="AU33" i="39" s="1"/>
  <c r="AV31" i="39"/>
  <c r="AW31" i="39"/>
  <c r="AX31" i="39"/>
  <c r="AY31" i="39"/>
  <c r="AY33" i="39" s="1"/>
  <c r="AZ31" i="39"/>
  <c r="AZ33" i="39" s="1"/>
  <c r="BA31" i="39"/>
  <c r="C32" i="39"/>
  <c r="C33" i="39" s="1"/>
  <c r="E32" i="39"/>
  <c r="F32" i="39"/>
  <c r="G32" i="39"/>
  <c r="G33" i="39" s="1"/>
  <c r="H32" i="39"/>
  <c r="H33" i="39" s="1"/>
  <c r="I32" i="39"/>
  <c r="J32" i="39"/>
  <c r="K32" i="39"/>
  <c r="L32" i="39"/>
  <c r="M32" i="39"/>
  <c r="O32" i="39"/>
  <c r="O33" i="39" s="1"/>
  <c r="P32" i="39"/>
  <c r="P33" i="39" s="1"/>
  <c r="Q32" i="39"/>
  <c r="R32" i="39"/>
  <c r="S32" i="39"/>
  <c r="S33" i="39" s="1"/>
  <c r="T32" i="39"/>
  <c r="U32" i="39"/>
  <c r="V32" i="39"/>
  <c r="W32" i="39"/>
  <c r="W33" i="39" s="1"/>
  <c r="X32" i="39"/>
  <c r="X33" i="39" s="1"/>
  <c r="Y32" i="39"/>
  <c r="Z32" i="39"/>
  <c r="AA32" i="39"/>
  <c r="AB32" i="39"/>
  <c r="AC32" i="39"/>
  <c r="AD32" i="39"/>
  <c r="AE32" i="39"/>
  <c r="AE33" i="39" s="1"/>
  <c r="AF32" i="39"/>
  <c r="AF33" i="39" s="1"/>
  <c r="AG32" i="39"/>
  <c r="AH32" i="39"/>
  <c r="AJ32" i="39"/>
  <c r="AK32" i="39"/>
  <c r="AL32" i="39"/>
  <c r="AM32" i="39"/>
  <c r="AN32" i="39"/>
  <c r="AO32" i="39"/>
  <c r="AP32" i="39"/>
  <c r="AQ32" i="39"/>
  <c r="AR32" i="39"/>
  <c r="AS32" i="39"/>
  <c r="AT32" i="39"/>
  <c r="AU32" i="39"/>
  <c r="AV32" i="39"/>
  <c r="AW32" i="39"/>
  <c r="AX32" i="39"/>
  <c r="AY32" i="39"/>
  <c r="AZ32" i="39"/>
  <c r="BA32" i="39"/>
  <c r="BB32" i="39"/>
  <c r="E33" i="39"/>
  <c r="F33" i="39"/>
  <c r="J33" i="39"/>
  <c r="L33" i="39"/>
  <c r="M33" i="39"/>
  <c r="R33" i="39"/>
  <c r="T33" i="39"/>
  <c r="U33" i="39"/>
  <c r="V33" i="39"/>
  <c r="Z33" i="39"/>
  <c r="AB33" i="39"/>
  <c r="AC33" i="39"/>
  <c r="AD33" i="39"/>
  <c r="AG33" i="39"/>
  <c r="AK33" i="39"/>
  <c r="AL33" i="39"/>
  <c r="AN33" i="39"/>
  <c r="AP33" i="39"/>
  <c r="AS33" i="39"/>
  <c r="AT33" i="39"/>
  <c r="AV33" i="39"/>
  <c r="AW33" i="39"/>
  <c r="AX33" i="39"/>
  <c r="BA33" i="39"/>
  <c r="BB33" i="39"/>
  <c r="D36" i="39"/>
  <c r="D47" i="39" s="1"/>
  <c r="D48" i="39" s="1"/>
  <c r="F36" i="39"/>
  <c r="H36" i="39"/>
  <c r="J36" i="39"/>
  <c r="L36" i="39"/>
  <c r="N36" i="39"/>
  <c r="P36" i="39"/>
  <c r="R36" i="39"/>
  <c r="R47" i="39" s="1"/>
  <c r="R48" i="39" s="1"/>
  <c r="T36" i="39"/>
  <c r="V36" i="39"/>
  <c r="X36" i="39"/>
  <c r="Z36" i="39"/>
  <c r="AA38" i="39"/>
  <c r="AB38" i="39"/>
  <c r="AC38" i="39"/>
  <c r="AD38" i="39"/>
  <c r="AE38" i="39"/>
  <c r="AF38" i="39"/>
  <c r="AG38" i="39"/>
  <c r="AH38" i="39"/>
  <c r="AJ38" i="39"/>
  <c r="AK38" i="39"/>
  <c r="AL38" i="39"/>
  <c r="AM38" i="39"/>
  <c r="AN38" i="39"/>
  <c r="AP38" i="39"/>
  <c r="AQ38" i="39"/>
  <c r="AR38" i="39"/>
  <c r="AS38" i="39"/>
  <c r="AT38" i="39"/>
  <c r="AU38" i="39"/>
  <c r="BB38" i="39" s="1"/>
  <c r="AV38" i="39"/>
  <c r="AW38" i="39"/>
  <c r="AX38" i="39"/>
  <c r="AY38" i="39"/>
  <c r="AZ38" i="39"/>
  <c r="BA38" i="39"/>
  <c r="AA39" i="39"/>
  <c r="AB39" i="39"/>
  <c r="AC39" i="39"/>
  <c r="AD39" i="39"/>
  <c r="AO39" i="39" s="1"/>
  <c r="AE39" i="39"/>
  <c r="AF39" i="39"/>
  <c r="AG39" i="39"/>
  <c r="AH39" i="39"/>
  <c r="AJ39" i="39"/>
  <c r="AK39" i="39"/>
  <c r="AL39" i="39"/>
  <c r="AM39" i="39"/>
  <c r="AN39" i="39"/>
  <c r="AP39" i="39"/>
  <c r="AQ39" i="39"/>
  <c r="AR39" i="39"/>
  <c r="AS39" i="39"/>
  <c r="AT39" i="39"/>
  <c r="AU39" i="39"/>
  <c r="AV39" i="39"/>
  <c r="AW39" i="39"/>
  <c r="AX39" i="39"/>
  <c r="AY39" i="39"/>
  <c r="AZ39" i="39"/>
  <c r="BA39" i="39"/>
  <c r="A40" i="39"/>
  <c r="AA40" i="39" s="1"/>
  <c r="AD40" i="39"/>
  <c r="AE40" i="39"/>
  <c r="AH40" i="39"/>
  <c r="AM40" i="39"/>
  <c r="AN40" i="39"/>
  <c r="AQ40" i="39"/>
  <c r="AU40" i="39"/>
  <c r="AV40" i="39"/>
  <c r="AY40" i="39"/>
  <c r="AA41" i="39"/>
  <c r="AB41" i="39"/>
  <c r="AC41" i="39"/>
  <c r="AD41" i="39"/>
  <c r="AE41" i="39"/>
  <c r="AF41" i="39"/>
  <c r="AG41" i="39"/>
  <c r="AH41" i="39"/>
  <c r="AJ41" i="39"/>
  <c r="AK41" i="39"/>
  <c r="AL41" i="39"/>
  <c r="AM41" i="39"/>
  <c r="AN41" i="39"/>
  <c r="AP41" i="39"/>
  <c r="AQ41" i="39"/>
  <c r="AR41" i="39"/>
  <c r="AS41" i="39"/>
  <c r="AT41" i="39"/>
  <c r="AU41" i="39"/>
  <c r="AV41" i="39"/>
  <c r="AW41" i="39"/>
  <c r="AX41" i="39"/>
  <c r="AY41" i="39"/>
  <c r="AZ41" i="39"/>
  <c r="BA41" i="39"/>
  <c r="AA42" i="39"/>
  <c r="AB42" i="39"/>
  <c r="AC42" i="39"/>
  <c r="AD42" i="39"/>
  <c r="AE42" i="39"/>
  <c r="AF42" i="39"/>
  <c r="AG42" i="39"/>
  <c r="AO42" i="39" s="1"/>
  <c r="AH42" i="39"/>
  <c r="AJ42" i="39"/>
  <c r="AK42" i="39"/>
  <c r="AL42" i="39"/>
  <c r="AM42" i="39"/>
  <c r="AN42" i="39"/>
  <c r="AP42" i="39"/>
  <c r="AQ42" i="39"/>
  <c r="AR42" i="39"/>
  <c r="AS42" i="39"/>
  <c r="AT42" i="39"/>
  <c r="AU42" i="39"/>
  <c r="AV42" i="39"/>
  <c r="AW42" i="39"/>
  <c r="AX42" i="39"/>
  <c r="AY42" i="39"/>
  <c r="AZ42" i="39"/>
  <c r="BA42" i="39"/>
  <c r="AA43" i="39"/>
  <c r="AB43" i="39"/>
  <c r="AO43" i="39" s="1"/>
  <c r="AC43" i="39"/>
  <c r="AD43" i="39"/>
  <c r="AE43" i="39"/>
  <c r="AF43" i="39"/>
  <c r="AG43" i="39"/>
  <c r="AH43" i="39"/>
  <c r="AJ43" i="39"/>
  <c r="AK43" i="39"/>
  <c r="AL43" i="39"/>
  <c r="AM43" i="39"/>
  <c r="AN43" i="39"/>
  <c r="AP43" i="39"/>
  <c r="AQ43" i="39"/>
  <c r="AR43" i="39"/>
  <c r="AS43" i="39"/>
  <c r="AT43" i="39"/>
  <c r="AU43" i="39"/>
  <c r="BB43" i="39" s="1"/>
  <c r="AV43" i="39"/>
  <c r="AW43" i="39"/>
  <c r="AX43" i="39"/>
  <c r="AY43" i="39"/>
  <c r="AZ43" i="39"/>
  <c r="BA43" i="39"/>
  <c r="AA44" i="39"/>
  <c r="AB44" i="39"/>
  <c r="AC44" i="39"/>
  <c r="AD44" i="39"/>
  <c r="AO44" i="39" s="1"/>
  <c r="AE44" i="39"/>
  <c r="AF44" i="39"/>
  <c r="AG44" i="39"/>
  <c r="AH44" i="39"/>
  <c r="AJ44" i="39"/>
  <c r="AK44" i="39"/>
  <c r="AL44" i="39"/>
  <c r="AM44" i="39"/>
  <c r="AN44" i="39"/>
  <c r="AP44" i="39"/>
  <c r="BB44" i="39" s="1"/>
  <c r="AQ44" i="39"/>
  <c r="AR44" i="39"/>
  <c r="AS44" i="39"/>
  <c r="AT44" i="39"/>
  <c r="AU44" i="39"/>
  <c r="AV44" i="39"/>
  <c r="AW44" i="39"/>
  <c r="AX44" i="39"/>
  <c r="AY44" i="39"/>
  <c r="AZ44" i="39"/>
  <c r="BA44" i="39"/>
  <c r="C46" i="39"/>
  <c r="E46" i="39"/>
  <c r="G46" i="39"/>
  <c r="I46" i="39"/>
  <c r="K46" i="39"/>
  <c r="M46" i="39"/>
  <c r="M48" i="39" s="1"/>
  <c r="O46" i="39"/>
  <c r="Q46" i="39"/>
  <c r="S46" i="39"/>
  <c r="U46" i="39"/>
  <c r="W46" i="39"/>
  <c r="Y46" i="39"/>
  <c r="AA46" i="39"/>
  <c r="AB46" i="39"/>
  <c r="AC46" i="39"/>
  <c r="AD46" i="39"/>
  <c r="AE46" i="39"/>
  <c r="AF46" i="39"/>
  <c r="AG46" i="39"/>
  <c r="AH46" i="39"/>
  <c r="AJ46" i="39"/>
  <c r="AK46" i="39"/>
  <c r="AK48" i="39" s="1"/>
  <c r="AL46" i="39"/>
  <c r="AM46" i="39"/>
  <c r="AN46" i="39"/>
  <c r="AP46" i="39"/>
  <c r="AQ46" i="39"/>
  <c r="AR46" i="39"/>
  <c r="BB46" i="39" s="1"/>
  <c r="AS46" i="39"/>
  <c r="AS48" i="39" s="1"/>
  <c r="AT46" i="39"/>
  <c r="AU46" i="39"/>
  <c r="AV46" i="39"/>
  <c r="AW46" i="39"/>
  <c r="AX46" i="39"/>
  <c r="AY46" i="39"/>
  <c r="AZ46" i="39"/>
  <c r="BA46" i="39"/>
  <c r="BA48" i="39" s="1"/>
  <c r="C47" i="39"/>
  <c r="E47" i="39"/>
  <c r="F47" i="39"/>
  <c r="G47" i="39"/>
  <c r="H47" i="39"/>
  <c r="H48" i="39" s="1"/>
  <c r="I47" i="39"/>
  <c r="I48" i="39" s="1"/>
  <c r="J47" i="39"/>
  <c r="J48" i="39" s="1"/>
  <c r="K47" i="39"/>
  <c r="L47" i="39"/>
  <c r="M47" i="39"/>
  <c r="N47" i="39"/>
  <c r="O47" i="39"/>
  <c r="P47" i="39"/>
  <c r="P48" i="39" s="1"/>
  <c r="Q47" i="39"/>
  <c r="Q48" i="39" s="1"/>
  <c r="S47" i="39"/>
  <c r="T47" i="39"/>
  <c r="U47" i="39"/>
  <c r="V47" i="39"/>
  <c r="W47" i="39"/>
  <c r="X47" i="39"/>
  <c r="X48" i="39" s="1"/>
  <c r="Y47" i="39"/>
  <c r="Y48" i="39" s="1"/>
  <c r="Z47" i="39"/>
  <c r="Z48" i="39" s="1"/>
  <c r="AA47" i="39"/>
  <c r="AB47" i="39"/>
  <c r="AC47" i="39"/>
  <c r="AD47" i="39"/>
  <c r="AE47" i="39"/>
  <c r="AF47" i="39"/>
  <c r="AF48" i="39" s="1"/>
  <c r="AG47" i="39"/>
  <c r="AH47" i="39"/>
  <c r="AH48" i="39" s="1"/>
  <c r="AJ47" i="39"/>
  <c r="AK47" i="39"/>
  <c r="AL47" i="39"/>
  <c r="AM47" i="39"/>
  <c r="AN47" i="39"/>
  <c r="AP47" i="39"/>
  <c r="AQ47" i="39"/>
  <c r="AQ48" i="39" s="1"/>
  <c r="AR47" i="39"/>
  <c r="AS47" i="39"/>
  <c r="AT47" i="39"/>
  <c r="AU47" i="39"/>
  <c r="AV47" i="39"/>
  <c r="AW47" i="39"/>
  <c r="AW48" i="39" s="1"/>
  <c r="AX47" i="39"/>
  <c r="AX48" i="39" s="1"/>
  <c r="AY47" i="39"/>
  <c r="AY48" i="39" s="1"/>
  <c r="AZ47" i="39"/>
  <c r="BA47" i="39"/>
  <c r="C48" i="39"/>
  <c r="E48" i="39"/>
  <c r="F48" i="39"/>
  <c r="G48" i="39"/>
  <c r="K48" i="39"/>
  <c r="L48" i="39"/>
  <c r="N48" i="39"/>
  <c r="O48" i="39"/>
  <c r="S48" i="39"/>
  <c r="T48" i="39"/>
  <c r="U48" i="39"/>
  <c r="V48" i="39"/>
  <c r="W48" i="39"/>
  <c r="AA48" i="39"/>
  <c r="AC48" i="39"/>
  <c r="AD48" i="39"/>
  <c r="AE48" i="39"/>
  <c r="AJ48" i="39"/>
  <c r="AL48" i="39"/>
  <c r="AM48" i="39"/>
  <c r="AN48" i="39"/>
  <c r="AR48" i="39"/>
  <c r="AT48" i="39"/>
  <c r="AU48" i="39"/>
  <c r="AV48" i="39"/>
  <c r="AZ48" i="39"/>
  <c r="D51" i="39"/>
  <c r="D62" i="39" s="1"/>
  <c r="D63" i="39" s="1"/>
  <c r="F51" i="39"/>
  <c r="H51" i="39"/>
  <c r="J51" i="39"/>
  <c r="L51" i="39"/>
  <c r="N51" i="39"/>
  <c r="P51" i="39"/>
  <c r="R51" i="39"/>
  <c r="T51" i="39"/>
  <c r="V51" i="39"/>
  <c r="X51" i="39"/>
  <c r="Z51" i="39"/>
  <c r="AA53" i="39"/>
  <c r="AB53" i="39"/>
  <c r="AC53" i="39"/>
  <c r="AD53" i="39"/>
  <c r="AE53" i="39"/>
  <c r="AF53" i="39"/>
  <c r="AG53" i="39"/>
  <c r="AH53" i="39"/>
  <c r="AJ53" i="39"/>
  <c r="AK53" i="39"/>
  <c r="AL53" i="39"/>
  <c r="AM53" i="39"/>
  <c r="AN53" i="39"/>
  <c r="AN61" i="39" s="1"/>
  <c r="AN63" i="39" s="1"/>
  <c r="AP53" i="39"/>
  <c r="AQ53" i="39"/>
  <c r="AR53" i="39"/>
  <c r="AS53" i="39"/>
  <c r="BB53" i="39" s="1"/>
  <c r="AT53" i="39"/>
  <c r="AU53" i="39"/>
  <c r="AV53" i="39"/>
  <c r="AW53" i="39"/>
  <c r="AX53" i="39"/>
  <c r="AY53" i="39"/>
  <c r="AZ53" i="39"/>
  <c r="BA53" i="39"/>
  <c r="AA54" i="39"/>
  <c r="AB54" i="39"/>
  <c r="AC54" i="39"/>
  <c r="AD54" i="39"/>
  <c r="AE54" i="39"/>
  <c r="AF54" i="39"/>
  <c r="AG54" i="39"/>
  <c r="AH54" i="39"/>
  <c r="AJ54" i="39"/>
  <c r="AK54" i="39"/>
  <c r="AL54" i="39"/>
  <c r="AM54" i="39"/>
  <c r="AN54" i="39"/>
  <c r="AP54" i="39"/>
  <c r="AQ54" i="39"/>
  <c r="AR54" i="39"/>
  <c r="AS54" i="39"/>
  <c r="AT54" i="39"/>
  <c r="AU54" i="39"/>
  <c r="AV54" i="39"/>
  <c r="AW54" i="39"/>
  <c r="AX54" i="39"/>
  <c r="AY54" i="39"/>
  <c r="AZ54" i="39"/>
  <c r="BA54" i="39"/>
  <c r="A55" i="39"/>
  <c r="AB55" i="39" s="1"/>
  <c r="AA55" i="39"/>
  <c r="AC55" i="39"/>
  <c r="AD55" i="39"/>
  <c r="AE55" i="39"/>
  <c r="AF55" i="39"/>
  <c r="AF61" i="39" s="1"/>
  <c r="AF63" i="39" s="1"/>
  <c r="AG55" i="39"/>
  <c r="AH55" i="39"/>
  <c r="AJ55" i="39"/>
  <c r="AK55" i="39"/>
  <c r="AL55" i="39"/>
  <c r="AM55" i="39"/>
  <c r="AN55" i="39"/>
  <c r="AO55" i="39"/>
  <c r="AP55" i="39"/>
  <c r="AQ55" i="39"/>
  <c r="AR55" i="39"/>
  <c r="AS55" i="39"/>
  <c r="AT55" i="39"/>
  <c r="AU55" i="39"/>
  <c r="AV55" i="39"/>
  <c r="AW55" i="39"/>
  <c r="AW61" i="39" s="1"/>
  <c r="AW63" i="39" s="1"/>
  <c r="AX55" i="39"/>
  <c r="AY55" i="39"/>
  <c r="AZ55" i="39"/>
  <c r="BA55" i="39"/>
  <c r="AA56" i="39"/>
  <c r="AA61" i="39" s="1"/>
  <c r="AA63" i="39" s="1"/>
  <c r="AB56" i="39"/>
  <c r="AC56" i="39"/>
  <c r="AD56" i="39"/>
  <c r="AE56" i="39"/>
  <c r="AF56" i="39"/>
  <c r="AG56" i="39"/>
  <c r="AH56" i="39"/>
  <c r="AJ56" i="39"/>
  <c r="AJ61" i="39" s="1"/>
  <c r="AJ63" i="39" s="1"/>
  <c r="AK56" i="39"/>
  <c r="AL56" i="39"/>
  <c r="AM56" i="39"/>
  <c r="AN56" i="39"/>
  <c r="AP56" i="39"/>
  <c r="AQ56" i="39"/>
  <c r="AR56" i="39"/>
  <c r="AR61" i="39" s="1"/>
  <c r="AR63" i="39" s="1"/>
  <c r="AS56" i="39"/>
  <c r="AT56" i="39"/>
  <c r="AU56" i="39"/>
  <c r="AV56" i="39"/>
  <c r="AW56" i="39"/>
  <c r="AX56" i="39"/>
  <c r="AY56" i="39"/>
  <c r="AZ56" i="39"/>
  <c r="AZ61" i="39" s="1"/>
  <c r="AZ63" i="39" s="1"/>
  <c r="BA56" i="39"/>
  <c r="BB56" i="39"/>
  <c r="AA57" i="39"/>
  <c r="AB57" i="39"/>
  <c r="AC57" i="39"/>
  <c r="AD57" i="39"/>
  <c r="AE57" i="39"/>
  <c r="AF57" i="39"/>
  <c r="AG57" i="39"/>
  <c r="AH57" i="39"/>
  <c r="AO57" i="39" s="1"/>
  <c r="AJ57" i="39"/>
  <c r="AK57" i="39"/>
  <c r="AL57" i="39"/>
  <c r="AM57" i="39"/>
  <c r="AN57" i="39"/>
  <c r="AP57" i="39"/>
  <c r="AQ57" i="39"/>
  <c r="AR57" i="39"/>
  <c r="AS57" i="39"/>
  <c r="AT57" i="39"/>
  <c r="AU57" i="39"/>
  <c r="AV57" i="39"/>
  <c r="AW57" i="39"/>
  <c r="AX57" i="39"/>
  <c r="AY57" i="39"/>
  <c r="AZ57" i="39"/>
  <c r="BA57" i="39"/>
  <c r="AA58" i="39"/>
  <c r="AB58" i="39"/>
  <c r="AC58" i="39"/>
  <c r="AD58" i="39"/>
  <c r="AE58" i="39"/>
  <c r="AF58" i="39"/>
  <c r="AG58" i="39"/>
  <c r="AH58" i="39"/>
  <c r="AJ58" i="39"/>
  <c r="AK58" i="39"/>
  <c r="AL58" i="39"/>
  <c r="AM58" i="39"/>
  <c r="AN58" i="39"/>
  <c r="AP58" i="39"/>
  <c r="AQ58" i="39"/>
  <c r="AR58" i="39"/>
  <c r="AS58" i="39"/>
  <c r="AT58" i="39"/>
  <c r="AU58" i="39"/>
  <c r="AV58" i="39"/>
  <c r="BB58" i="39" s="1"/>
  <c r="AW58" i="39"/>
  <c r="AX58" i="39"/>
  <c r="AY58" i="39"/>
  <c r="AZ58" i="39"/>
  <c r="BA58" i="39"/>
  <c r="AA59" i="39"/>
  <c r="AB59" i="39"/>
  <c r="AC59" i="39"/>
  <c r="AC61" i="39" s="1"/>
  <c r="AD59" i="39"/>
  <c r="AE59" i="39"/>
  <c r="AF59" i="39"/>
  <c r="AG59" i="39"/>
  <c r="AH59" i="39"/>
  <c r="AH61" i="39" s="1"/>
  <c r="AH63" i="39" s="1"/>
  <c r="AJ59" i="39"/>
  <c r="AK59" i="39"/>
  <c r="AK61" i="39" s="1"/>
  <c r="AK63" i="39" s="1"/>
  <c r="AL59" i="39"/>
  <c r="AL61" i="39" s="1"/>
  <c r="AM59" i="39"/>
  <c r="AN59" i="39"/>
  <c r="AP59" i="39"/>
  <c r="AQ59" i="39"/>
  <c r="AR59" i="39"/>
  <c r="AS59" i="39"/>
  <c r="AT59" i="39"/>
  <c r="AT61" i="39" s="1"/>
  <c r="AU59" i="39"/>
  <c r="AV59" i="39"/>
  <c r="AW59" i="39"/>
  <c r="AX59" i="39"/>
  <c r="AY59" i="39"/>
  <c r="AZ59" i="39"/>
  <c r="BA59" i="39"/>
  <c r="BA61" i="39" s="1"/>
  <c r="BA63" i="39" s="1"/>
  <c r="C61" i="39"/>
  <c r="AD61" i="39"/>
  <c r="AG61" i="39"/>
  <c r="AG63" i="39" s="1"/>
  <c r="AM61" i="39"/>
  <c r="AP61" i="39"/>
  <c r="AP63" i="39" s="1"/>
  <c r="AU61" i="39"/>
  <c r="AX61" i="39"/>
  <c r="AX63" i="39" s="1"/>
  <c r="C62" i="39"/>
  <c r="E62" i="39"/>
  <c r="E63" i="39" s="1"/>
  <c r="G62" i="39"/>
  <c r="G63" i="39" s="1"/>
  <c r="I62" i="39"/>
  <c r="K62" i="39"/>
  <c r="M62" i="39"/>
  <c r="O62" i="39"/>
  <c r="O63" i="39" s="1"/>
  <c r="Q62" i="39"/>
  <c r="Q63" i="39" s="1"/>
  <c r="S62" i="39"/>
  <c r="U62" i="39"/>
  <c r="W62" i="39"/>
  <c r="W63" i="39" s="1"/>
  <c r="Y62" i="39"/>
  <c r="AA62" i="39"/>
  <c r="AB62" i="39"/>
  <c r="AC62" i="39"/>
  <c r="AD62" i="39"/>
  <c r="AE62" i="39"/>
  <c r="AF62" i="39"/>
  <c r="AG62" i="39"/>
  <c r="AH62" i="39"/>
  <c r="AJ62" i="39"/>
  <c r="AK62" i="39"/>
  <c r="AL62" i="39"/>
  <c r="AM62" i="39"/>
  <c r="AN62" i="39"/>
  <c r="AO62" i="39"/>
  <c r="AP62" i="39"/>
  <c r="AQ62" i="39"/>
  <c r="AR62" i="39"/>
  <c r="AS62" i="39"/>
  <c r="AT62" i="39"/>
  <c r="AU62" i="39"/>
  <c r="AV62" i="39"/>
  <c r="AW62" i="39"/>
  <c r="AX62" i="39"/>
  <c r="AY62" i="39"/>
  <c r="AZ62" i="39"/>
  <c r="BA62" i="39"/>
  <c r="C63" i="39"/>
  <c r="F63" i="39"/>
  <c r="H63" i="39"/>
  <c r="I63" i="39"/>
  <c r="J63" i="39"/>
  <c r="K63" i="39"/>
  <c r="L63" i="39"/>
  <c r="M63" i="39"/>
  <c r="N63" i="39"/>
  <c r="P63" i="39"/>
  <c r="R63" i="39"/>
  <c r="S63" i="39"/>
  <c r="T63" i="39"/>
  <c r="U63" i="39"/>
  <c r="V63" i="39"/>
  <c r="X63" i="39"/>
  <c r="Y63" i="39"/>
  <c r="Z63" i="39"/>
  <c r="AC63" i="39"/>
  <c r="AD63" i="39"/>
  <c r="AL63" i="39"/>
  <c r="AM63" i="39"/>
  <c r="AT63" i="39"/>
  <c r="AU63" i="39"/>
  <c r="D66" i="39"/>
  <c r="D77" i="39" s="1"/>
  <c r="D78" i="39" s="1"/>
  <c r="F66" i="39"/>
  <c r="H66" i="39"/>
  <c r="J66" i="39"/>
  <c r="L66" i="39"/>
  <c r="N66" i="39"/>
  <c r="P66" i="39"/>
  <c r="R66" i="39"/>
  <c r="R77" i="39" s="1"/>
  <c r="R78" i="39" s="1"/>
  <c r="T66" i="39"/>
  <c r="V66" i="39"/>
  <c r="X66" i="39"/>
  <c r="Z66" i="39"/>
  <c r="AA68" i="39"/>
  <c r="AB68" i="39"/>
  <c r="AO68" i="39" s="1"/>
  <c r="AC68" i="39"/>
  <c r="AD68" i="39"/>
  <c r="AE68" i="39"/>
  <c r="AF68" i="39"/>
  <c r="AG68" i="39"/>
  <c r="AH68" i="39"/>
  <c r="AJ68" i="39"/>
  <c r="AK68" i="39"/>
  <c r="AL68" i="39"/>
  <c r="AM68" i="39"/>
  <c r="AN68" i="39"/>
  <c r="AP68" i="39"/>
  <c r="AQ68" i="39"/>
  <c r="AR68" i="39"/>
  <c r="AS68" i="39"/>
  <c r="AT68" i="39"/>
  <c r="AU68" i="39"/>
  <c r="AV68" i="39"/>
  <c r="AW68" i="39"/>
  <c r="AX68" i="39"/>
  <c r="AY68" i="39"/>
  <c r="AZ68" i="39"/>
  <c r="BA68" i="39"/>
  <c r="AA69" i="39"/>
  <c r="AB69" i="39"/>
  <c r="AC69" i="39"/>
  <c r="AD69" i="39"/>
  <c r="AE69" i="39"/>
  <c r="AF69" i="39"/>
  <c r="AG69" i="39"/>
  <c r="AH69" i="39"/>
  <c r="AJ69" i="39"/>
  <c r="AK69" i="39"/>
  <c r="AL69" i="39"/>
  <c r="AM69" i="39"/>
  <c r="AN69" i="39"/>
  <c r="AP69" i="39"/>
  <c r="AQ69" i="39"/>
  <c r="AR69" i="39"/>
  <c r="AS69" i="39"/>
  <c r="AT69" i="39"/>
  <c r="AU69" i="39"/>
  <c r="AV69" i="39"/>
  <c r="AW69" i="39"/>
  <c r="AX69" i="39"/>
  <c r="AY69" i="39"/>
  <c r="AZ69" i="39"/>
  <c r="BA69" i="39"/>
  <c r="A70" i="39"/>
  <c r="AA70" i="39"/>
  <c r="AB70" i="39"/>
  <c r="AC70" i="39"/>
  <c r="AD70" i="39"/>
  <c r="AE70" i="39"/>
  <c r="AF70" i="39"/>
  <c r="AG70" i="39"/>
  <c r="AH70" i="39"/>
  <c r="AJ70" i="39"/>
  <c r="AK70" i="39"/>
  <c r="AL70" i="39"/>
  <c r="AM70" i="39"/>
  <c r="AN70" i="39"/>
  <c r="AP70" i="39"/>
  <c r="AQ70" i="39"/>
  <c r="AR70" i="39"/>
  <c r="AS70" i="39"/>
  <c r="AT70" i="39"/>
  <c r="AU70" i="39"/>
  <c r="AV70" i="39"/>
  <c r="BB70" i="39" s="1"/>
  <c r="AW70" i="39"/>
  <c r="AX70" i="39"/>
  <c r="AY70" i="39"/>
  <c r="AZ70" i="39"/>
  <c r="BA70" i="39"/>
  <c r="AA71" i="39"/>
  <c r="AB71" i="39"/>
  <c r="AC71" i="39"/>
  <c r="AD71" i="39"/>
  <c r="AE71" i="39"/>
  <c r="AF71" i="39"/>
  <c r="AG71" i="39"/>
  <c r="AH71" i="39"/>
  <c r="AJ71" i="39"/>
  <c r="AK71" i="39"/>
  <c r="AL71" i="39"/>
  <c r="AM71" i="39"/>
  <c r="AN71" i="39"/>
  <c r="AP71" i="39"/>
  <c r="AQ71" i="39"/>
  <c r="AR71" i="39"/>
  <c r="AS71" i="39"/>
  <c r="AT71" i="39"/>
  <c r="AU71" i="39"/>
  <c r="AV71" i="39"/>
  <c r="AW71" i="39"/>
  <c r="AX71" i="39"/>
  <c r="AY71" i="39"/>
  <c r="AZ71" i="39"/>
  <c r="BA71" i="39"/>
  <c r="AA72" i="39"/>
  <c r="AB72" i="39"/>
  <c r="AC72" i="39"/>
  <c r="AD72" i="39"/>
  <c r="AE72" i="39"/>
  <c r="AF72" i="39"/>
  <c r="AG72" i="39"/>
  <c r="AH72" i="39"/>
  <c r="AJ72" i="39"/>
  <c r="AK72" i="39"/>
  <c r="AL72" i="39"/>
  <c r="AM72" i="39"/>
  <c r="AN72" i="39"/>
  <c r="AP72" i="39"/>
  <c r="AQ72" i="39"/>
  <c r="AR72" i="39"/>
  <c r="AS72" i="39"/>
  <c r="AT72" i="39"/>
  <c r="AU72" i="39"/>
  <c r="AV72" i="39"/>
  <c r="AW72" i="39"/>
  <c r="AX72" i="39"/>
  <c r="AY72" i="39"/>
  <c r="AZ72" i="39"/>
  <c r="BA72" i="39"/>
  <c r="AA73" i="39"/>
  <c r="AB73" i="39"/>
  <c r="AC73" i="39"/>
  <c r="AD73" i="39"/>
  <c r="AE73" i="39"/>
  <c r="AF73" i="39"/>
  <c r="AG73" i="39"/>
  <c r="AH73" i="39"/>
  <c r="AJ73" i="39"/>
  <c r="AK73" i="39"/>
  <c r="AL73" i="39"/>
  <c r="AM73" i="39"/>
  <c r="AN73" i="39"/>
  <c r="AP73" i="39"/>
  <c r="AQ73" i="39"/>
  <c r="AR73" i="39"/>
  <c r="AS73" i="39"/>
  <c r="AT73" i="39"/>
  <c r="AU73" i="39"/>
  <c r="AV73" i="39"/>
  <c r="AW73" i="39"/>
  <c r="AX73" i="39"/>
  <c r="AY73" i="39"/>
  <c r="AZ73" i="39"/>
  <c r="BA73" i="39"/>
  <c r="AA74" i="39"/>
  <c r="AB74" i="39"/>
  <c r="AO74" i="39" s="1"/>
  <c r="AC74" i="39"/>
  <c r="AD74" i="39"/>
  <c r="AE74" i="39"/>
  <c r="AF74" i="39"/>
  <c r="AG74" i="39"/>
  <c r="AH74" i="39"/>
  <c r="AJ74" i="39"/>
  <c r="AK74" i="39"/>
  <c r="AL74" i="39"/>
  <c r="AM74" i="39"/>
  <c r="AN74" i="39"/>
  <c r="AP74" i="39"/>
  <c r="BB74" i="39" s="1"/>
  <c r="AQ74" i="39"/>
  <c r="AR74" i="39"/>
  <c r="AS74" i="39"/>
  <c r="AT74" i="39"/>
  <c r="AU74" i="39"/>
  <c r="AV74" i="39"/>
  <c r="AW74" i="39"/>
  <c r="AX74" i="39"/>
  <c r="AY74" i="39"/>
  <c r="AZ74" i="39"/>
  <c r="BA74" i="39"/>
  <c r="C76" i="39"/>
  <c r="E76" i="39"/>
  <c r="G76" i="39"/>
  <c r="I76" i="39"/>
  <c r="K76" i="39"/>
  <c r="M76" i="39"/>
  <c r="M78" i="39" s="1"/>
  <c r="O76" i="39"/>
  <c r="Q76" i="39"/>
  <c r="S76" i="39"/>
  <c r="U76" i="39"/>
  <c r="W76" i="39"/>
  <c r="Y76" i="39"/>
  <c r="AA76" i="39"/>
  <c r="AB76" i="39"/>
  <c r="AC76" i="39"/>
  <c r="AC78" i="39" s="1"/>
  <c r="AD76" i="39"/>
  <c r="AE76" i="39"/>
  <c r="AF76" i="39"/>
  <c r="AG76" i="39"/>
  <c r="AH76" i="39"/>
  <c r="AH78" i="39" s="1"/>
  <c r="AJ76" i="39"/>
  <c r="AK76" i="39"/>
  <c r="AK78" i="39" s="1"/>
  <c r="AL76" i="39"/>
  <c r="AL78" i="39" s="1"/>
  <c r="AM76" i="39"/>
  <c r="AN76" i="39"/>
  <c r="AP76" i="39"/>
  <c r="AQ76" i="39"/>
  <c r="AQ78" i="39" s="1"/>
  <c r="AR76" i="39"/>
  <c r="AS76" i="39"/>
  <c r="AT76" i="39"/>
  <c r="AT78" i="39" s="1"/>
  <c r="AU76" i="39"/>
  <c r="AV76" i="39"/>
  <c r="AW76" i="39"/>
  <c r="AX76" i="39"/>
  <c r="AY76" i="39"/>
  <c r="AY78" i="39" s="1"/>
  <c r="AZ76" i="39"/>
  <c r="BA76" i="39"/>
  <c r="BA78" i="39" s="1"/>
  <c r="C77" i="39"/>
  <c r="E77" i="39"/>
  <c r="F77" i="39"/>
  <c r="G77" i="39"/>
  <c r="H77" i="39"/>
  <c r="I77" i="39"/>
  <c r="J77" i="39"/>
  <c r="J78" i="39" s="1"/>
  <c r="K77" i="39"/>
  <c r="L77" i="39"/>
  <c r="M77" i="39"/>
  <c r="N77" i="39"/>
  <c r="O77" i="39"/>
  <c r="P77" i="39"/>
  <c r="Q77" i="39"/>
  <c r="Q78" i="39" s="1"/>
  <c r="S77" i="39"/>
  <c r="T77" i="39"/>
  <c r="U77" i="39"/>
  <c r="V77" i="39"/>
  <c r="W77" i="39"/>
  <c r="X77" i="39"/>
  <c r="Y77" i="39"/>
  <c r="Z77" i="39"/>
  <c r="Z78" i="39" s="1"/>
  <c r="AA77" i="39"/>
  <c r="AB77" i="39"/>
  <c r="AC77" i="39"/>
  <c r="AD77" i="39"/>
  <c r="AE77" i="39"/>
  <c r="AF77" i="39"/>
  <c r="AG77" i="39"/>
  <c r="AH77" i="39"/>
  <c r="AJ77" i="39"/>
  <c r="AK77" i="39"/>
  <c r="AL77" i="39"/>
  <c r="AM77" i="39"/>
  <c r="AN77" i="39"/>
  <c r="AP77" i="39"/>
  <c r="AQ77" i="39"/>
  <c r="AR77" i="39"/>
  <c r="AS77" i="39"/>
  <c r="AT77" i="39"/>
  <c r="AU77" i="39"/>
  <c r="AV77" i="39"/>
  <c r="AW77" i="39"/>
  <c r="AX77" i="39"/>
  <c r="AY77" i="39"/>
  <c r="AZ77" i="39"/>
  <c r="BA77" i="39"/>
  <c r="C78" i="39"/>
  <c r="E78" i="39"/>
  <c r="F78" i="39"/>
  <c r="G78" i="39"/>
  <c r="H78" i="39"/>
  <c r="K78" i="39"/>
  <c r="L78" i="39"/>
  <c r="N78" i="39"/>
  <c r="O78" i="39"/>
  <c r="P78" i="39"/>
  <c r="S78" i="39"/>
  <c r="T78" i="39"/>
  <c r="U78" i="39"/>
  <c r="V78" i="39"/>
  <c r="W78" i="39"/>
  <c r="X78" i="39"/>
  <c r="AA78" i="39"/>
  <c r="AD78" i="39"/>
  <c r="AE78" i="39"/>
  <c r="AF78" i="39"/>
  <c r="AJ78" i="39"/>
  <c r="AM78" i="39"/>
  <c r="AN78" i="39"/>
  <c r="AR78" i="39"/>
  <c r="AU78" i="39"/>
  <c r="AV78" i="39"/>
  <c r="AW78" i="39"/>
  <c r="AZ78" i="39"/>
  <c r="D81" i="39"/>
  <c r="F81" i="39"/>
  <c r="H81" i="39"/>
  <c r="J81" i="39"/>
  <c r="L81" i="39"/>
  <c r="N81" i="39"/>
  <c r="P81" i="39"/>
  <c r="R81" i="39"/>
  <c r="T81" i="39"/>
  <c r="V81" i="39"/>
  <c r="X81" i="39"/>
  <c r="Z81" i="39"/>
  <c r="C83" i="39"/>
  <c r="AA83" i="39"/>
  <c r="AB83" i="39"/>
  <c r="AO83" i="39" s="1"/>
  <c r="AC83" i="39"/>
  <c r="AD83" i="39"/>
  <c r="AE83" i="39"/>
  <c r="AF83" i="39"/>
  <c r="AG83" i="39"/>
  <c r="AH83" i="39"/>
  <c r="AJ83" i="39"/>
  <c r="AK83" i="39"/>
  <c r="AL83" i="39"/>
  <c r="AM83" i="39"/>
  <c r="AN83" i="39"/>
  <c r="AP83" i="39"/>
  <c r="AQ83" i="39"/>
  <c r="AR83" i="39"/>
  <c r="AS83" i="39"/>
  <c r="AT83" i="39"/>
  <c r="AU83" i="39"/>
  <c r="AV83" i="39"/>
  <c r="AW83" i="39"/>
  <c r="AX83" i="39"/>
  <c r="AY83" i="39"/>
  <c r="AZ83" i="39"/>
  <c r="BA83" i="39"/>
  <c r="C84" i="39"/>
  <c r="C92" i="39" s="1"/>
  <c r="AA84" i="39"/>
  <c r="AB84" i="39"/>
  <c r="AC84" i="39"/>
  <c r="AD84" i="39"/>
  <c r="AE84" i="39"/>
  <c r="AF84" i="39"/>
  <c r="AG84" i="39"/>
  <c r="AH84" i="39"/>
  <c r="AJ84" i="39"/>
  <c r="AK84" i="39"/>
  <c r="AL84" i="39"/>
  <c r="AM84" i="39"/>
  <c r="AN84" i="39"/>
  <c r="AP84" i="39"/>
  <c r="AQ84" i="39"/>
  <c r="AR84" i="39"/>
  <c r="AS84" i="39"/>
  <c r="AT84" i="39"/>
  <c r="AU84" i="39"/>
  <c r="AV84" i="39"/>
  <c r="AW84" i="39"/>
  <c r="AX84" i="39"/>
  <c r="AY84" i="39"/>
  <c r="AZ84" i="39"/>
  <c r="BA84" i="39"/>
  <c r="A85" i="39"/>
  <c r="AF85" i="39" s="1"/>
  <c r="C85" i="39"/>
  <c r="AA85" i="39"/>
  <c r="AC85" i="39"/>
  <c r="AD85" i="39"/>
  <c r="AE85" i="39"/>
  <c r="AG85" i="39"/>
  <c r="AH85" i="39"/>
  <c r="AJ85" i="39"/>
  <c r="AL85" i="39"/>
  <c r="AM85" i="39"/>
  <c r="AN85" i="39"/>
  <c r="AP85" i="39"/>
  <c r="AQ85" i="39"/>
  <c r="AR85" i="39"/>
  <c r="AS85" i="39"/>
  <c r="AT85" i="39"/>
  <c r="AU85" i="39"/>
  <c r="AV85" i="39"/>
  <c r="AX85" i="39"/>
  <c r="AY85" i="39"/>
  <c r="AZ85" i="39"/>
  <c r="BA85" i="39"/>
  <c r="C86" i="39"/>
  <c r="AA86" i="39"/>
  <c r="AB86" i="39"/>
  <c r="AC86" i="39"/>
  <c r="AO86" i="39" s="1"/>
  <c r="AD86" i="39"/>
  <c r="AE86" i="39"/>
  <c r="AF86" i="39"/>
  <c r="AG86" i="39"/>
  <c r="AH86" i="39"/>
  <c r="AJ86" i="39"/>
  <c r="AK86" i="39"/>
  <c r="AL86" i="39"/>
  <c r="AM86" i="39"/>
  <c r="AN86" i="39"/>
  <c r="AP86" i="39"/>
  <c r="AQ86" i="39"/>
  <c r="AR86" i="39"/>
  <c r="AS86" i="39"/>
  <c r="AT86" i="39"/>
  <c r="AU86" i="39"/>
  <c r="AV86" i="39"/>
  <c r="AW86" i="39"/>
  <c r="AX86" i="39"/>
  <c r="AY86" i="39"/>
  <c r="AZ86" i="39"/>
  <c r="BA86" i="39"/>
  <c r="C87" i="39"/>
  <c r="AA87" i="39"/>
  <c r="AB87" i="39"/>
  <c r="AC87" i="39"/>
  <c r="AD87" i="39"/>
  <c r="AE87" i="39"/>
  <c r="AF87" i="39"/>
  <c r="AG87" i="39"/>
  <c r="AH87" i="39"/>
  <c r="AJ87" i="39"/>
  <c r="AK87" i="39"/>
  <c r="AL87" i="39"/>
  <c r="AM87" i="39"/>
  <c r="AN87" i="39"/>
  <c r="AP87" i="39"/>
  <c r="AQ87" i="39"/>
  <c r="AR87" i="39"/>
  <c r="AS87" i="39"/>
  <c r="AT87" i="39"/>
  <c r="AU87" i="39"/>
  <c r="AV87" i="39"/>
  <c r="AW87" i="39"/>
  <c r="AX87" i="39"/>
  <c r="AY87" i="39"/>
  <c r="AZ87" i="39"/>
  <c r="BA87" i="39"/>
  <c r="BB87" i="39"/>
  <c r="C88" i="39"/>
  <c r="AA88" i="39"/>
  <c r="AB88" i="39"/>
  <c r="AO88" i="39" s="1"/>
  <c r="AC88" i="39"/>
  <c r="AD88" i="39"/>
  <c r="AE88" i="39"/>
  <c r="AF88" i="39"/>
  <c r="AG88" i="39"/>
  <c r="AH88" i="39"/>
  <c r="AJ88" i="39"/>
  <c r="AK88" i="39"/>
  <c r="AL88" i="39"/>
  <c r="AM88" i="39"/>
  <c r="AN88" i="39"/>
  <c r="AP88" i="39"/>
  <c r="AQ88" i="39"/>
  <c r="AR88" i="39"/>
  <c r="AS88" i="39"/>
  <c r="AT88" i="39"/>
  <c r="AU88" i="39"/>
  <c r="AV88" i="39"/>
  <c r="AW88" i="39"/>
  <c r="AX88" i="39"/>
  <c r="AY88" i="39"/>
  <c r="AZ88" i="39"/>
  <c r="BA88" i="39"/>
  <c r="C89" i="39"/>
  <c r="AA89" i="39"/>
  <c r="AB89" i="39"/>
  <c r="AC89" i="39"/>
  <c r="AD89" i="39"/>
  <c r="AE89" i="39"/>
  <c r="AF89" i="39"/>
  <c r="AG89" i="39"/>
  <c r="AH89" i="39"/>
  <c r="AJ89" i="39"/>
  <c r="AK89" i="39"/>
  <c r="AL89" i="39"/>
  <c r="AM89" i="39"/>
  <c r="AN89" i="39"/>
  <c r="AP89" i="39"/>
  <c r="AQ89" i="39"/>
  <c r="AR89" i="39"/>
  <c r="AS89" i="39"/>
  <c r="AT89" i="39"/>
  <c r="AU89" i="39"/>
  <c r="AV89" i="39"/>
  <c r="AW89" i="39"/>
  <c r="AX89" i="39"/>
  <c r="AY89" i="39"/>
  <c r="AZ89" i="39"/>
  <c r="BA89" i="39"/>
  <c r="BB89" i="39"/>
  <c r="C91" i="39"/>
  <c r="E91" i="39"/>
  <c r="G91" i="39"/>
  <c r="I91" i="39"/>
  <c r="K91" i="39"/>
  <c r="K93" i="39" s="1"/>
  <c r="M91" i="39"/>
  <c r="O91" i="39"/>
  <c r="Q91" i="39"/>
  <c r="Q93" i="39" s="1"/>
  <c r="S91" i="39"/>
  <c r="U91" i="39"/>
  <c r="W91" i="39"/>
  <c r="Y91" i="39"/>
  <c r="AA91" i="39"/>
  <c r="AA93" i="39" s="1"/>
  <c r="AB91" i="39"/>
  <c r="AO91" i="39" s="1"/>
  <c r="AC91" i="39"/>
  <c r="AD91" i="39"/>
  <c r="AD93" i="39" s="1"/>
  <c r="AE91" i="39"/>
  <c r="AE93" i="39" s="1"/>
  <c r="AF91" i="39"/>
  <c r="AG91" i="39"/>
  <c r="AH91" i="39"/>
  <c r="AJ91" i="39"/>
  <c r="AJ93" i="39" s="1"/>
  <c r="AK91" i="39"/>
  <c r="AL91" i="39"/>
  <c r="AM91" i="39"/>
  <c r="AM93" i="39" s="1"/>
  <c r="AN91" i="39"/>
  <c r="AN93" i="39" s="1"/>
  <c r="AP91" i="39"/>
  <c r="BB91" i="39" s="1"/>
  <c r="AQ91" i="39"/>
  <c r="AR91" i="39"/>
  <c r="AS91" i="39"/>
  <c r="AT91" i="39"/>
  <c r="AU91" i="39"/>
  <c r="AU93" i="39" s="1"/>
  <c r="AV91" i="39"/>
  <c r="AV93" i="39" s="1"/>
  <c r="AW91" i="39"/>
  <c r="AX91" i="39"/>
  <c r="AY91" i="39"/>
  <c r="AZ91" i="39"/>
  <c r="BA91" i="39"/>
  <c r="D92" i="39"/>
  <c r="D93" i="39" s="1"/>
  <c r="E92" i="39"/>
  <c r="F92" i="39"/>
  <c r="G92" i="39"/>
  <c r="H92" i="39"/>
  <c r="I92" i="39"/>
  <c r="J92" i="39"/>
  <c r="K92" i="39"/>
  <c r="L92" i="39"/>
  <c r="L93" i="39" s="1"/>
  <c r="M92" i="39"/>
  <c r="N92" i="39"/>
  <c r="O92" i="39"/>
  <c r="P92" i="39"/>
  <c r="Q92" i="39"/>
  <c r="R92" i="39"/>
  <c r="S92" i="39"/>
  <c r="T92" i="39"/>
  <c r="T93" i="39" s="1"/>
  <c r="U92" i="39"/>
  <c r="V92" i="39"/>
  <c r="W92" i="39"/>
  <c r="X92" i="39"/>
  <c r="Y92" i="39"/>
  <c r="Z92" i="39"/>
  <c r="AA92" i="39"/>
  <c r="AB92" i="39"/>
  <c r="AB93" i="39" s="1"/>
  <c r="AC92" i="39"/>
  <c r="AD92" i="39"/>
  <c r="AE92" i="39"/>
  <c r="AF92" i="39"/>
  <c r="AG92" i="39"/>
  <c r="AH92" i="39"/>
  <c r="AJ92" i="39"/>
  <c r="AK92" i="39"/>
  <c r="AK93" i="39" s="1"/>
  <c r="AL92" i="39"/>
  <c r="AM92" i="39"/>
  <c r="AN92" i="39"/>
  <c r="AP92" i="39"/>
  <c r="AQ92" i="39"/>
  <c r="AR92" i="39"/>
  <c r="AS92" i="39"/>
  <c r="AS93" i="39" s="1"/>
  <c r="AT92" i="39"/>
  <c r="AU92" i="39"/>
  <c r="AV92" i="39"/>
  <c r="AW92" i="39"/>
  <c r="AX92" i="39"/>
  <c r="AY92" i="39"/>
  <c r="AZ92" i="39"/>
  <c r="BA92" i="39"/>
  <c r="BA93" i="39" s="1"/>
  <c r="E93" i="39"/>
  <c r="F93" i="39"/>
  <c r="G93" i="39"/>
  <c r="H93" i="39"/>
  <c r="I93" i="39"/>
  <c r="J93" i="39"/>
  <c r="M93" i="39"/>
  <c r="N93" i="39"/>
  <c r="O93" i="39"/>
  <c r="P93" i="39"/>
  <c r="R93" i="39"/>
  <c r="U93" i="39"/>
  <c r="V93" i="39"/>
  <c r="W93" i="39"/>
  <c r="X93" i="39"/>
  <c r="Y93" i="39"/>
  <c r="Z93" i="39"/>
  <c r="AC93" i="39"/>
  <c r="AF93" i="39"/>
  <c r="AG93" i="39"/>
  <c r="AH93" i="39"/>
  <c r="AL93" i="39"/>
  <c r="AO93" i="39"/>
  <c r="AP93" i="39"/>
  <c r="AQ93" i="39"/>
  <c r="AT93" i="39"/>
  <c r="AW93" i="39"/>
  <c r="AX93" i="39"/>
  <c r="AY93" i="39"/>
  <c r="D95" i="39"/>
  <c r="D106" i="39" s="1"/>
  <c r="D107" i="39" s="1"/>
  <c r="F95" i="39"/>
  <c r="H95" i="39"/>
  <c r="H106" i="39" s="1"/>
  <c r="H107" i="39" s="1"/>
  <c r="J95" i="39"/>
  <c r="L95" i="39"/>
  <c r="N95" i="39"/>
  <c r="P95" i="39"/>
  <c r="R95" i="39"/>
  <c r="T95" i="39"/>
  <c r="V95" i="39"/>
  <c r="X95" i="39"/>
  <c r="X106" i="39" s="1"/>
  <c r="X107" i="39" s="1"/>
  <c r="Z95" i="39"/>
  <c r="C97" i="39"/>
  <c r="AE97" i="39"/>
  <c r="AF97" i="39"/>
  <c r="AG97" i="39"/>
  <c r="AH97" i="39"/>
  <c r="C98" i="39"/>
  <c r="AE98" i="39"/>
  <c r="AF98" i="39"/>
  <c r="AG98" i="39"/>
  <c r="AH98" i="39"/>
  <c r="A99" i="39"/>
  <c r="C99" i="39"/>
  <c r="AE99" i="39"/>
  <c r="AF99" i="39"/>
  <c r="AG99" i="39"/>
  <c r="AH99" i="39"/>
  <c r="C100" i="39"/>
  <c r="AE100" i="39"/>
  <c r="AF100" i="39"/>
  <c r="AG100" i="39"/>
  <c r="AH100" i="39"/>
  <c r="C101" i="39"/>
  <c r="AE101" i="39"/>
  <c r="AF101" i="39"/>
  <c r="AG101" i="39"/>
  <c r="AH101" i="39"/>
  <c r="C102" i="39"/>
  <c r="AE102" i="39"/>
  <c r="AF102" i="39"/>
  <c r="AG102" i="39"/>
  <c r="AH102" i="39"/>
  <c r="C103" i="39"/>
  <c r="AE103" i="39"/>
  <c r="AF103" i="39"/>
  <c r="AG103" i="39"/>
  <c r="AH103" i="39"/>
  <c r="C105" i="39"/>
  <c r="E105" i="39"/>
  <c r="G105" i="39"/>
  <c r="G107" i="39" s="1"/>
  <c r="I105" i="39"/>
  <c r="K105" i="39"/>
  <c r="M105" i="39"/>
  <c r="O105" i="39"/>
  <c r="Q105" i="39"/>
  <c r="S105" i="39"/>
  <c r="U105" i="39"/>
  <c r="W105" i="39"/>
  <c r="W107" i="39" s="1"/>
  <c r="Y105" i="39"/>
  <c r="AA105" i="39"/>
  <c r="AB105" i="39"/>
  <c r="AC105" i="39"/>
  <c r="AD105" i="39"/>
  <c r="AE105" i="39"/>
  <c r="AF105" i="39"/>
  <c r="AG105" i="39"/>
  <c r="AG107" i="39" s="1"/>
  <c r="AH105" i="39"/>
  <c r="C106" i="39"/>
  <c r="E106" i="39"/>
  <c r="F106" i="39"/>
  <c r="G106" i="39"/>
  <c r="I106" i="39"/>
  <c r="I107" i="39" s="1"/>
  <c r="J106" i="39"/>
  <c r="K106" i="39"/>
  <c r="L106" i="39"/>
  <c r="M106" i="39"/>
  <c r="N106" i="39"/>
  <c r="O106" i="39"/>
  <c r="P106" i="39"/>
  <c r="Q106" i="39"/>
  <c r="Q107" i="39" s="1"/>
  <c r="R106" i="39"/>
  <c r="S106" i="39"/>
  <c r="T106" i="39"/>
  <c r="U106" i="39"/>
  <c r="V106" i="39"/>
  <c r="W106" i="39"/>
  <c r="Y106" i="39"/>
  <c r="Z106" i="39"/>
  <c r="AA106" i="39"/>
  <c r="AB106" i="39"/>
  <c r="AC106" i="39"/>
  <c r="AD106" i="39"/>
  <c r="AE106" i="39"/>
  <c r="AF106" i="39"/>
  <c r="AG106" i="39"/>
  <c r="AH106" i="39"/>
  <c r="C107" i="39"/>
  <c r="E107" i="39"/>
  <c r="F107" i="39"/>
  <c r="J107" i="39"/>
  <c r="K107" i="39"/>
  <c r="L107" i="39"/>
  <c r="M107" i="39"/>
  <c r="N107" i="39"/>
  <c r="O107" i="39"/>
  <c r="P107" i="39"/>
  <c r="R107" i="39"/>
  <c r="S107" i="39"/>
  <c r="T107" i="39"/>
  <c r="U107" i="39"/>
  <c r="V107" i="39"/>
  <c r="Y107" i="39"/>
  <c r="Z107" i="39"/>
  <c r="AA107" i="39"/>
  <c r="AB107" i="39"/>
  <c r="AC107" i="39"/>
  <c r="AD107" i="39"/>
  <c r="AE107" i="39"/>
  <c r="AF107" i="39"/>
  <c r="AH107" i="39"/>
  <c r="D109" i="39"/>
  <c r="D120" i="39" s="1"/>
  <c r="D121" i="39" s="1"/>
  <c r="F109" i="39"/>
  <c r="H109" i="39"/>
  <c r="J109" i="39"/>
  <c r="L109" i="39"/>
  <c r="N109" i="39"/>
  <c r="P109" i="39"/>
  <c r="P120" i="39" s="1"/>
  <c r="P121" i="39" s="1"/>
  <c r="R109" i="39"/>
  <c r="T109" i="39"/>
  <c r="V109" i="39"/>
  <c r="X109" i="39"/>
  <c r="Z109" i="39"/>
  <c r="C111" i="39"/>
  <c r="AA111" i="39"/>
  <c r="AB111" i="39"/>
  <c r="AC111" i="39"/>
  <c r="AD111" i="39"/>
  <c r="AE111" i="39"/>
  <c r="AF111" i="39"/>
  <c r="AG111" i="39"/>
  <c r="AH111" i="39"/>
  <c r="C112" i="39"/>
  <c r="AA112" i="39"/>
  <c r="AB112" i="39"/>
  <c r="AC112" i="39"/>
  <c r="AD112" i="39"/>
  <c r="AE112" i="39"/>
  <c r="AF112" i="39"/>
  <c r="AG112" i="39"/>
  <c r="AH112" i="39"/>
  <c r="A113" i="39"/>
  <c r="AA113" i="39"/>
  <c r="AB113" i="39"/>
  <c r="AC113" i="39"/>
  <c r="AD113" i="39"/>
  <c r="AE113" i="39"/>
  <c r="AF113" i="39"/>
  <c r="AG113" i="39"/>
  <c r="AH113" i="39"/>
  <c r="C114" i="39"/>
  <c r="AA114" i="39"/>
  <c r="AB114" i="39"/>
  <c r="AC114" i="39"/>
  <c r="AD114" i="39"/>
  <c r="AE114" i="39"/>
  <c r="AF114" i="39"/>
  <c r="AG114" i="39"/>
  <c r="AH114" i="39"/>
  <c r="C115" i="39"/>
  <c r="AA115" i="39"/>
  <c r="AB115" i="39"/>
  <c r="AC115" i="39"/>
  <c r="AD115" i="39"/>
  <c r="AE115" i="39"/>
  <c r="AF115" i="39"/>
  <c r="AG115" i="39"/>
  <c r="AH115" i="39"/>
  <c r="C116" i="39"/>
  <c r="AA116" i="39"/>
  <c r="AB116" i="39"/>
  <c r="AC116" i="39"/>
  <c r="AD116" i="39"/>
  <c r="AE116" i="39"/>
  <c r="AF116" i="39"/>
  <c r="AG116" i="39"/>
  <c r="AH116" i="39"/>
  <c r="C117" i="39"/>
  <c r="AA117" i="39"/>
  <c r="AB117" i="39"/>
  <c r="AC117" i="39"/>
  <c r="AD117" i="39"/>
  <c r="AE117" i="39"/>
  <c r="AF117" i="39"/>
  <c r="AG117" i="39"/>
  <c r="AH117" i="39"/>
  <c r="C119" i="39"/>
  <c r="E119" i="39"/>
  <c r="G119" i="39"/>
  <c r="G121" i="39" s="1"/>
  <c r="I119" i="39"/>
  <c r="K119" i="39"/>
  <c r="M119" i="39"/>
  <c r="O119" i="39"/>
  <c r="Q119" i="39"/>
  <c r="S119" i="39"/>
  <c r="U119" i="39"/>
  <c r="W119" i="39"/>
  <c r="W121" i="39" s="1"/>
  <c r="Y119" i="39"/>
  <c r="AA119" i="39"/>
  <c r="AB119" i="39"/>
  <c r="AC119" i="39"/>
  <c r="AD119" i="39"/>
  <c r="AE119" i="39"/>
  <c r="AF119" i="39"/>
  <c r="AG119" i="39"/>
  <c r="AG121" i="39" s="1"/>
  <c r="AH119" i="39"/>
  <c r="E120" i="39"/>
  <c r="F120" i="39"/>
  <c r="G120" i="39"/>
  <c r="H120" i="39"/>
  <c r="I120" i="39"/>
  <c r="I121" i="39" s="1"/>
  <c r="J120" i="39"/>
  <c r="K120" i="39"/>
  <c r="L120" i="39"/>
  <c r="M120" i="39"/>
  <c r="N120" i="39"/>
  <c r="O120" i="39"/>
  <c r="Q120" i="39"/>
  <c r="Q121" i="39" s="1"/>
  <c r="R120" i="39"/>
  <c r="S120" i="39"/>
  <c r="T120" i="39"/>
  <c r="U120" i="39"/>
  <c r="V120" i="39"/>
  <c r="W120" i="39"/>
  <c r="X120" i="39"/>
  <c r="Y120" i="39"/>
  <c r="Y121" i="39" s="1"/>
  <c r="Z120" i="39"/>
  <c r="AA120" i="39"/>
  <c r="AB120" i="39"/>
  <c r="AC120" i="39"/>
  <c r="AD120" i="39"/>
  <c r="AE120" i="39"/>
  <c r="AF120" i="39"/>
  <c r="AG120" i="39"/>
  <c r="AH120" i="39"/>
  <c r="E121" i="39"/>
  <c r="F121" i="39"/>
  <c r="H121" i="39"/>
  <c r="J121" i="39"/>
  <c r="K121" i="39"/>
  <c r="L121" i="39"/>
  <c r="M121" i="39"/>
  <c r="N121" i="39"/>
  <c r="O121" i="39"/>
  <c r="R121" i="39"/>
  <c r="S121" i="39"/>
  <c r="T121" i="39"/>
  <c r="U121" i="39"/>
  <c r="V121" i="39"/>
  <c r="X121" i="39"/>
  <c r="Z121" i="39"/>
  <c r="AA121" i="39"/>
  <c r="AB121" i="39"/>
  <c r="AC121" i="39"/>
  <c r="AD121" i="39"/>
  <c r="AE121" i="39"/>
  <c r="AF121" i="39"/>
  <c r="AH121" i="39"/>
  <c r="D123" i="39"/>
  <c r="D134" i="39" s="1"/>
  <c r="F123" i="39"/>
  <c r="H123" i="39"/>
  <c r="J123" i="39"/>
  <c r="J134" i="39" s="1"/>
  <c r="J135" i="39" s="1"/>
  <c r="L123" i="39"/>
  <c r="N123" i="39"/>
  <c r="P123" i="39"/>
  <c r="P134" i="39" s="1"/>
  <c r="P135" i="39" s="1"/>
  <c r="R123" i="39"/>
  <c r="R134" i="39" s="1"/>
  <c r="R135" i="39" s="1"/>
  <c r="T123" i="39"/>
  <c r="V123" i="39"/>
  <c r="X123" i="39"/>
  <c r="Z123" i="39"/>
  <c r="Z134" i="39" s="1"/>
  <c r="Z135" i="39" s="1"/>
  <c r="C125" i="39"/>
  <c r="E125" i="39"/>
  <c r="G125" i="39"/>
  <c r="G134" i="39" s="1"/>
  <c r="G135" i="39" s="1"/>
  <c r="I125" i="39"/>
  <c r="I134" i="39" s="1"/>
  <c r="I135" i="39" s="1"/>
  <c r="K125" i="39"/>
  <c r="M125" i="39"/>
  <c r="O125" i="39"/>
  <c r="Q125" i="39"/>
  <c r="Q134" i="39" s="1"/>
  <c r="Q135" i="39" s="1"/>
  <c r="S125" i="39"/>
  <c r="U125" i="39"/>
  <c r="W125" i="39"/>
  <c r="W134" i="39" s="1"/>
  <c r="W135" i="39" s="1"/>
  <c r="Y125" i="39"/>
  <c r="Y134" i="39" s="1"/>
  <c r="Y135" i="39" s="1"/>
  <c r="AA125" i="39"/>
  <c r="AB125" i="39"/>
  <c r="AC125" i="39"/>
  <c r="AD125" i="39"/>
  <c r="AE125" i="39"/>
  <c r="AF125" i="39"/>
  <c r="AG125" i="39"/>
  <c r="AH125" i="39"/>
  <c r="C126" i="39"/>
  <c r="E126" i="39"/>
  <c r="G126" i="39"/>
  <c r="I126" i="39"/>
  <c r="K126" i="39"/>
  <c r="M126" i="39"/>
  <c r="O126" i="39"/>
  <c r="O134" i="39" s="1"/>
  <c r="O135" i="39" s="1"/>
  <c r="Q126" i="39"/>
  <c r="S126" i="39"/>
  <c r="U126" i="39"/>
  <c r="W126" i="39"/>
  <c r="Y126" i="39"/>
  <c r="AA126" i="39"/>
  <c r="AB126" i="39"/>
  <c r="AC126" i="39"/>
  <c r="AD126" i="39"/>
  <c r="AE126" i="39"/>
  <c r="AF126" i="39"/>
  <c r="AG126" i="39"/>
  <c r="AH126" i="39"/>
  <c r="A127" i="39"/>
  <c r="AA127" i="39"/>
  <c r="AB127" i="39"/>
  <c r="AC127" i="39"/>
  <c r="AD127" i="39"/>
  <c r="AE127" i="39"/>
  <c r="AF127" i="39"/>
  <c r="AG127" i="39"/>
  <c r="AH127" i="39"/>
  <c r="C128" i="39"/>
  <c r="AA128" i="39"/>
  <c r="AB128" i="39"/>
  <c r="AC128" i="39"/>
  <c r="AD128" i="39"/>
  <c r="AE128" i="39"/>
  <c r="AF128" i="39"/>
  <c r="AG128" i="39"/>
  <c r="AH128" i="39"/>
  <c r="C129" i="39"/>
  <c r="AA129" i="39"/>
  <c r="AB129" i="39"/>
  <c r="AC129" i="39"/>
  <c r="AD129" i="39"/>
  <c r="AE129" i="39"/>
  <c r="AF129" i="39"/>
  <c r="AG129" i="39"/>
  <c r="AH129" i="39"/>
  <c r="C130" i="39"/>
  <c r="AA130" i="39"/>
  <c r="AB130" i="39"/>
  <c r="AC130" i="39"/>
  <c r="AD130" i="39"/>
  <c r="AE130" i="39"/>
  <c r="AF130" i="39"/>
  <c r="AG130" i="39"/>
  <c r="AH130" i="39"/>
  <c r="C131" i="39"/>
  <c r="AA131" i="39"/>
  <c r="AB131" i="39"/>
  <c r="AC131" i="39"/>
  <c r="AD131" i="39"/>
  <c r="AE131" i="39"/>
  <c r="AF131" i="39"/>
  <c r="AG131" i="39"/>
  <c r="AH131" i="39"/>
  <c r="C133" i="39"/>
  <c r="E133" i="39"/>
  <c r="E135" i="39" s="1"/>
  <c r="G133" i="39"/>
  <c r="I133" i="39"/>
  <c r="K133" i="39"/>
  <c r="M133" i="39"/>
  <c r="M135" i="39" s="1"/>
  <c r="O133" i="39"/>
  <c r="Q133" i="39"/>
  <c r="S133" i="39"/>
  <c r="U133" i="39"/>
  <c r="U135" i="39" s="1"/>
  <c r="W133" i="39"/>
  <c r="Y133" i="39"/>
  <c r="AA133" i="39"/>
  <c r="AA135" i="39" s="1"/>
  <c r="AB133" i="39"/>
  <c r="AC133" i="39"/>
  <c r="AD133" i="39"/>
  <c r="AE133" i="39"/>
  <c r="AF133" i="39"/>
  <c r="AG133" i="39"/>
  <c r="AH133" i="39"/>
  <c r="C134" i="39"/>
  <c r="E134" i="39"/>
  <c r="F134" i="39"/>
  <c r="H134" i="39"/>
  <c r="K134" i="39"/>
  <c r="K135" i="39" s="1"/>
  <c r="L134" i="39"/>
  <c r="M134" i="39"/>
  <c r="N134" i="39"/>
  <c r="S134" i="39"/>
  <c r="T134" i="39"/>
  <c r="U134" i="39"/>
  <c r="V134" i="39"/>
  <c r="X134" i="39"/>
  <c r="AA134" i="39"/>
  <c r="AB134" i="39"/>
  <c r="AC134" i="39"/>
  <c r="AD134" i="39"/>
  <c r="AE134" i="39"/>
  <c r="AF134" i="39"/>
  <c r="AG134" i="39"/>
  <c r="AH134" i="39"/>
  <c r="C135" i="39"/>
  <c r="F135" i="39"/>
  <c r="H135" i="39"/>
  <c r="L135" i="39"/>
  <c r="N135" i="39"/>
  <c r="S135" i="39"/>
  <c r="T135" i="39"/>
  <c r="V135" i="39"/>
  <c r="X135" i="39"/>
  <c r="AB135" i="39"/>
  <c r="AC135" i="39"/>
  <c r="AD135" i="39"/>
  <c r="AE135" i="39"/>
  <c r="AF135" i="39"/>
  <c r="AG135" i="39"/>
  <c r="AH135" i="39"/>
  <c r="D137" i="39"/>
  <c r="D148" i="39" s="1"/>
  <c r="F137" i="39"/>
  <c r="F148" i="39" s="1"/>
  <c r="H137" i="39"/>
  <c r="J137" i="39"/>
  <c r="L137" i="39"/>
  <c r="N137" i="39"/>
  <c r="P137" i="39"/>
  <c r="R137" i="39"/>
  <c r="T137" i="39"/>
  <c r="T148" i="39" s="1"/>
  <c r="T149" i="39" s="1"/>
  <c r="V137" i="39"/>
  <c r="V148" i="39" s="1"/>
  <c r="V149" i="39" s="1"/>
  <c r="X137" i="39"/>
  <c r="X148" i="39" s="1"/>
  <c r="X149" i="39" s="1"/>
  <c r="Z137" i="39"/>
  <c r="H148" i="39"/>
  <c r="J148" i="39"/>
  <c r="L148" i="39"/>
  <c r="L149" i="39" s="1"/>
  <c r="N148" i="39"/>
  <c r="N149" i="39" s="1"/>
  <c r="P148" i="39"/>
  <c r="P149" i="39" s="1"/>
  <c r="R148" i="39"/>
  <c r="Z148" i="39"/>
  <c r="J149" i="39"/>
  <c r="R149" i="39"/>
  <c r="D151" i="39"/>
  <c r="D162" i="39" s="1"/>
  <c r="D163" i="39" s="1"/>
  <c r="F151" i="39"/>
  <c r="F162" i="39" s="1"/>
  <c r="F163" i="39" s="1"/>
  <c r="H151" i="39"/>
  <c r="J151" i="39"/>
  <c r="L151" i="39"/>
  <c r="N151" i="39"/>
  <c r="N162" i="39" s="1"/>
  <c r="N163" i="39" s="1"/>
  <c r="P151" i="39"/>
  <c r="R151" i="39"/>
  <c r="T151" i="39"/>
  <c r="T162" i="39" s="1"/>
  <c r="T163" i="39" s="1"/>
  <c r="V151" i="39"/>
  <c r="V162" i="39" s="1"/>
  <c r="V163" i="39" s="1"/>
  <c r="X151" i="39"/>
  <c r="Z151" i="39"/>
  <c r="C153" i="39"/>
  <c r="AA153" i="39"/>
  <c r="AB153" i="39"/>
  <c r="AC153" i="39"/>
  <c r="AD153" i="39"/>
  <c r="AE153" i="39"/>
  <c r="AF153" i="39"/>
  <c r="AG153" i="39"/>
  <c r="AH153" i="39"/>
  <c r="C154" i="39"/>
  <c r="AA154" i="39"/>
  <c r="AB154" i="39"/>
  <c r="AC154" i="39"/>
  <c r="AD154" i="39"/>
  <c r="AE154" i="39"/>
  <c r="AF154" i="39"/>
  <c r="AG154" i="39"/>
  <c r="AH154" i="39"/>
  <c r="A155" i="39"/>
  <c r="C127" i="39" s="1"/>
  <c r="AA155" i="39"/>
  <c r="AB155" i="39"/>
  <c r="AC155" i="39"/>
  <c r="AD155" i="39"/>
  <c r="AE155" i="39"/>
  <c r="AF155" i="39"/>
  <c r="AG155" i="39"/>
  <c r="AH155" i="39"/>
  <c r="C156" i="39"/>
  <c r="AA156" i="39"/>
  <c r="AB156" i="39"/>
  <c r="AC156" i="39"/>
  <c r="AD156" i="39"/>
  <c r="AE156" i="39"/>
  <c r="AF156" i="39"/>
  <c r="AG156" i="39"/>
  <c r="AH156" i="39"/>
  <c r="C157" i="39"/>
  <c r="AA157" i="39"/>
  <c r="AB157" i="39"/>
  <c r="AC157" i="39"/>
  <c r="AD157" i="39"/>
  <c r="AE157" i="39"/>
  <c r="AF157" i="39"/>
  <c r="AG157" i="39"/>
  <c r="AH157" i="39"/>
  <c r="C158" i="39"/>
  <c r="AA158" i="39"/>
  <c r="AB158" i="39"/>
  <c r="AC158" i="39"/>
  <c r="AD158" i="39"/>
  <c r="AE158" i="39"/>
  <c r="AF158" i="39"/>
  <c r="AG158" i="39"/>
  <c r="AH158" i="39"/>
  <c r="C159" i="39"/>
  <c r="AA159" i="39"/>
  <c r="AB159" i="39"/>
  <c r="AC159" i="39"/>
  <c r="AD159" i="39"/>
  <c r="AE159" i="39"/>
  <c r="AF159" i="39"/>
  <c r="AG159" i="39"/>
  <c r="AH159" i="39"/>
  <c r="C161" i="39"/>
  <c r="E161" i="39"/>
  <c r="E163" i="39" s="1"/>
  <c r="G161" i="39"/>
  <c r="I161" i="39"/>
  <c r="K161" i="39"/>
  <c r="K163" i="39" s="1"/>
  <c r="M161" i="39"/>
  <c r="M163" i="39" s="1"/>
  <c r="O161" i="39"/>
  <c r="Q161" i="39"/>
  <c r="S161" i="39"/>
  <c r="U161" i="39"/>
  <c r="U163" i="39" s="1"/>
  <c r="W161" i="39"/>
  <c r="Y161" i="39"/>
  <c r="AA161" i="39"/>
  <c r="AA163" i="39" s="1"/>
  <c r="AB161" i="39"/>
  <c r="AC161" i="39"/>
  <c r="AD161" i="39"/>
  <c r="AE161" i="39"/>
  <c r="AF161" i="39"/>
  <c r="AG161" i="39"/>
  <c r="AH161" i="39"/>
  <c r="E162" i="39"/>
  <c r="G162" i="39"/>
  <c r="H162" i="39"/>
  <c r="I162" i="39"/>
  <c r="J162" i="39"/>
  <c r="K162" i="39"/>
  <c r="L162" i="39"/>
  <c r="M162" i="39"/>
  <c r="O162" i="39"/>
  <c r="P162" i="39"/>
  <c r="Q162" i="39"/>
  <c r="R162" i="39"/>
  <c r="S162" i="39"/>
  <c r="S163" i="39" s="1"/>
  <c r="U162" i="39"/>
  <c r="W162" i="39"/>
  <c r="X162" i="39"/>
  <c r="Y162" i="39"/>
  <c r="Z162" i="39"/>
  <c r="AA162" i="39"/>
  <c r="AB162" i="39"/>
  <c r="AC162" i="39"/>
  <c r="AD162" i="39"/>
  <c r="AE162" i="39"/>
  <c r="AF162" i="39"/>
  <c r="AG162" i="39"/>
  <c r="AH162" i="39"/>
  <c r="G163" i="39"/>
  <c r="H163" i="39"/>
  <c r="I163" i="39"/>
  <c r="J163" i="39"/>
  <c r="L163" i="39"/>
  <c r="O163" i="39"/>
  <c r="P163" i="39"/>
  <c r="Q163" i="39"/>
  <c r="R163" i="39"/>
  <c r="W163" i="39"/>
  <c r="X163" i="39"/>
  <c r="Y163" i="39"/>
  <c r="Z163" i="39"/>
  <c r="AB163" i="39"/>
  <c r="AC163" i="39"/>
  <c r="AD163" i="39"/>
  <c r="AE163" i="39"/>
  <c r="AF163" i="39"/>
  <c r="AG163" i="39"/>
  <c r="AH163" i="39"/>
  <c r="D166" i="39"/>
  <c r="D177" i="39" s="1"/>
  <c r="D178" i="39" s="1"/>
  <c r="F166" i="39"/>
  <c r="F177" i="39" s="1"/>
  <c r="F178" i="39" s="1"/>
  <c r="H166" i="39"/>
  <c r="J166" i="39"/>
  <c r="L166" i="39"/>
  <c r="N166" i="39"/>
  <c r="N177" i="39" s="1"/>
  <c r="N178" i="39" s="1"/>
  <c r="P166" i="39"/>
  <c r="R166" i="39"/>
  <c r="T166" i="39"/>
  <c r="T177" i="39" s="1"/>
  <c r="T178" i="39" s="1"/>
  <c r="V166" i="39"/>
  <c r="X166" i="39"/>
  <c r="Z166" i="39"/>
  <c r="C168" i="39"/>
  <c r="E168" i="39"/>
  <c r="E177" i="39" s="1"/>
  <c r="G168" i="39"/>
  <c r="I168" i="39"/>
  <c r="K168" i="39"/>
  <c r="M168" i="39"/>
  <c r="M177" i="39" s="1"/>
  <c r="M178" i="39" s="1"/>
  <c r="O168" i="39"/>
  <c r="Q168" i="39"/>
  <c r="S168" i="39"/>
  <c r="U168" i="39"/>
  <c r="U177" i="39" s="1"/>
  <c r="W168" i="39"/>
  <c r="Y168" i="39"/>
  <c r="AA168" i="39"/>
  <c r="AB168" i="39"/>
  <c r="AC168" i="39"/>
  <c r="AD168" i="39"/>
  <c r="AE168" i="39"/>
  <c r="AF168" i="39"/>
  <c r="AG168" i="39"/>
  <c r="AH168" i="39"/>
  <c r="C169" i="39"/>
  <c r="E169" i="39"/>
  <c r="G169" i="39"/>
  <c r="I169" i="39"/>
  <c r="K169" i="39"/>
  <c r="M169" i="39"/>
  <c r="O169" i="39"/>
  <c r="Q169" i="39"/>
  <c r="S169" i="39"/>
  <c r="U169" i="39"/>
  <c r="W169" i="39"/>
  <c r="W177" i="39" s="1"/>
  <c r="Y169" i="39"/>
  <c r="AA169" i="39"/>
  <c r="AB169" i="39"/>
  <c r="AC169" i="39"/>
  <c r="AD169" i="39"/>
  <c r="AE169" i="39"/>
  <c r="AF169" i="39"/>
  <c r="AG169" i="39"/>
  <c r="AH169" i="39"/>
  <c r="C170" i="39"/>
  <c r="E170" i="39"/>
  <c r="G170" i="39"/>
  <c r="I170" i="39"/>
  <c r="K170" i="39"/>
  <c r="M170" i="39"/>
  <c r="O170" i="39"/>
  <c r="Q170" i="39"/>
  <c r="S170" i="39"/>
  <c r="U170" i="39"/>
  <c r="W170" i="39"/>
  <c r="Y170" i="39"/>
  <c r="AA170" i="39"/>
  <c r="AB170" i="39"/>
  <c r="AC170" i="39"/>
  <c r="AD170" i="39"/>
  <c r="AE170" i="39"/>
  <c r="AF170" i="39"/>
  <c r="AG170" i="39"/>
  <c r="AH170" i="39"/>
  <c r="C171" i="39"/>
  <c r="E171" i="39"/>
  <c r="G171" i="39"/>
  <c r="I171" i="39"/>
  <c r="K171" i="39"/>
  <c r="M171" i="39"/>
  <c r="O171" i="39"/>
  <c r="Q171" i="39"/>
  <c r="S171" i="39"/>
  <c r="U171" i="39"/>
  <c r="W171" i="39"/>
  <c r="Y171" i="39"/>
  <c r="AA171" i="39"/>
  <c r="AB171" i="39"/>
  <c r="AC171" i="39"/>
  <c r="AD171" i="39"/>
  <c r="AE171" i="39"/>
  <c r="AF171" i="39"/>
  <c r="AG171" i="39"/>
  <c r="AH171" i="39"/>
  <c r="C172" i="39"/>
  <c r="E172" i="39"/>
  <c r="G172" i="39"/>
  <c r="I172" i="39"/>
  <c r="K172" i="39"/>
  <c r="M172" i="39"/>
  <c r="O172" i="39"/>
  <c r="Q172" i="39"/>
  <c r="S172" i="39"/>
  <c r="U172" i="39"/>
  <c r="W172" i="39"/>
  <c r="Y172" i="39"/>
  <c r="AA172" i="39"/>
  <c r="AB172" i="39"/>
  <c r="AC172" i="39"/>
  <c r="AD172" i="39"/>
  <c r="AE172" i="39"/>
  <c r="AF172" i="39"/>
  <c r="AG172" i="39"/>
  <c r="AH172" i="39"/>
  <c r="C173" i="39"/>
  <c r="E173" i="39"/>
  <c r="G173" i="39"/>
  <c r="I173" i="39"/>
  <c r="K173" i="39"/>
  <c r="M173" i="39"/>
  <c r="O173" i="39"/>
  <c r="Q173" i="39"/>
  <c r="S173" i="39"/>
  <c r="U173" i="39"/>
  <c r="W173" i="39"/>
  <c r="Y173" i="39"/>
  <c r="AA173" i="39"/>
  <c r="AB173" i="39"/>
  <c r="AC173" i="39"/>
  <c r="AD173" i="39"/>
  <c r="AE173" i="39"/>
  <c r="AF173" i="39"/>
  <c r="AG173" i="39"/>
  <c r="AH173" i="39"/>
  <c r="C174" i="39"/>
  <c r="E174" i="39"/>
  <c r="G174" i="39"/>
  <c r="I174" i="39"/>
  <c r="K174" i="39"/>
  <c r="M174" i="39"/>
  <c r="O174" i="39"/>
  <c r="Q174" i="39"/>
  <c r="S174" i="39"/>
  <c r="U174" i="39"/>
  <c r="W174" i="39"/>
  <c r="Y174" i="39"/>
  <c r="AA174" i="39"/>
  <c r="AB174" i="39"/>
  <c r="AC174" i="39"/>
  <c r="AD174" i="39"/>
  <c r="AE174" i="39"/>
  <c r="AF174" i="39"/>
  <c r="AG174" i="39"/>
  <c r="AH174" i="39"/>
  <c r="C176" i="39"/>
  <c r="E176" i="39"/>
  <c r="G176" i="39"/>
  <c r="G178" i="39" s="1"/>
  <c r="I176" i="39"/>
  <c r="K176" i="39"/>
  <c r="M176" i="39"/>
  <c r="O176" i="39"/>
  <c r="O178" i="39" s="1"/>
  <c r="Q176" i="39"/>
  <c r="S176" i="39"/>
  <c r="U176" i="39"/>
  <c r="W176" i="39"/>
  <c r="W178" i="39" s="1"/>
  <c r="Y176" i="39"/>
  <c r="AA176" i="39"/>
  <c r="AA178" i="39" s="1"/>
  <c r="AB176" i="39"/>
  <c r="AB178" i="39" s="1"/>
  <c r="AC176" i="39"/>
  <c r="AD176" i="39"/>
  <c r="AE176" i="39"/>
  <c r="AE178" i="39" s="1"/>
  <c r="AF176" i="39"/>
  <c r="AG176" i="39"/>
  <c r="AH176" i="39"/>
  <c r="G177" i="39"/>
  <c r="H177" i="39"/>
  <c r="I177" i="39"/>
  <c r="J177" i="39"/>
  <c r="L177" i="39"/>
  <c r="L178" i="39" s="1"/>
  <c r="O177" i="39"/>
  <c r="P177" i="39"/>
  <c r="Q177" i="39"/>
  <c r="R177" i="39"/>
  <c r="X177" i="39"/>
  <c r="X178" i="39" s="1"/>
  <c r="Y177" i="39"/>
  <c r="Z177" i="39"/>
  <c r="AA177" i="39"/>
  <c r="AB177" i="39"/>
  <c r="AC177" i="39"/>
  <c r="AD177" i="39"/>
  <c r="AE177" i="39"/>
  <c r="AF177" i="39"/>
  <c r="AG177" i="39"/>
  <c r="AH177" i="39"/>
  <c r="H178" i="39"/>
  <c r="I178" i="39"/>
  <c r="J178" i="39"/>
  <c r="P178" i="39"/>
  <c r="Q178" i="39"/>
  <c r="R178" i="39"/>
  <c r="V178" i="39"/>
  <c r="Y178" i="39"/>
  <c r="Z178" i="39"/>
  <c r="AC178" i="39"/>
  <c r="AD178" i="39"/>
  <c r="AF178" i="39"/>
  <c r="AG178" i="39"/>
  <c r="AH178" i="39"/>
  <c r="D181" i="39"/>
  <c r="D192" i="39" s="1"/>
  <c r="D193" i="39" s="1"/>
  <c r="F181" i="39"/>
  <c r="H181" i="39"/>
  <c r="H192" i="39" s="1"/>
  <c r="H193" i="39" s="1"/>
  <c r="J181" i="39"/>
  <c r="L181" i="39"/>
  <c r="N181" i="39"/>
  <c r="N192" i="39" s="1"/>
  <c r="N193" i="39" s="1"/>
  <c r="P181" i="39"/>
  <c r="P192" i="39" s="1"/>
  <c r="P193" i="39" s="1"/>
  <c r="R181" i="39"/>
  <c r="T181" i="39"/>
  <c r="V181" i="39"/>
  <c r="X181" i="39"/>
  <c r="X192" i="39" s="1"/>
  <c r="X193" i="39" s="1"/>
  <c r="Z181" i="39"/>
  <c r="C183" i="39"/>
  <c r="E183" i="39"/>
  <c r="G183" i="39"/>
  <c r="G192" i="39" s="1"/>
  <c r="I183" i="39"/>
  <c r="K183" i="39"/>
  <c r="M183" i="39"/>
  <c r="O183" i="39"/>
  <c r="O192" i="39" s="1"/>
  <c r="Q183" i="39"/>
  <c r="S183" i="39"/>
  <c r="U183" i="39"/>
  <c r="U192" i="39" s="1"/>
  <c r="U193" i="39" s="1"/>
  <c r="AA183" i="39"/>
  <c r="AB183" i="39"/>
  <c r="AC183" i="39"/>
  <c r="AD183" i="39"/>
  <c r="AE183" i="39"/>
  <c r="AF183" i="39"/>
  <c r="AG183" i="39"/>
  <c r="AH183" i="39"/>
  <c r="C184" i="39"/>
  <c r="C192" i="39" s="1"/>
  <c r="C193" i="39" s="1"/>
  <c r="E184" i="39"/>
  <c r="G184" i="39"/>
  <c r="I184" i="39"/>
  <c r="K184" i="39"/>
  <c r="K192" i="39" s="1"/>
  <c r="K193" i="39" s="1"/>
  <c r="M184" i="39"/>
  <c r="O184" i="39"/>
  <c r="Q184" i="39"/>
  <c r="Q192" i="39" s="1"/>
  <c r="Q193" i="39" s="1"/>
  <c r="S184" i="39"/>
  <c r="S192" i="39" s="1"/>
  <c r="S193" i="39" s="1"/>
  <c r="U184" i="39"/>
  <c r="AA184" i="39"/>
  <c r="AB184" i="39"/>
  <c r="AC184" i="39"/>
  <c r="AD184" i="39"/>
  <c r="AE184" i="39"/>
  <c r="AF184" i="39"/>
  <c r="AG184" i="39"/>
  <c r="AH184" i="39"/>
  <c r="C185" i="39"/>
  <c r="E185" i="39"/>
  <c r="G185" i="39"/>
  <c r="I185" i="39"/>
  <c r="K185" i="39"/>
  <c r="M185" i="39"/>
  <c r="O185" i="39"/>
  <c r="Q185" i="39"/>
  <c r="S185" i="39"/>
  <c r="U185" i="39"/>
  <c r="AA185" i="39"/>
  <c r="AB185" i="39"/>
  <c r="AC185" i="39"/>
  <c r="AD185" i="39"/>
  <c r="AE185" i="39"/>
  <c r="AF185" i="39"/>
  <c r="AG185" i="39"/>
  <c r="AH185" i="39"/>
  <c r="C186" i="39"/>
  <c r="E186" i="39"/>
  <c r="G186" i="39"/>
  <c r="I186" i="39"/>
  <c r="I192" i="39" s="1"/>
  <c r="I193" i="39" s="1"/>
  <c r="K186" i="39"/>
  <c r="M186" i="39"/>
  <c r="O186" i="39"/>
  <c r="Q186" i="39"/>
  <c r="S186" i="39"/>
  <c r="U186" i="39"/>
  <c r="AA186" i="39"/>
  <c r="AB186" i="39"/>
  <c r="AC186" i="39"/>
  <c r="AD186" i="39"/>
  <c r="AE186" i="39"/>
  <c r="AF186" i="39"/>
  <c r="AG186" i="39"/>
  <c r="AH186" i="39"/>
  <c r="C187" i="39"/>
  <c r="E187" i="39"/>
  <c r="G187" i="39"/>
  <c r="I187" i="39"/>
  <c r="K187" i="39"/>
  <c r="M187" i="39"/>
  <c r="O187" i="39"/>
  <c r="Q187" i="39"/>
  <c r="S187" i="39"/>
  <c r="U187" i="39"/>
  <c r="W187" i="39"/>
  <c r="Y187" i="39"/>
  <c r="AA187" i="39"/>
  <c r="AB187" i="39"/>
  <c r="AC187" i="39"/>
  <c r="AD187" i="39"/>
  <c r="AE187" i="39"/>
  <c r="AF187" i="39"/>
  <c r="AG187" i="39"/>
  <c r="AH187" i="39"/>
  <c r="C188" i="39"/>
  <c r="E188" i="39"/>
  <c r="G188" i="39"/>
  <c r="I188" i="39"/>
  <c r="K188" i="39"/>
  <c r="M188" i="39"/>
  <c r="O188" i="39"/>
  <c r="Q188" i="39"/>
  <c r="S188" i="39"/>
  <c r="U188" i="39"/>
  <c r="W188" i="39"/>
  <c r="Y188" i="39"/>
  <c r="AA188" i="39"/>
  <c r="AB188" i="39"/>
  <c r="AC188" i="39"/>
  <c r="AD188" i="39"/>
  <c r="AE188" i="39"/>
  <c r="AF188" i="39"/>
  <c r="AG188" i="39"/>
  <c r="AH188" i="39"/>
  <c r="C189" i="39"/>
  <c r="E189" i="39"/>
  <c r="G189" i="39"/>
  <c r="I189" i="39"/>
  <c r="K189" i="39"/>
  <c r="M189" i="39"/>
  <c r="O189" i="39"/>
  <c r="Q189" i="39"/>
  <c r="S189" i="39"/>
  <c r="U189" i="39"/>
  <c r="W189" i="39"/>
  <c r="W192" i="39" s="1"/>
  <c r="Y189" i="39"/>
  <c r="AA189" i="39"/>
  <c r="AB189" i="39"/>
  <c r="AC189" i="39"/>
  <c r="AD189" i="39"/>
  <c r="AE189" i="39"/>
  <c r="AF189" i="39"/>
  <c r="AG189" i="39"/>
  <c r="AH189" i="39"/>
  <c r="C191" i="39"/>
  <c r="E191" i="39"/>
  <c r="G191" i="39"/>
  <c r="I191" i="39"/>
  <c r="K191" i="39"/>
  <c r="M191" i="39"/>
  <c r="O191" i="39"/>
  <c r="O193" i="39" s="1"/>
  <c r="Q191" i="39"/>
  <c r="S191" i="39"/>
  <c r="U191" i="39"/>
  <c r="W191" i="39"/>
  <c r="Y191" i="39"/>
  <c r="AA191" i="39"/>
  <c r="AB191" i="39"/>
  <c r="AC191" i="39"/>
  <c r="AD191" i="39"/>
  <c r="AE191" i="39"/>
  <c r="AF191" i="39"/>
  <c r="AG191" i="39"/>
  <c r="AH191" i="39"/>
  <c r="E192" i="39"/>
  <c r="F192" i="39"/>
  <c r="J192" i="39"/>
  <c r="L192" i="39"/>
  <c r="L193" i="39" s="1"/>
  <c r="M192" i="39"/>
  <c r="M193" i="39" s="1"/>
  <c r="R192" i="39"/>
  <c r="T192" i="39"/>
  <c r="V192" i="39"/>
  <c r="Y192" i="39"/>
  <c r="Z192" i="39"/>
  <c r="AA192" i="39"/>
  <c r="AB192" i="39"/>
  <c r="AC192" i="39"/>
  <c r="AD192" i="39"/>
  <c r="AE192" i="39"/>
  <c r="AF192" i="39"/>
  <c r="AG192" i="39"/>
  <c r="AH192" i="39"/>
  <c r="E193" i="39"/>
  <c r="F193" i="39"/>
  <c r="J193" i="39"/>
  <c r="R193" i="39"/>
  <c r="T193" i="39"/>
  <c r="V193" i="39"/>
  <c r="Y193" i="39"/>
  <c r="Z193" i="39"/>
  <c r="AA193" i="39"/>
  <c r="AB193" i="39"/>
  <c r="AC193" i="39"/>
  <c r="AD193" i="39"/>
  <c r="AE193" i="39"/>
  <c r="AF193" i="39"/>
  <c r="AG193" i="39"/>
  <c r="AH193" i="39"/>
  <c r="AA195" i="39"/>
  <c r="AB195" i="39"/>
  <c r="AB219" i="39" s="1"/>
  <c r="AC195" i="39"/>
  <c r="AC219" i="39" s="1"/>
  <c r="AC243" i="39" s="1"/>
  <c r="AD195" i="39"/>
  <c r="AE195" i="39"/>
  <c r="AF195" i="39"/>
  <c r="AG195" i="39"/>
  <c r="AH195" i="39"/>
  <c r="B196" i="39"/>
  <c r="B197" i="39"/>
  <c r="B198" i="39"/>
  <c r="B222" i="39" s="1"/>
  <c r="B246" i="39" s="1"/>
  <c r="B270" i="39" s="1"/>
  <c r="B294" i="39" s="1"/>
  <c r="B316" i="39" s="1"/>
  <c r="B338" i="39" s="1"/>
  <c r="B199" i="39"/>
  <c r="B200" i="39"/>
  <c r="B201" i="39"/>
  <c r="B202" i="39"/>
  <c r="B203" i="39"/>
  <c r="C204" i="39"/>
  <c r="D204" i="39"/>
  <c r="E204" i="39"/>
  <c r="E214" i="39" s="1"/>
  <c r="E216" i="39" s="1"/>
  <c r="F204" i="39"/>
  <c r="G204" i="39"/>
  <c r="H204" i="39"/>
  <c r="I204" i="39"/>
  <c r="I214" i="39" s="1"/>
  <c r="J204" i="39"/>
  <c r="K204" i="39"/>
  <c r="L204" i="39"/>
  <c r="M204" i="39"/>
  <c r="M214" i="39" s="1"/>
  <c r="M216" i="39" s="1"/>
  <c r="N204" i="39"/>
  <c r="O204" i="39"/>
  <c r="P204" i="39"/>
  <c r="Q204" i="39"/>
  <c r="Q214" i="39" s="1"/>
  <c r="R204" i="39"/>
  <c r="S204" i="39"/>
  <c r="T204" i="39"/>
  <c r="U204" i="39"/>
  <c r="U214" i="39" s="1"/>
  <c r="U216" i="39" s="1"/>
  <c r="V204" i="39"/>
  <c r="W204" i="39"/>
  <c r="X204" i="39"/>
  <c r="Y204" i="39"/>
  <c r="Y214" i="39" s="1"/>
  <c r="Z204" i="39"/>
  <c r="AA204" i="39"/>
  <c r="AB204" i="39"/>
  <c r="AB207" i="39" s="1"/>
  <c r="AC204" i="39"/>
  <c r="AD204" i="39"/>
  <c r="AD209" i="39" s="1"/>
  <c r="AE204" i="39"/>
  <c r="AF204" i="39"/>
  <c r="AG204" i="39"/>
  <c r="AG206" i="39" s="1"/>
  <c r="AH204" i="39"/>
  <c r="AH208" i="39" s="1"/>
  <c r="AJ204" i="39"/>
  <c r="AK204" i="39"/>
  <c r="AK206" i="39" s="1"/>
  <c r="AL204" i="39"/>
  <c r="AM204" i="39"/>
  <c r="AM209" i="39" s="1"/>
  <c r="AN204" i="39"/>
  <c r="AP204" i="39"/>
  <c r="AP207" i="39" s="1"/>
  <c r="BB207" i="39" s="1"/>
  <c r="AQ204" i="39"/>
  <c r="AQ208" i="39" s="1"/>
  <c r="AR204" i="39"/>
  <c r="AS204" i="39"/>
  <c r="AS206" i="39" s="1"/>
  <c r="AT204" i="39"/>
  <c r="AT207" i="39" s="1"/>
  <c r="AU204" i="39"/>
  <c r="AU209" i="39" s="1"/>
  <c r="AV204" i="39"/>
  <c r="AW204" i="39"/>
  <c r="AX204" i="39"/>
  <c r="AX206" i="39" s="1"/>
  <c r="AY204" i="39"/>
  <c r="AY208" i="39" s="1"/>
  <c r="AZ204" i="39"/>
  <c r="BA204" i="39"/>
  <c r="BA206" i="39" s="1"/>
  <c r="C206" i="39"/>
  <c r="AA206" i="39"/>
  <c r="AD206" i="39"/>
  <c r="AE206" i="39"/>
  <c r="AF206" i="39"/>
  <c r="AH206" i="39"/>
  <c r="AJ206" i="39"/>
  <c r="AM206" i="39"/>
  <c r="AN206" i="39"/>
  <c r="AP206" i="39"/>
  <c r="BB206" i="39" s="1"/>
  <c r="AQ206" i="39"/>
  <c r="AR206" i="39"/>
  <c r="AT206" i="39"/>
  <c r="AU206" i="39"/>
  <c r="AV206" i="39"/>
  <c r="AW206" i="39"/>
  <c r="AY206" i="39"/>
  <c r="AZ206" i="39"/>
  <c r="C207" i="39"/>
  <c r="AA207" i="39"/>
  <c r="AD207" i="39"/>
  <c r="AE207" i="39"/>
  <c r="AF207" i="39"/>
  <c r="AG207" i="39"/>
  <c r="AH207" i="39"/>
  <c r="AJ207" i="39"/>
  <c r="AM207" i="39"/>
  <c r="AN207" i="39"/>
  <c r="AQ207" i="39"/>
  <c r="AR207" i="39"/>
  <c r="AS207" i="39"/>
  <c r="AU207" i="39"/>
  <c r="AV207" i="39"/>
  <c r="AW207" i="39"/>
  <c r="AY207" i="39"/>
  <c r="AZ207" i="39"/>
  <c r="BA207" i="39"/>
  <c r="A208" i="39"/>
  <c r="C208" i="39" s="1"/>
  <c r="AB208" i="39"/>
  <c r="AE208" i="39"/>
  <c r="AF208" i="39"/>
  <c r="AK208" i="39"/>
  <c r="AN208" i="39"/>
  <c r="AR208" i="39"/>
  <c r="AS208" i="39"/>
  <c r="AV208" i="39"/>
  <c r="AW208" i="39"/>
  <c r="AZ208" i="39"/>
  <c r="BA208" i="39"/>
  <c r="C209" i="39"/>
  <c r="AA209" i="39"/>
  <c r="AE209" i="39"/>
  <c r="AF209" i="39"/>
  <c r="AJ209" i="39"/>
  <c r="AN209" i="39"/>
  <c r="AR209" i="39"/>
  <c r="AS209" i="39"/>
  <c r="AV209" i="39"/>
  <c r="AW209" i="39"/>
  <c r="AZ209" i="39"/>
  <c r="BA209" i="39"/>
  <c r="C210" i="39"/>
  <c r="AA210" i="39"/>
  <c r="AB210" i="39"/>
  <c r="AE210" i="39"/>
  <c r="AF210" i="39"/>
  <c r="AJ210" i="39"/>
  <c r="AK210" i="39"/>
  <c r="AN210" i="39"/>
  <c r="AR210" i="39"/>
  <c r="AS210" i="39"/>
  <c r="AV210" i="39"/>
  <c r="AW210" i="39"/>
  <c r="AZ210" i="39"/>
  <c r="BA210" i="39"/>
  <c r="C211" i="39"/>
  <c r="AA211" i="39"/>
  <c r="AB211" i="39"/>
  <c r="AD211" i="39"/>
  <c r="AE211" i="39"/>
  <c r="AF211" i="39"/>
  <c r="AH211" i="39"/>
  <c r="AJ211" i="39"/>
  <c r="AM211" i="39"/>
  <c r="AN211" i="39"/>
  <c r="AR211" i="39"/>
  <c r="AS211" i="39"/>
  <c r="AV211" i="39"/>
  <c r="AW211" i="39"/>
  <c r="AZ211" i="39"/>
  <c r="BA211" i="39"/>
  <c r="C212" i="39"/>
  <c r="AA212" i="39"/>
  <c r="AD212" i="39"/>
  <c r="AE212" i="39"/>
  <c r="AF212" i="39"/>
  <c r="AH212" i="39"/>
  <c r="AJ212" i="39"/>
  <c r="AK212" i="39"/>
  <c r="AM212" i="39"/>
  <c r="AN212" i="39"/>
  <c r="AQ212" i="39"/>
  <c r="AR212" i="39"/>
  <c r="AS212" i="39"/>
  <c r="AU212" i="39"/>
  <c r="AV212" i="39"/>
  <c r="AW212" i="39"/>
  <c r="AY212" i="39"/>
  <c r="AZ212" i="39"/>
  <c r="BA212" i="39"/>
  <c r="C214" i="39"/>
  <c r="G214" i="39"/>
  <c r="G216" i="39" s="1"/>
  <c r="K214" i="39"/>
  <c r="K216" i="39" s="1"/>
  <c r="O214" i="39"/>
  <c r="O216" i="39" s="1"/>
  <c r="S214" i="39"/>
  <c r="W214" i="39"/>
  <c r="W216" i="39" s="1"/>
  <c r="AA214" i="39"/>
  <c r="AD214" i="39"/>
  <c r="AE214" i="39"/>
  <c r="AF214" i="39"/>
  <c r="AH214" i="39"/>
  <c r="AJ214" i="39"/>
  <c r="AK214" i="39"/>
  <c r="AM214" i="39"/>
  <c r="AN214" i="39"/>
  <c r="AQ214" i="39"/>
  <c r="AR214" i="39"/>
  <c r="AS214" i="39"/>
  <c r="AU214" i="39"/>
  <c r="AV214" i="39"/>
  <c r="AW214" i="39"/>
  <c r="AY214" i="39"/>
  <c r="AZ214" i="39"/>
  <c r="BA214" i="39"/>
  <c r="C215" i="39"/>
  <c r="AA215" i="39"/>
  <c r="AB215" i="39"/>
  <c r="AD215" i="39"/>
  <c r="AE215" i="39"/>
  <c r="AE216" i="39" s="1"/>
  <c r="AF215" i="39"/>
  <c r="AH215" i="39"/>
  <c r="AJ215" i="39"/>
  <c r="AK215" i="39"/>
  <c r="AM215" i="39"/>
  <c r="AN215" i="39"/>
  <c r="AQ215" i="39"/>
  <c r="AR215" i="39"/>
  <c r="AS215" i="39"/>
  <c r="AU215" i="39"/>
  <c r="AV215" i="39"/>
  <c r="AW215" i="39"/>
  <c r="AY215" i="39"/>
  <c r="AZ215" i="39"/>
  <c r="BA215" i="39"/>
  <c r="BI215" i="39"/>
  <c r="C216" i="39"/>
  <c r="D216" i="39"/>
  <c r="F216" i="39"/>
  <c r="H216" i="39"/>
  <c r="I216" i="39"/>
  <c r="J216" i="39"/>
  <c r="L216" i="39"/>
  <c r="N216" i="39"/>
  <c r="P216" i="39"/>
  <c r="Q216" i="39"/>
  <c r="R216" i="39"/>
  <c r="S216" i="39"/>
  <c r="T216" i="39"/>
  <c r="V216" i="39"/>
  <c r="X216" i="39"/>
  <c r="Y216" i="39"/>
  <c r="Z216" i="39"/>
  <c r="AA216" i="39"/>
  <c r="AD216" i="39"/>
  <c r="AF216" i="39"/>
  <c r="AH216" i="39"/>
  <c r="AJ216" i="39"/>
  <c r="AK216" i="39"/>
  <c r="AM216" i="39"/>
  <c r="AN216" i="39"/>
  <c r="AQ216" i="39"/>
  <c r="AR216" i="39"/>
  <c r="AS216" i="39"/>
  <c r="AU216" i="39"/>
  <c r="AV216" i="39"/>
  <c r="AW216" i="39"/>
  <c r="AY216" i="39"/>
  <c r="AZ216" i="39"/>
  <c r="BA216" i="39"/>
  <c r="AA219" i="39"/>
  <c r="AD219" i="39"/>
  <c r="AE219" i="39"/>
  <c r="AF219" i="39"/>
  <c r="AG219" i="39"/>
  <c r="AG243" i="39" s="1"/>
  <c r="AH219" i="39"/>
  <c r="B220" i="39"/>
  <c r="AO220" i="39"/>
  <c r="BB220" i="39"/>
  <c r="B221" i="39"/>
  <c r="AO221" i="39"/>
  <c r="BB221" i="39"/>
  <c r="AO222" i="39"/>
  <c r="BB222" i="39"/>
  <c r="B223" i="39"/>
  <c r="AO223" i="39"/>
  <c r="BB223" i="39"/>
  <c r="B224" i="39"/>
  <c r="AO224" i="39"/>
  <c r="BB224" i="39"/>
  <c r="B225" i="39"/>
  <c r="AO225" i="39"/>
  <c r="BB225" i="39"/>
  <c r="B226" i="39"/>
  <c r="B227" i="39"/>
  <c r="C228" i="39"/>
  <c r="E228" i="39"/>
  <c r="E230" i="39" s="1"/>
  <c r="G228" i="39"/>
  <c r="I228" i="39"/>
  <c r="K228" i="39"/>
  <c r="M228" i="39"/>
  <c r="O228" i="39"/>
  <c r="O236" i="39" s="1"/>
  <c r="Q228" i="39"/>
  <c r="Q231" i="39" s="1"/>
  <c r="S228" i="39"/>
  <c r="U228" i="39"/>
  <c r="U230" i="39" s="1"/>
  <c r="W228" i="39"/>
  <c r="Y228" i="39"/>
  <c r="AA228" i="39"/>
  <c r="AB228" i="39"/>
  <c r="AC228" i="39"/>
  <c r="AC236" i="39" s="1"/>
  <c r="AD228" i="39"/>
  <c r="AE228" i="39"/>
  <c r="AF228" i="39"/>
  <c r="AF230" i="39" s="1"/>
  <c r="AG228" i="39"/>
  <c r="AH228" i="39"/>
  <c r="AJ228" i="39"/>
  <c r="AK228" i="39"/>
  <c r="AK235" i="39" s="1"/>
  <c r="AL228" i="39"/>
  <c r="AL236" i="39" s="1"/>
  <c r="AM228" i="39"/>
  <c r="AN228" i="39"/>
  <c r="AP228" i="39"/>
  <c r="AP234" i="39" s="1"/>
  <c r="BB234" i="39" s="1"/>
  <c r="AQ228" i="39"/>
  <c r="AR228" i="39"/>
  <c r="AS228" i="39"/>
  <c r="AS235" i="39" s="1"/>
  <c r="AT228" i="39"/>
  <c r="AT236" i="39" s="1"/>
  <c r="AU228" i="39"/>
  <c r="AV228" i="39"/>
  <c r="AW228" i="39"/>
  <c r="AW230" i="39" s="1"/>
  <c r="AX228" i="39"/>
  <c r="AX234" i="39" s="1"/>
  <c r="AY228" i="39"/>
  <c r="AZ228" i="39"/>
  <c r="BA228" i="39"/>
  <c r="BA235" i="39" s="1"/>
  <c r="C230" i="39"/>
  <c r="K230" i="39"/>
  <c r="M230" i="39"/>
  <c r="O230" i="39"/>
  <c r="S230" i="39"/>
  <c r="Y230" i="39"/>
  <c r="AA230" i="39"/>
  <c r="AB230" i="39"/>
  <c r="AC230" i="39"/>
  <c r="AE230" i="39"/>
  <c r="AJ230" i="39"/>
  <c r="AL230" i="39"/>
  <c r="AN230" i="39"/>
  <c r="AQ230" i="39"/>
  <c r="AR230" i="39"/>
  <c r="AT230" i="39"/>
  <c r="AV230" i="39"/>
  <c r="AZ230" i="39"/>
  <c r="C231" i="39"/>
  <c r="E231" i="39"/>
  <c r="K231" i="39"/>
  <c r="M231" i="39"/>
  <c r="S231" i="39"/>
  <c r="U231" i="39"/>
  <c r="AA231" i="39"/>
  <c r="AB231" i="39"/>
  <c r="AE231" i="39"/>
  <c r="AF231" i="39"/>
  <c r="AJ231" i="39"/>
  <c r="AK231" i="39"/>
  <c r="AN231" i="39"/>
  <c r="AR231" i="39"/>
  <c r="AS231" i="39"/>
  <c r="AV231" i="39"/>
  <c r="AW231" i="39"/>
  <c r="AZ231" i="39"/>
  <c r="BA231" i="39"/>
  <c r="A232" i="39"/>
  <c r="C232" i="39"/>
  <c r="E232" i="39"/>
  <c r="K232" i="39"/>
  <c r="M232" i="39"/>
  <c r="S232" i="39"/>
  <c r="U232" i="39"/>
  <c r="AA232" i="39"/>
  <c r="AB232" i="39"/>
  <c r="AE232" i="39"/>
  <c r="AF232" i="39"/>
  <c r="AJ232" i="39"/>
  <c r="AK232" i="39"/>
  <c r="AN232" i="39"/>
  <c r="AR232" i="39"/>
  <c r="AS232" i="39"/>
  <c r="AV232" i="39"/>
  <c r="AW232" i="39"/>
  <c r="AZ232" i="39"/>
  <c r="BA232" i="39"/>
  <c r="C233" i="39"/>
  <c r="E233" i="39"/>
  <c r="K233" i="39"/>
  <c r="M233" i="39"/>
  <c r="O233" i="39"/>
  <c r="S233" i="39"/>
  <c r="U233" i="39"/>
  <c r="W233" i="39"/>
  <c r="AA233" i="39"/>
  <c r="AB233" i="39"/>
  <c r="AC233" i="39"/>
  <c r="AE233" i="39"/>
  <c r="AF233" i="39"/>
  <c r="AG233" i="39"/>
  <c r="AJ233" i="39"/>
  <c r="AK233" i="39"/>
  <c r="AL233" i="39"/>
  <c r="AN233" i="39"/>
  <c r="AR233" i="39"/>
  <c r="AS233" i="39"/>
  <c r="AT233" i="39"/>
  <c r="AV233" i="39"/>
  <c r="AW233" i="39"/>
  <c r="AZ233" i="39"/>
  <c r="BA233" i="39"/>
  <c r="C234" i="39"/>
  <c r="E234" i="39"/>
  <c r="G234" i="39"/>
  <c r="I234" i="39"/>
  <c r="K234" i="39"/>
  <c r="M234" i="39"/>
  <c r="O234" i="39"/>
  <c r="Q234" i="39"/>
  <c r="S234" i="39"/>
  <c r="U234" i="39"/>
  <c r="W234" i="39"/>
  <c r="Y234" i="39"/>
  <c r="AA234" i="39"/>
  <c r="AB234" i="39"/>
  <c r="AC234" i="39"/>
  <c r="AD234" i="39"/>
  <c r="AE234" i="39"/>
  <c r="AF234" i="39"/>
  <c r="AG234" i="39"/>
  <c r="AH234" i="39"/>
  <c r="AO234" i="39" s="1"/>
  <c r="AJ234" i="39"/>
  <c r="AK234" i="39"/>
  <c r="AL234" i="39"/>
  <c r="AM234" i="39"/>
  <c r="AN234" i="39"/>
  <c r="AQ234" i="39"/>
  <c r="AR234" i="39"/>
  <c r="AS234" i="39"/>
  <c r="AT234" i="39"/>
  <c r="AU234" i="39"/>
  <c r="AV234" i="39"/>
  <c r="AW234" i="39"/>
  <c r="AY234" i="39"/>
  <c r="AZ234" i="39"/>
  <c r="BA234" i="39"/>
  <c r="C235" i="39"/>
  <c r="G235" i="39"/>
  <c r="I235" i="39"/>
  <c r="K235" i="39"/>
  <c r="M235" i="39"/>
  <c r="O235" i="39"/>
  <c r="Q235" i="39"/>
  <c r="S235" i="39"/>
  <c r="Y235" i="39"/>
  <c r="AA235" i="39"/>
  <c r="AB235" i="39"/>
  <c r="AC235" i="39"/>
  <c r="AD235" i="39"/>
  <c r="AE235" i="39"/>
  <c r="AH235" i="39"/>
  <c r="AJ235" i="39"/>
  <c r="AL235" i="39"/>
  <c r="AM235" i="39"/>
  <c r="AN235" i="39"/>
  <c r="AR235" i="39"/>
  <c r="AT235" i="39"/>
  <c r="AU235" i="39"/>
  <c r="AV235" i="39"/>
  <c r="AY235" i="39"/>
  <c r="AZ235" i="39"/>
  <c r="C236" i="39"/>
  <c r="E236" i="39"/>
  <c r="I236" i="39"/>
  <c r="K236" i="39"/>
  <c r="M236" i="39"/>
  <c r="Q236" i="39"/>
  <c r="S236" i="39"/>
  <c r="U236" i="39"/>
  <c r="AA236" i="39"/>
  <c r="AB236" i="39"/>
  <c r="AD236" i="39"/>
  <c r="AE236" i="39"/>
  <c r="AF236" i="39"/>
  <c r="AJ236" i="39"/>
  <c r="AK236" i="39"/>
  <c r="AM236" i="39"/>
  <c r="AN236" i="39"/>
  <c r="AQ236" i="39"/>
  <c r="AR236" i="39"/>
  <c r="AS236" i="39"/>
  <c r="AU236" i="39"/>
  <c r="AV236" i="39"/>
  <c r="AW236" i="39"/>
  <c r="AY236" i="39"/>
  <c r="AZ236" i="39"/>
  <c r="BA236" i="39"/>
  <c r="C238" i="39"/>
  <c r="C240" i="39" s="1"/>
  <c r="C388" i="39" s="1"/>
  <c r="E238" i="39"/>
  <c r="K238" i="39"/>
  <c r="M238" i="39"/>
  <c r="M240" i="39" s="1"/>
  <c r="O238" i="39"/>
  <c r="O240" i="39" s="1"/>
  <c r="S238" i="39"/>
  <c r="S240" i="39" s="1"/>
  <c r="U238" i="39"/>
  <c r="W238" i="39"/>
  <c r="AA238" i="39"/>
  <c r="AB238" i="39"/>
  <c r="AC238" i="39"/>
  <c r="AE238" i="39"/>
  <c r="AE240" i="39" s="1"/>
  <c r="AF238" i="39"/>
  <c r="AF240" i="39" s="1"/>
  <c r="AG238" i="39"/>
  <c r="AG240" i="39" s="1"/>
  <c r="AJ238" i="39"/>
  <c r="AJ240" i="39" s="1"/>
  <c r="AK238" i="39"/>
  <c r="AK240" i="39" s="1"/>
  <c r="AL238" i="39"/>
  <c r="AN238" i="39"/>
  <c r="AR238" i="39"/>
  <c r="AR240" i="39" s="1"/>
  <c r="AS238" i="39"/>
  <c r="AS240" i="39" s="1"/>
  <c r="AT238" i="39"/>
  <c r="AT240" i="39" s="1"/>
  <c r="AV238" i="39"/>
  <c r="AV240" i="39" s="1"/>
  <c r="AW238" i="39"/>
  <c r="AW240" i="39" s="1"/>
  <c r="AZ238" i="39"/>
  <c r="BA238" i="39"/>
  <c r="BA240" i="39" s="1"/>
  <c r="C239" i="39"/>
  <c r="E239" i="39"/>
  <c r="G239" i="39"/>
  <c r="I239" i="39"/>
  <c r="K239" i="39"/>
  <c r="M239" i="39"/>
  <c r="O239" i="39"/>
  <c r="Q239" i="39"/>
  <c r="S239" i="39"/>
  <c r="U239" i="39"/>
  <c r="W239" i="39"/>
  <c r="Y239" i="39"/>
  <c r="AA239" i="39"/>
  <c r="AB239" i="39"/>
  <c r="AC239" i="39"/>
  <c r="AD239" i="39"/>
  <c r="AO239" i="39" s="1"/>
  <c r="AE239" i="39"/>
  <c r="AF239" i="39"/>
  <c r="AG239" i="39"/>
  <c r="AH239" i="39"/>
  <c r="AJ239" i="39"/>
  <c r="AK239" i="39"/>
  <c r="AL239" i="39"/>
  <c r="AM239" i="39"/>
  <c r="AN239" i="39"/>
  <c r="AP239" i="39"/>
  <c r="BB239" i="39" s="1"/>
  <c r="AR239" i="39"/>
  <c r="AS239" i="39"/>
  <c r="AT239" i="39"/>
  <c r="AU239" i="39"/>
  <c r="AV239" i="39"/>
  <c r="AW239" i="39"/>
  <c r="AX239" i="39"/>
  <c r="AZ239" i="39"/>
  <c r="BA239" i="39"/>
  <c r="K240" i="39"/>
  <c r="AA240" i="39"/>
  <c r="AC240" i="39"/>
  <c r="AL240" i="39"/>
  <c r="AN240" i="39"/>
  <c r="AZ240" i="39"/>
  <c r="AA243" i="39"/>
  <c r="AB243" i="39"/>
  <c r="AD243" i="39"/>
  <c r="AE243" i="39"/>
  <c r="AF243" i="39"/>
  <c r="AH243" i="39"/>
  <c r="B244" i="39"/>
  <c r="B268" i="39" s="1"/>
  <c r="B292" i="39" s="1"/>
  <c r="B314" i="39" s="1"/>
  <c r="B336" i="39" s="1"/>
  <c r="B358" i="39" s="1"/>
  <c r="B245" i="39"/>
  <c r="B247" i="39"/>
  <c r="B248" i="39"/>
  <c r="B249" i="39"/>
  <c r="B250" i="39"/>
  <c r="B251" i="39"/>
  <c r="C252" i="39"/>
  <c r="C255" i="39" s="1"/>
  <c r="E252" i="39"/>
  <c r="G252" i="39"/>
  <c r="I252" i="39"/>
  <c r="K252" i="39"/>
  <c r="K255" i="39" s="1"/>
  <c r="M252" i="39"/>
  <c r="M256" i="39" s="1"/>
  <c r="O252" i="39"/>
  <c r="Q252" i="39"/>
  <c r="S252" i="39"/>
  <c r="S255" i="39" s="1"/>
  <c r="U252" i="39"/>
  <c r="W252" i="39"/>
  <c r="Y252" i="39"/>
  <c r="Y254" i="39" s="1"/>
  <c r="AA252" i="39"/>
  <c r="AA255" i="39" s="1"/>
  <c r="AB252" i="39"/>
  <c r="AB256" i="39" s="1"/>
  <c r="AC252" i="39"/>
  <c r="AD252" i="39"/>
  <c r="AD254" i="39" s="1"/>
  <c r="AE252" i="39"/>
  <c r="AE255" i="39" s="1"/>
  <c r="AF252" i="39"/>
  <c r="AG252" i="39"/>
  <c r="AH252" i="39"/>
  <c r="AH254" i="39" s="1"/>
  <c r="AJ252" i="39"/>
  <c r="AJ255" i="39" s="1"/>
  <c r="AK252" i="39"/>
  <c r="AK256" i="39" s="1"/>
  <c r="AL252" i="39"/>
  <c r="AM252" i="39"/>
  <c r="AM254" i="39" s="1"/>
  <c r="AN252" i="39"/>
  <c r="AN255" i="39" s="1"/>
  <c r="AO252" i="39"/>
  <c r="AP252" i="39"/>
  <c r="AQ252" i="39"/>
  <c r="AR252" i="39"/>
  <c r="AR255" i="39" s="1"/>
  <c r="AS252" i="39"/>
  <c r="AS256" i="39" s="1"/>
  <c r="AT252" i="39"/>
  <c r="AU252" i="39"/>
  <c r="AU254" i="39" s="1"/>
  <c r="AV252" i="39"/>
  <c r="AV255" i="39" s="1"/>
  <c r="AW252" i="39"/>
  <c r="AX252" i="39"/>
  <c r="AY252" i="39"/>
  <c r="AY254" i="39" s="1"/>
  <c r="AZ252" i="39"/>
  <c r="AZ255" i="39" s="1"/>
  <c r="BA252" i="39"/>
  <c r="BA256" i="39" s="1"/>
  <c r="C254" i="39"/>
  <c r="G254" i="39"/>
  <c r="K254" i="39"/>
  <c r="O254" i="39"/>
  <c r="W254" i="39"/>
  <c r="AA254" i="39"/>
  <c r="AB254" i="39"/>
  <c r="AC254" i="39"/>
  <c r="AG254" i="39"/>
  <c r="AJ254" i="39"/>
  <c r="AK254" i="39"/>
  <c r="AL254" i="39"/>
  <c r="AN254" i="39"/>
  <c r="AP254" i="39"/>
  <c r="AT254" i="39"/>
  <c r="AV254" i="39"/>
  <c r="AX254" i="39"/>
  <c r="AZ254" i="39"/>
  <c r="G255" i="39"/>
  <c r="I255" i="39"/>
  <c r="M255" i="39"/>
  <c r="O255" i="39"/>
  <c r="Q255" i="39"/>
  <c r="W255" i="39"/>
  <c r="Y255" i="39"/>
  <c r="AB255" i="39"/>
  <c r="AC255" i="39"/>
  <c r="AD255" i="39"/>
  <c r="AG255" i="39"/>
  <c r="AH255" i="39"/>
  <c r="AL255" i="39"/>
  <c r="AP255" i="39"/>
  <c r="AQ255" i="39"/>
  <c r="AS255" i="39"/>
  <c r="AT255" i="39"/>
  <c r="AX255" i="39"/>
  <c r="AY255" i="39"/>
  <c r="BA255" i="39"/>
  <c r="C256" i="39"/>
  <c r="G256" i="39"/>
  <c r="I256" i="39"/>
  <c r="K256" i="39"/>
  <c r="O256" i="39"/>
  <c r="Q256" i="39"/>
  <c r="S256" i="39"/>
  <c r="W256" i="39"/>
  <c r="Y256" i="39"/>
  <c r="AA256" i="39"/>
  <c r="AC256" i="39"/>
  <c r="AE256" i="39"/>
  <c r="AG256" i="39"/>
  <c r="AH256" i="39"/>
  <c r="AJ256" i="39"/>
  <c r="AL256" i="39"/>
  <c r="AP256" i="39"/>
  <c r="AQ256" i="39"/>
  <c r="AR256" i="39"/>
  <c r="AT256" i="39"/>
  <c r="AU256" i="39"/>
  <c r="AV256" i="39"/>
  <c r="AX256" i="39"/>
  <c r="AY256" i="39"/>
  <c r="AZ256" i="39"/>
  <c r="C257" i="39"/>
  <c r="G257" i="39"/>
  <c r="I257" i="39"/>
  <c r="K257" i="39"/>
  <c r="O257" i="39"/>
  <c r="Q257" i="39"/>
  <c r="S257" i="39"/>
  <c r="W257" i="39"/>
  <c r="Y257" i="39"/>
  <c r="AA257" i="39"/>
  <c r="AC257" i="39"/>
  <c r="AD257" i="39"/>
  <c r="AE257" i="39"/>
  <c r="AG257" i="39"/>
  <c r="AH257" i="39"/>
  <c r="AJ257" i="39"/>
  <c r="AL257" i="39"/>
  <c r="AM257" i="39"/>
  <c r="AN257" i="39"/>
  <c r="AP257" i="39"/>
  <c r="AQ257" i="39"/>
  <c r="AR257" i="39"/>
  <c r="AT257" i="39"/>
  <c r="AU257" i="39"/>
  <c r="AV257" i="39"/>
  <c r="AX257" i="39"/>
  <c r="AY257" i="39"/>
  <c r="AZ257" i="39"/>
  <c r="C258" i="39"/>
  <c r="G258" i="39"/>
  <c r="K258" i="39"/>
  <c r="M258" i="39"/>
  <c r="O258" i="39"/>
  <c r="W258" i="39"/>
  <c r="Y258" i="39"/>
  <c r="AA258" i="39"/>
  <c r="AB258" i="39"/>
  <c r="AC258" i="39"/>
  <c r="AD258" i="39"/>
  <c r="AG258" i="39"/>
  <c r="AH258" i="39"/>
  <c r="AJ258" i="39"/>
  <c r="AK258" i="39"/>
  <c r="AL258" i="39"/>
  <c r="AM258" i="39"/>
  <c r="AP258" i="39"/>
  <c r="AQ258" i="39"/>
  <c r="AR258" i="39"/>
  <c r="AS258" i="39"/>
  <c r="AT258" i="39"/>
  <c r="AU258" i="39"/>
  <c r="AX258" i="39"/>
  <c r="AY258" i="39"/>
  <c r="AZ258" i="39"/>
  <c r="BA258" i="39"/>
  <c r="C259" i="39"/>
  <c r="G259" i="39"/>
  <c r="I259" i="39"/>
  <c r="K259" i="39"/>
  <c r="M259" i="39"/>
  <c r="O259" i="39"/>
  <c r="Q259" i="39"/>
  <c r="S259" i="39"/>
  <c r="W259" i="39"/>
  <c r="Y259" i="39"/>
  <c r="AA259" i="39"/>
  <c r="AB259" i="39"/>
  <c r="AC259" i="39"/>
  <c r="AD259" i="39"/>
  <c r="AE259" i="39"/>
  <c r="AG259" i="39"/>
  <c r="AH259" i="39"/>
  <c r="AJ259" i="39"/>
  <c r="AK259" i="39"/>
  <c r="AL259" i="39"/>
  <c r="AM259" i="39"/>
  <c r="AN259" i="39"/>
  <c r="AP259" i="39"/>
  <c r="AQ259" i="39"/>
  <c r="AR259" i="39"/>
  <c r="AS259" i="39"/>
  <c r="AT259" i="39"/>
  <c r="AU259" i="39"/>
  <c r="AV259" i="39"/>
  <c r="AX259" i="39"/>
  <c r="AY259" i="39"/>
  <c r="AZ259" i="39"/>
  <c r="BA259" i="39"/>
  <c r="C260" i="39"/>
  <c r="E260" i="39"/>
  <c r="G260" i="39"/>
  <c r="I260" i="39"/>
  <c r="K260" i="39"/>
  <c r="M260" i="39"/>
  <c r="O260" i="39"/>
  <c r="Q260" i="39"/>
  <c r="S260" i="39"/>
  <c r="U260" i="39"/>
  <c r="W260" i="39"/>
  <c r="Y260" i="39"/>
  <c r="AA260" i="39"/>
  <c r="AB260" i="39"/>
  <c r="AC260" i="39"/>
  <c r="AD260" i="39"/>
  <c r="AE260" i="39"/>
  <c r="AF260" i="39"/>
  <c r="AG260" i="39"/>
  <c r="AH260" i="39"/>
  <c r="AJ260" i="39"/>
  <c r="AK260" i="39"/>
  <c r="AL260" i="39"/>
  <c r="AM260" i="39"/>
  <c r="AN260" i="39"/>
  <c r="AO260" i="39"/>
  <c r="AP260" i="39"/>
  <c r="AQ260" i="39"/>
  <c r="AR260" i="39"/>
  <c r="AS260" i="39"/>
  <c r="AT260" i="39"/>
  <c r="AU260" i="39"/>
  <c r="AV260" i="39"/>
  <c r="AW260" i="39"/>
  <c r="BB260" i="39" s="1"/>
  <c r="AX260" i="39"/>
  <c r="AY260" i="39"/>
  <c r="AZ260" i="39"/>
  <c r="BA260" i="39"/>
  <c r="C262" i="39"/>
  <c r="C264" i="39" s="1"/>
  <c r="G262" i="39"/>
  <c r="G264" i="39" s="1"/>
  <c r="I262" i="39"/>
  <c r="K262" i="39"/>
  <c r="M262" i="39"/>
  <c r="O262" i="39"/>
  <c r="O264" i="39" s="1"/>
  <c r="Q262" i="39"/>
  <c r="Q264" i="39" s="1"/>
  <c r="S262" i="39"/>
  <c r="S264" i="39" s="1"/>
  <c r="W262" i="39"/>
  <c r="W264" i="39" s="1"/>
  <c r="Y262" i="39"/>
  <c r="AA262" i="39"/>
  <c r="AB262" i="39"/>
  <c r="AC262" i="39"/>
  <c r="AC264" i="39" s="1"/>
  <c r="AD262" i="39"/>
  <c r="AD264" i="39" s="1"/>
  <c r="AE262" i="39"/>
  <c r="AE264" i="39" s="1"/>
  <c r="AG262" i="39"/>
  <c r="AG264" i="39" s="1"/>
  <c r="AH262" i="39"/>
  <c r="AJ262" i="39"/>
  <c r="AK262" i="39"/>
  <c r="AL262" i="39"/>
  <c r="AL264" i="39" s="1"/>
  <c r="AL391" i="39" s="1"/>
  <c r="AM262" i="39"/>
  <c r="AM264" i="39" s="1"/>
  <c r="AN262" i="39"/>
  <c r="AN264" i="39" s="1"/>
  <c r="AP262" i="39"/>
  <c r="AQ262" i="39"/>
  <c r="AR262" i="39"/>
  <c r="AS262" i="39"/>
  <c r="AT262" i="39"/>
  <c r="AT264" i="39" s="1"/>
  <c r="AU262" i="39"/>
  <c r="AU264" i="39" s="1"/>
  <c r="AU391" i="39" s="1"/>
  <c r="AV262" i="39"/>
  <c r="AV264" i="39" s="1"/>
  <c r="AX262" i="39"/>
  <c r="AX264" i="39" s="1"/>
  <c r="AY262" i="39"/>
  <c r="AZ262" i="39"/>
  <c r="BA262" i="39"/>
  <c r="C263" i="39"/>
  <c r="G263" i="39"/>
  <c r="I263" i="39"/>
  <c r="I264" i="39" s="1"/>
  <c r="I391" i="39" s="1"/>
  <c r="K263" i="39"/>
  <c r="M263" i="39"/>
  <c r="O263" i="39"/>
  <c r="Q263" i="39"/>
  <c r="S263" i="39"/>
  <c r="W263" i="39"/>
  <c r="Y263" i="39"/>
  <c r="Y264" i="39" s="1"/>
  <c r="AA263" i="39"/>
  <c r="AB263" i="39"/>
  <c r="AC263" i="39"/>
  <c r="AD263" i="39"/>
  <c r="AE263" i="39"/>
  <c r="AG263" i="39"/>
  <c r="AH263" i="39"/>
  <c r="AH264" i="39" s="1"/>
  <c r="AJ263" i="39"/>
  <c r="AK263" i="39"/>
  <c r="AL263" i="39"/>
  <c r="AM263" i="39"/>
  <c r="AN263" i="39"/>
  <c r="AP263" i="39"/>
  <c r="AQ263" i="39"/>
  <c r="AQ264" i="39" s="1"/>
  <c r="AR263" i="39"/>
  <c r="AS263" i="39"/>
  <c r="AT263" i="39"/>
  <c r="AU263" i="39"/>
  <c r="AV263" i="39"/>
  <c r="AX263" i="39"/>
  <c r="AY263" i="39"/>
  <c r="AY264" i="39" s="1"/>
  <c r="AZ263" i="39"/>
  <c r="BA263" i="39"/>
  <c r="K264" i="39"/>
  <c r="M264" i="39"/>
  <c r="AA264" i="39"/>
  <c r="AB264" i="39"/>
  <c r="AJ264" i="39"/>
  <c r="AK264" i="39"/>
  <c r="AR264" i="39"/>
  <c r="AS264" i="39"/>
  <c r="AZ264" i="39"/>
  <c r="BA264" i="39"/>
  <c r="AA267" i="39"/>
  <c r="AB267" i="39"/>
  <c r="AC267" i="39"/>
  <c r="AD267" i="39"/>
  <c r="AE267" i="39"/>
  <c r="AF267" i="39"/>
  <c r="AF291" i="39" s="1"/>
  <c r="AF313" i="39" s="1"/>
  <c r="AG267" i="39"/>
  <c r="AH267" i="39"/>
  <c r="AO268" i="39"/>
  <c r="BB268" i="39"/>
  <c r="B269" i="39"/>
  <c r="AO269" i="39"/>
  <c r="BB269" i="39"/>
  <c r="AO270" i="39"/>
  <c r="BB270" i="39"/>
  <c r="B271" i="39"/>
  <c r="AO271" i="39"/>
  <c r="BB271" i="39"/>
  <c r="B272" i="39"/>
  <c r="AO272" i="39"/>
  <c r="BB272" i="39"/>
  <c r="B273" i="39"/>
  <c r="AO273" i="39"/>
  <c r="BB273" i="39"/>
  <c r="B274" i="39"/>
  <c r="B275" i="39"/>
  <c r="C276" i="39"/>
  <c r="E276" i="39"/>
  <c r="G276" i="39"/>
  <c r="I276" i="39"/>
  <c r="K276" i="39"/>
  <c r="M276" i="39"/>
  <c r="M278" i="39" s="1"/>
  <c r="O276" i="39"/>
  <c r="O279" i="39" s="1"/>
  <c r="Q276" i="39"/>
  <c r="S276" i="39"/>
  <c r="U276" i="39"/>
  <c r="W276" i="39"/>
  <c r="Y276" i="39"/>
  <c r="AA276" i="39"/>
  <c r="AB276" i="39"/>
  <c r="AB278" i="39" s="1"/>
  <c r="AC276" i="39"/>
  <c r="AC279" i="39" s="1"/>
  <c r="AD276" i="39"/>
  <c r="AE276" i="39"/>
  <c r="AF276" i="39"/>
  <c r="AG276" i="39"/>
  <c r="AH276" i="39"/>
  <c r="AJ276" i="39"/>
  <c r="AK276" i="39"/>
  <c r="AK278" i="39" s="1"/>
  <c r="AL276" i="39"/>
  <c r="AL279" i="39" s="1"/>
  <c r="AM276" i="39"/>
  <c r="AN276" i="39"/>
  <c r="AO276" i="39"/>
  <c r="AP276" i="39"/>
  <c r="AQ276" i="39"/>
  <c r="AR276" i="39"/>
  <c r="AS276" i="39"/>
  <c r="AS278" i="39" s="1"/>
  <c r="AT276" i="39"/>
  <c r="AT279" i="39" s="1"/>
  <c r="AU276" i="39"/>
  <c r="AV276" i="39"/>
  <c r="AW276" i="39"/>
  <c r="AX276" i="39"/>
  <c r="AY276" i="39"/>
  <c r="AZ276" i="39"/>
  <c r="BA276" i="39"/>
  <c r="BA278" i="39" s="1"/>
  <c r="BB276" i="39"/>
  <c r="C278" i="39"/>
  <c r="G278" i="39"/>
  <c r="I278" i="39"/>
  <c r="K278" i="39"/>
  <c r="Q278" i="39"/>
  <c r="S278" i="39"/>
  <c r="W278" i="39"/>
  <c r="Y278" i="39"/>
  <c r="AA278" i="39"/>
  <c r="AD278" i="39"/>
  <c r="AE278" i="39"/>
  <c r="AG278" i="39"/>
  <c r="AH278" i="39"/>
  <c r="AJ278" i="39"/>
  <c r="AM278" i="39"/>
  <c r="AN278" i="39"/>
  <c r="AP278" i="39"/>
  <c r="BB278" i="39" s="1"/>
  <c r="AQ278" i="39"/>
  <c r="AR278" i="39"/>
  <c r="AU278" i="39"/>
  <c r="AV278" i="39"/>
  <c r="AX278" i="39"/>
  <c r="AY278" i="39"/>
  <c r="AZ278" i="39"/>
  <c r="C279" i="39"/>
  <c r="G279" i="39"/>
  <c r="I279" i="39"/>
  <c r="K279" i="39"/>
  <c r="M279" i="39"/>
  <c r="Q279" i="39"/>
  <c r="S279" i="39"/>
  <c r="W279" i="39"/>
  <c r="Y279" i="39"/>
  <c r="AA279" i="39"/>
  <c r="AB279" i="39"/>
  <c r="AD279" i="39"/>
  <c r="AE279" i="39"/>
  <c r="AG279" i="39"/>
  <c r="AH279" i="39"/>
  <c r="AJ279" i="39"/>
  <c r="AK279" i="39"/>
  <c r="AM279" i="39"/>
  <c r="AN279" i="39"/>
  <c r="AP279" i="39"/>
  <c r="BB279" i="39" s="1"/>
  <c r="AQ279" i="39"/>
  <c r="AR279" i="39"/>
  <c r="AS279" i="39"/>
  <c r="AU279" i="39"/>
  <c r="AV279" i="39"/>
  <c r="AX279" i="39"/>
  <c r="AY279" i="39"/>
  <c r="AZ279" i="39"/>
  <c r="BA279" i="39"/>
  <c r="A280" i="39"/>
  <c r="K280" i="39" s="1"/>
  <c r="C280" i="39"/>
  <c r="I280" i="39"/>
  <c r="Q280" i="39"/>
  <c r="S280" i="39"/>
  <c r="W280" i="39"/>
  <c r="Y280" i="39"/>
  <c r="AD280" i="39"/>
  <c r="AE280" i="39"/>
  <c r="AG280" i="39"/>
  <c r="AH280" i="39"/>
  <c r="AM280" i="39"/>
  <c r="AN280" i="39"/>
  <c r="AP280" i="39"/>
  <c r="BB280" i="39" s="1"/>
  <c r="AQ280" i="39"/>
  <c r="AU280" i="39"/>
  <c r="AV280" i="39"/>
  <c r="AX280" i="39"/>
  <c r="AY280" i="39"/>
  <c r="C281" i="39"/>
  <c r="G281" i="39"/>
  <c r="I281" i="39"/>
  <c r="K281" i="39"/>
  <c r="M281" i="39"/>
  <c r="O281" i="39"/>
  <c r="Q281" i="39"/>
  <c r="S281" i="39"/>
  <c r="W281" i="39"/>
  <c r="Y281" i="39"/>
  <c r="AA281" i="39"/>
  <c r="AB281" i="39"/>
  <c r="AC281" i="39"/>
  <c r="AD281" i="39"/>
  <c r="AE281" i="39"/>
  <c r="AG281" i="39"/>
  <c r="AH281" i="39"/>
  <c r="AJ281" i="39"/>
  <c r="AK281" i="39"/>
  <c r="AL281" i="39"/>
  <c r="AM281" i="39"/>
  <c r="AN281" i="39"/>
  <c r="AP281" i="39"/>
  <c r="BB281" i="39" s="1"/>
  <c r="AQ281" i="39"/>
  <c r="AR281" i="39"/>
  <c r="AS281" i="39"/>
  <c r="AT281" i="39"/>
  <c r="AU281" i="39"/>
  <c r="AV281" i="39"/>
  <c r="AX281" i="39"/>
  <c r="AY281" i="39"/>
  <c r="AZ281" i="39"/>
  <c r="BA281" i="39"/>
  <c r="C282" i="39"/>
  <c r="G282" i="39"/>
  <c r="I282" i="39"/>
  <c r="K282" i="39"/>
  <c r="M282" i="39"/>
  <c r="O282" i="39"/>
  <c r="Q282" i="39"/>
  <c r="S282" i="39"/>
  <c r="W282" i="39"/>
  <c r="Y282" i="39"/>
  <c r="AA282" i="39"/>
  <c r="AB282" i="39"/>
  <c r="AC282" i="39"/>
  <c r="AD282" i="39"/>
  <c r="AE282" i="39"/>
  <c r="AG282" i="39"/>
  <c r="AH282" i="39"/>
  <c r="AJ282" i="39"/>
  <c r="AK282" i="39"/>
  <c r="AL282" i="39"/>
  <c r="AM282" i="39"/>
  <c r="AN282" i="39"/>
  <c r="AP282" i="39"/>
  <c r="BB282" i="39" s="1"/>
  <c r="AQ282" i="39"/>
  <c r="AR282" i="39"/>
  <c r="AS282" i="39"/>
  <c r="AT282" i="39"/>
  <c r="AU282" i="39"/>
  <c r="AV282" i="39"/>
  <c r="AX282" i="39"/>
  <c r="AY282" i="39"/>
  <c r="AZ282" i="39"/>
  <c r="BA282" i="39"/>
  <c r="C283" i="39"/>
  <c r="G283" i="39"/>
  <c r="I283" i="39"/>
  <c r="K283" i="39"/>
  <c r="M283" i="39"/>
  <c r="O283" i="39"/>
  <c r="Q283" i="39"/>
  <c r="S283" i="39"/>
  <c r="W283" i="39"/>
  <c r="Y283" i="39"/>
  <c r="AA283" i="39"/>
  <c r="AB283" i="39"/>
  <c r="AC283" i="39"/>
  <c r="AD283" i="39"/>
  <c r="AE283" i="39"/>
  <c r="AG283" i="39"/>
  <c r="AH283" i="39"/>
  <c r="AJ283" i="39"/>
  <c r="AK283" i="39"/>
  <c r="AL283" i="39"/>
  <c r="AM283" i="39"/>
  <c r="AN283" i="39"/>
  <c r="AP283" i="39"/>
  <c r="AQ283" i="39"/>
  <c r="AR283" i="39"/>
  <c r="AS283" i="39"/>
  <c r="AT283" i="39"/>
  <c r="AU283" i="39"/>
  <c r="AV283" i="39"/>
  <c r="AX283" i="39"/>
  <c r="AY283" i="39"/>
  <c r="AZ283" i="39"/>
  <c r="BA283" i="39"/>
  <c r="BB283" i="39"/>
  <c r="C284" i="39"/>
  <c r="G284" i="39"/>
  <c r="I284" i="39"/>
  <c r="K284" i="39"/>
  <c r="M284" i="39"/>
  <c r="O284" i="39"/>
  <c r="Q284" i="39"/>
  <c r="S284" i="39"/>
  <c r="W284" i="39"/>
  <c r="Y284" i="39"/>
  <c r="AA284" i="39"/>
  <c r="AB284" i="39"/>
  <c r="AC284" i="39"/>
  <c r="AD284" i="39"/>
  <c r="AE284" i="39"/>
  <c r="AG284" i="39"/>
  <c r="AH284" i="39"/>
  <c r="AJ284" i="39"/>
  <c r="AK284" i="39"/>
  <c r="AL284" i="39"/>
  <c r="AM284" i="39"/>
  <c r="AN284" i="39"/>
  <c r="AP284" i="39"/>
  <c r="AQ284" i="39"/>
  <c r="AR284" i="39"/>
  <c r="AS284" i="39"/>
  <c r="AT284" i="39"/>
  <c r="AU284" i="39"/>
  <c r="AV284" i="39"/>
  <c r="AX284" i="39"/>
  <c r="AY284" i="39"/>
  <c r="AZ284" i="39"/>
  <c r="BA284" i="39"/>
  <c r="BB284" i="39"/>
  <c r="C286" i="39"/>
  <c r="C288" i="39" s="1"/>
  <c r="C394" i="39" s="1"/>
  <c r="G286" i="39"/>
  <c r="I286" i="39"/>
  <c r="K286" i="39"/>
  <c r="M286" i="39"/>
  <c r="O286" i="39"/>
  <c r="Q286" i="39"/>
  <c r="S286" i="39"/>
  <c r="S288" i="39" s="1"/>
  <c r="W286" i="39"/>
  <c r="Y286" i="39"/>
  <c r="AA286" i="39"/>
  <c r="AB286" i="39"/>
  <c r="AC286" i="39"/>
  <c r="AD286" i="39"/>
  <c r="AE286" i="39"/>
  <c r="AE288" i="39" s="1"/>
  <c r="AG286" i="39"/>
  <c r="AH286" i="39"/>
  <c r="AJ286" i="39"/>
  <c r="AK286" i="39"/>
  <c r="AL286" i="39"/>
  <c r="AM286" i="39"/>
  <c r="AN286" i="39"/>
  <c r="AN288" i="39" s="1"/>
  <c r="AP286" i="39"/>
  <c r="AQ286" i="39"/>
  <c r="AR286" i="39"/>
  <c r="AS286" i="39"/>
  <c r="AT286" i="39"/>
  <c r="AU286" i="39"/>
  <c r="AV286" i="39"/>
  <c r="AV288" i="39" s="1"/>
  <c r="AX286" i="39"/>
  <c r="AY286" i="39"/>
  <c r="AZ286" i="39"/>
  <c r="BA286" i="39"/>
  <c r="BB286" i="39"/>
  <c r="C287" i="39"/>
  <c r="E287" i="39"/>
  <c r="G287" i="39"/>
  <c r="I287" i="39"/>
  <c r="K287" i="39"/>
  <c r="M287" i="39"/>
  <c r="O287" i="39"/>
  <c r="Q287" i="39"/>
  <c r="S287" i="39"/>
  <c r="U287" i="39"/>
  <c r="W287" i="39"/>
  <c r="Y287" i="39"/>
  <c r="AA287" i="39"/>
  <c r="AB287" i="39"/>
  <c r="AC287" i="39"/>
  <c r="AC288" i="39" s="1"/>
  <c r="AC394" i="39" s="1"/>
  <c r="AD287" i="39"/>
  <c r="AE287" i="39"/>
  <c r="AF287" i="39"/>
  <c r="AG287" i="39"/>
  <c r="AH287" i="39"/>
  <c r="AJ287" i="39"/>
  <c r="AK287" i="39"/>
  <c r="AL287" i="39"/>
  <c r="AM287" i="39"/>
  <c r="AN287" i="39"/>
  <c r="AO287" i="39"/>
  <c r="AP287" i="39"/>
  <c r="AQ287" i="39"/>
  <c r="AR287" i="39"/>
  <c r="AS287" i="39"/>
  <c r="AT287" i="39"/>
  <c r="AU287" i="39"/>
  <c r="AV287" i="39"/>
  <c r="AW287" i="39"/>
  <c r="AX287" i="39"/>
  <c r="AY287" i="39"/>
  <c r="AZ287" i="39"/>
  <c r="BA287" i="39"/>
  <c r="BB287" i="39"/>
  <c r="G288" i="39"/>
  <c r="I288" i="39"/>
  <c r="K288" i="39"/>
  <c r="M288" i="39"/>
  <c r="O288" i="39"/>
  <c r="Q288" i="39"/>
  <c r="W288" i="39"/>
  <c r="Y288" i="39"/>
  <c r="AA288" i="39"/>
  <c r="AB288" i="39"/>
  <c r="AD288" i="39"/>
  <c r="AG288" i="39"/>
  <c r="AH288" i="39"/>
  <c r="AJ288" i="39"/>
  <c r="AK288" i="39"/>
  <c r="AL288" i="39"/>
  <c r="AM288" i="39"/>
  <c r="AP288" i="39"/>
  <c r="BB288" i="39" s="1"/>
  <c r="AQ288" i="39"/>
  <c r="AR288" i="39"/>
  <c r="AS288" i="39"/>
  <c r="AT288" i="39"/>
  <c r="AU288" i="39"/>
  <c r="AX288" i="39"/>
  <c r="AX394" i="39" s="1"/>
  <c r="AY288" i="39"/>
  <c r="AZ288" i="39"/>
  <c r="BA288" i="39"/>
  <c r="AA291" i="39"/>
  <c r="AB291" i="39"/>
  <c r="AC291" i="39"/>
  <c r="AD291" i="39"/>
  <c r="AD313" i="39" s="1"/>
  <c r="AD335" i="39" s="1"/>
  <c r="AD357" i="39" s="1"/>
  <c r="AE291" i="39"/>
  <c r="AG291" i="39"/>
  <c r="AH291" i="39"/>
  <c r="AO292" i="39"/>
  <c r="BB292" i="39"/>
  <c r="B293" i="39"/>
  <c r="B315" i="39" s="1"/>
  <c r="B337" i="39" s="1"/>
  <c r="B359" i="39" s="1"/>
  <c r="AO293" i="39"/>
  <c r="BB293" i="39"/>
  <c r="AO294" i="39"/>
  <c r="BB294" i="39"/>
  <c r="B295" i="39"/>
  <c r="AO295" i="39"/>
  <c r="BB295" i="39"/>
  <c r="B296" i="39"/>
  <c r="AO296" i="39"/>
  <c r="BB296" i="39"/>
  <c r="B297" i="39"/>
  <c r="AO297" i="39"/>
  <c r="BB297" i="39"/>
  <c r="C298" i="39"/>
  <c r="E298" i="39"/>
  <c r="G298" i="39"/>
  <c r="I298" i="39"/>
  <c r="K298" i="39"/>
  <c r="M298" i="39"/>
  <c r="O298" i="39"/>
  <c r="O300" i="39" s="1"/>
  <c r="Q298" i="39"/>
  <c r="S298" i="39"/>
  <c r="U298" i="39"/>
  <c r="W298" i="39"/>
  <c r="Y298" i="39"/>
  <c r="AA298" i="39"/>
  <c r="AB298" i="39"/>
  <c r="AC298" i="39"/>
  <c r="AC300" i="39" s="1"/>
  <c r="AD298" i="39"/>
  <c r="AE298" i="39"/>
  <c r="AF298" i="39"/>
  <c r="AG298" i="39"/>
  <c r="AH298" i="39"/>
  <c r="AJ298" i="39"/>
  <c r="AK298" i="39"/>
  <c r="AL298" i="39"/>
  <c r="AL300" i="39" s="1"/>
  <c r="AM298" i="39"/>
  <c r="AN298" i="39"/>
  <c r="AO298" i="39"/>
  <c r="AP298" i="39"/>
  <c r="AQ298" i="39"/>
  <c r="AR298" i="39"/>
  <c r="AS298" i="39"/>
  <c r="AT298" i="39"/>
  <c r="AT300" i="39" s="1"/>
  <c r="AU298" i="39"/>
  <c r="AV298" i="39"/>
  <c r="AW298" i="39"/>
  <c r="AX298" i="39"/>
  <c r="AY298" i="39"/>
  <c r="AZ298" i="39"/>
  <c r="BA298" i="39"/>
  <c r="BB298" i="39"/>
  <c r="C300" i="39"/>
  <c r="G300" i="39"/>
  <c r="I300" i="39"/>
  <c r="K300" i="39"/>
  <c r="M300" i="39"/>
  <c r="Q300" i="39"/>
  <c r="S300" i="39"/>
  <c r="W300" i="39"/>
  <c r="Y300" i="39"/>
  <c r="AA300" i="39"/>
  <c r="AB300" i="39"/>
  <c r="AD300" i="39"/>
  <c r="AE300" i="39"/>
  <c r="AG300" i="39"/>
  <c r="AH300" i="39"/>
  <c r="AJ300" i="39"/>
  <c r="AK300" i="39"/>
  <c r="AM300" i="39"/>
  <c r="AN300" i="39"/>
  <c r="AP300" i="39"/>
  <c r="BB300" i="39" s="1"/>
  <c r="AQ300" i="39"/>
  <c r="AR300" i="39"/>
  <c r="AS300" i="39"/>
  <c r="AU300" i="39"/>
  <c r="AV300" i="39"/>
  <c r="AX300" i="39"/>
  <c r="AY300" i="39"/>
  <c r="AZ300" i="39"/>
  <c r="BA300" i="39"/>
  <c r="C301" i="39"/>
  <c r="G301" i="39"/>
  <c r="I301" i="39"/>
  <c r="K301" i="39"/>
  <c r="M301" i="39"/>
  <c r="O301" i="39"/>
  <c r="Q301" i="39"/>
  <c r="S301" i="39"/>
  <c r="W301" i="39"/>
  <c r="Y301" i="39"/>
  <c r="AA301" i="39"/>
  <c r="AB301" i="39"/>
  <c r="AC301" i="39"/>
  <c r="AD301" i="39"/>
  <c r="AE301" i="39"/>
  <c r="AG301" i="39"/>
  <c r="AH301" i="39"/>
  <c r="AJ301" i="39"/>
  <c r="AK301" i="39"/>
  <c r="AL301" i="39"/>
  <c r="AM301" i="39"/>
  <c r="AN301" i="39"/>
  <c r="AP301" i="39"/>
  <c r="AQ301" i="39"/>
  <c r="AR301" i="39"/>
  <c r="AS301" i="39"/>
  <c r="AT301" i="39"/>
  <c r="AU301" i="39"/>
  <c r="AV301" i="39"/>
  <c r="AX301" i="39"/>
  <c r="AY301" i="39"/>
  <c r="AZ301" i="39"/>
  <c r="BA301" i="39"/>
  <c r="BB301" i="39"/>
  <c r="C302" i="39"/>
  <c r="G302" i="39"/>
  <c r="I302" i="39"/>
  <c r="K302" i="39"/>
  <c r="M302" i="39"/>
  <c r="O302" i="39"/>
  <c r="Q302" i="39"/>
  <c r="S302" i="39"/>
  <c r="W302" i="39"/>
  <c r="Y302" i="39"/>
  <c r="AA302" i="39"/>
  <c r="AB302" i="39"/>
  <c r="AC302" i="39"/>
  <c r="AD302" i="39"/>
  <c r="AE302" i="39"/>
  <c r="AG302" i="39"/>
  <c r="AH302" i="39"/>
  <c r="AJ302" i="39"/>
  <c r="AK302" i="39"/>
  <c r="AL302" i="39"/>
  <c r="AM302" i="39"/>
  <c r="AN302" i="39"/>
  <c r="AP302" i="39"/>
  <c r="AQ302" i="39"/>
  <c r="AR302" i="39"/>
  <c r="AS302" i="39"/>
  <c r="AT302" i="39"/>
  <c r="AU302" i="39"/>
  <c r="AV302" i="39"/>
  <c r="AX302" i="39"/>
  <c r="AY302" i="39"/>
  <c r="AZ302" i="39"/>
  <c r="BA302" i="39"/>
  <c r="BB302" i="39"/>
  <c r="C303" i="39"/>
  <c r="G303" i="39"/>
  <c r="I303" i="39"/>
  <c r="K303" i="39"/>
  <c r="M303" i="39"/>
  <c r="O303" i="39"/>
  <c r="Q303" i="39"/>
  <c r="S303" i="39"/>
  <c r="W303" i="39"/>
  <c r="Y303" i="39"/>
  <c r="AA303" i="39"/>
  <c r="AB303" i="39"/>
  <c r="AC303" i="39"/>
  <c r="AD303" i="39"/>
  <c r="AE303" i="39"/>
  <c r="AG303" i="39"/>
  <c r="AH303" i="39"/>
  <c r="AJ303" i="39"/>
  <c r="AK303" i="39"/>
  <c r="AL303" i="39"/>
  <c r="AM303" i="39"/>
  <c r="AN303" i="39"/>
  <c r="AP303" i="39"/>
  <c r="BB303" i="39" s="1"/>
  <c r="AQ303" i="39"/>
  <c r="AR303" i="39"/>
  <c r="AS303" i="39"/>
  <c r="AT303" i="39"/>
  <c r="AU303" i="39"/>
  <c r="AV303" i="39"/>
  <c r="AX303" i="39"/>
  <c r="AY303" i="39"/>
  <c r="AZ303" i="39"/>
  <c r="BA303" i="39"/>
  <c r="C304" i="39"/>
  <c r="G304" i="39"/>
  <c r="I304" i="39"/>
  <c r="K304" i="39"/>
  <c r="M304" i="39"/>
  <c r="O304" i="39"/>
  <c r="Q304" i="39"/>
  <c r="S304" i="39"/>
  <c r="W304" i="39"/>
  <c r="Y304" i="39"/>
  <c r="AA304" i="39"/>
  <c r="AB304" i="39"/>
  <c r="AC304" i="39"/>
  <c r="AD304" i="39"/>
  <c r="AE304" i="39"/>
  <c r="AG304" i="39"/>
  <c r="AH304" i="39"/>
  <c r="AJ304" i="39"/>
  <c r="AK304" i="39"/>
  <c r="AL304" i="39"/>
  <c r="AM304" i="39"/>
  <c r="AN304" i="39"/>
  <c r="AP304" i="39"/>
  <c r="AQ304" i="39"/>
  <c r="AR304" i="39"/>
  <c r="AS304" i="39"/>
  <c r="AT304" i="39"/>
  <c r="AU304" i="39"/>
  <c r="AV304" i="39"/>
  <c r="AX304" i="39"/>
  <c r="AY304" i="39"/>
  <c r="AZ304" i="39"/>
  <c r="BA304" i="39"/>
  <c r="BB304" i="39"/>
  <c r="C305" i="39"/>
  <c r="G305" i="39"/>
  <c r="I305" i="39"/>
  <c r="K305" i="39"/>
  <c r="M305" i="39"/>
  <c r="O305" i="39"/>
  <c r="Q305" i="39"/>
  <c r="S305" i="39"/>
  <c r="W305" i="39"/>
  <c r="Y305" i="39"/>
  <c r="AA305" i="39"/>
  <c r="AB305" i="39"/>
  <c r="AC305" i="39"/>
  <c r="AD305" i="39"/>
  <c r="AE305" i="39"/>
  <c r="AG305" i="39"/>
  <c r="AH305" i="39"/>
  <c r="AJ305" i="39"/>
  <c r="AK305" i="39"/>
  <c r="AL305" i="39"/>
  <c r="AM305" i="39"/>
  <c r="AN305" i="39"/>
  <c r="AP305" i="39"/>
  <c r="BB305" i="39" s="1"/>
  <c r="AQ305" i="39"/>
  <c r="AR305" i="39"/>
  <c r="AS305" i="39"/>
  <c r="AT305" i="39"/>
  <c r="AU305" i="39"/>
  <c r="AV305" i="39"/>
  <c r="AX305" i="39"/>
  <c r="AY305" i="39"/>
  <c r="AZ305" i="39"/>
  <c r="BA305" i="39"/>
  <c r="C306" i="39"/>
  <c r="G306" i="39"/>
  <c r="I306" i="39"/>
  <c r="K306" i="39"/>
  <c r="M306" i="39"/>
  <c r="O306" i="39"/>
  <c r="Q306" i="39"/>
  <c r="S306" i="39"/>
  <c r="W306" i="39"/>
  <c r="Y306" i="39"/>
  <c r="AA306" i="39"/>
  <c r="AB306" i="39"/>
  <c r="AC306" i="39"/>
  <c r="AD306" i="39"/>
  <c r="AE306" i="39"/>
  <c r="AG306" i="39"/>
  <c r="AH306" i="39"/>
  <c r="AJ306" i="39"/>
  <c r="AK306" i="39"/>
  <c r="AL306" i="39"/>
  <c r="AM306" i="39"/>
  <c r="AN306" i="39"/>
  <c r="AP306" i="39"/>
  <c r="AQ306" i="39"/>
  <c r="AR306" i="39"/>
  <c r="AS306" i="39"/>
  <c r="AT306" i="39"/>
  <c r="AU306" i="39"/>
  <c r="AV306" i="39"/>
  <c r="AX306" i="39"/>
  <c r="AY306" i="39"/>
  <c r="AZ306" i="39"/>
  <c r="BA306" i="39"/>
  <c r="BB306" i="39"/>
  <c r="C308" i="39"/>
  <c r="E308" i="39"/>
  <c r="G308" i="39"/>
  <c r="I308" i="39"/>
  <c r="K308" i="39"/>
  <c r="M308" i="39"/>
  <c r="M310" i="39" s="1"/>
  <c r="O308" i="39"/>
  <c r="O310" i="39" s="1"/>
  <c r="Q308" i="39"/>
  <c r="S308" i="39"/>
  <c r="U308" i="39"/>
  <c r="W308" i="39"/>
  <c r="Y308" i="39"/>
  <c r="AA308" i="39"/>
  <c r="AB308" i="39"/>
  <c r="AB310" i="39" s="1"/>
  <c r="AC308" i="39"/>
  <c r="AD308" i="39"/>
  <c r="AE308" i="39"/>
  <c r="AF308" i="39"/>
  <c r="AG308" i="39"/>
  <c r="AH308" i="39"/>
  <c r="AJ308" i="39"/>
  <c r="AK308" i="39"/>
  <c r="AK310" i="39" s="1"/>
  <c r="AL308" i="39"/>
  <c r="AM308" i="39"/>
  <c r="AN308" i="39"/>
  <c r="AO308" i="39"/>
  <c r="AP308" i="39"/>
  <c r="AQ308" i="39"/>
  <c r="AR308" i="39"/>
  <c r="AS308" i="39"/>
  <c r="AS310" i="39" s="1"/>
  <c r="AT308" i="39"/>
  <c r="AU308" i="39"/>
  <c r="AV308" i="39"/>
  <c r="AW308" i="39"/>
  <c r="AW310" i="39" s="1"/>
  <c r="AX308" i="39"/>
  <c r="AY308" i="39"/>
  <c r="AZ308" i="39"/>
  <c r="BA308" i="39"/>
  <c r="BA310" i="39" s="1"/>
  <c r="BB308" i="39"/>
  <c r="C309" i="39"/>
  <c r="G309" i="39"/>
  <c r="G310" i="39" s="1"/>
  <c r="I309" i="39"/>
  <c r="K309" i="39"/>
  <c r="M309" i="39"/>
  <c r="O309" i="39"/>
  <c r="Q309" i="39"/>
  <c r="S309" i="39"/>
  <c r="W309" i="39"/>
  <c r="W310" i="39" s="1"/>
  <c r="W397" i="39" s="1"/>
  <c r="Y309" i="39"/>
  <c r="AA309" i="39"/>
  <c r="AB309" i="39"/>
  <c r="AC309" i="39"/>
  <c r="AC310" i="39" s="1"/>
  <c r="AD309" i="39"/>
  <c r="AE309" i="39"/>
  <c r="AG309" i="39"/>
  <c r="AG310" i="39" s="1"/>
  <c r="AH309" i="39"/>
  <c r="AJ309" i="39"/>
  <c r="AK309" i="39"/>
  <c r="AL309" i="39"/>
  <c r="AM309" i="39"/>
  <c r="AN309" i="39"/>
  <c r="AP309" i="39"/>
  <c r="BB309" i="39" s="1"/>
  <c r="AQ309" i="39"/>
  <c r="AR309" i="39"/>
  <c r="AS309" i="39"/>
  <c r="AT309" i="39"/>
  <c r="AU309" i="39"/>
  <c r="AV309" i="39"/>
  <c r="AX309" i="39"/>
  <c r="AY309" i="39"/>
  <c r="AZ309" i="39"/>
  <c r="BA309" i="39"/>
  <c r="C310" i="39"/>
  <c r="I310" i="39"/>
  <c r="K310" i="39"/>
  <c r="Q310" i="39"/>
  <c r="S310" i="39"/>
  <c r="Y310" i="39"/>
  <c r="AA310" i="39"/>
  <c r="AD310" i="39"/>
  <c r="AE310" i="39"/>
  <c r="AH310" i="39"/>
  <c r="AJ310" i="39"/>
  <c r="AL310" i="39"/>
  <c r="AM310" i="39"/>
  <c r="AN310" i="39"/>
  <c r="AP310" i="39"/>
  <c r="AQ310" i="39"/>
  <c r="AQ397" i="39" s="1"/>
  <c r="AR310" i="39"/>
  <c r="AT310" i="39"/>
  <c r="AU310" i="39"/>
  <c r="AV310" i="39"/>
  <c r="AX310" i="39"/>
  <c r="AY310" i="39"/>
  <c r="AZ310" i="39"/>
  <c r="BB310" i="39"/>
  <c r="AA313" i="39"/>
  <c r="AB313" i="39"/>
  <c r="AC313" i="39"/>
  <c r="AE313" i="39"/>
  <c r="AE335" i="39" s="1"/>
  <c r="AE357" i="39" s="1"/>
  <c r="AG313" i="39"/>
  <c r="AH313" i="39"/>
  <c r="AO314" i="39"/>
  <c r="BB314" i="39"/>
  <c r="AO315" i="39"/>
  <c r="BB315" i="39"/>
  <c r="AO316" i="39"/>
  <c r="BB316" i="39"/>
  <c r="B317" i="39"/>
  <c r="AO317" i="39"/>
  <c r="BB317" i="39"/>
  <c r="B318" i="39"/>
  <c r="B340" i="39" s="1"/>
  <c r="B362" i="39" s="1"/>
  <c r="AO318" i="39"/>
  <c r="BB318" i="39"/>
  <c r="B319" i="39"/>
  <c r="AO319" i="39"/>
  <c r="BB319" i="39"/>
  <c r="C320" i="39"/>
  <c r="E320" i="39"/>
  <c r="G320" i="39"/>
  <c r="G330" i="39" s="1"/>
  <c r="I320" i="39"/>
  <c r="K320" i="39"/>
  <c r="M320" i="39"/>
  <c r="M322" i="39" s="1"/>
  <c r="O320" i="39"/>
  <c r="Q320" i="39"/>
  <c r="Q324" i="39" s="1"/>
  <c r="S320" i="39"/>
  <c r="U320" i="39"/>
  <c r="W320" i="39"/>
  <c r="W330" i="39" s="1"/>
  <c r="Y320" i="39"/>
  <c r="AA320" i="39"/>
  <c r="AB320" i="39"/>
  <c r="AB322" i="39" s="1"/>
  <c r="AC320" i="39"/>
  <c r="AD320" i="39"/>
  <c r="AD324" i="39" s="1"/>
  <c r="AE320" i="39"/>
  <c r="AF320" i="39"/>
  <c r="AG320" i="39"/>
  <c r="AH320" i="39"/>
  <c r="AJ320" i="39"/>
  <c r="AK320" i="39"/>
  <c r="AK322" i="39" s="1"/>
  <c r="AL320" i="39"/>
  <c r="AM320" i="39"/>
  <c r="AM324" i="39" s="1"/>
  <c r="AN320" i="39"/>
  <c r="AP320" i="39"/>
  <c r="AQ320" i="39"/>
  <c r="AR320" i="39"/>
  <c r="AS320" i="39"/>
  <c r="AS322" i="39" s="1"/>
  <c r="AT320" i="39"/>
  <c r="AU320" i="39"/>
  <c r="AU324" i="39" s="1"/>
  <c r="AV320" i="39"/>
  <c r="AW320" i="39"/>
  <c r="AX320" i="39"/>
  <c r="AY320" i="39"/>
  <c r="AZ320" i="39"/>
  <c r="BA320" i="39"/>
  <c r="BA322" i="39" s="1"/>
  <c r="C322" i="39"/>
  <c r="E322" i="39"/>
  <c r="I322" i="39"/>
  <c r="K322" i="39"/>
  <c r="O322" i="39"/>
  <c r="S322" i="39"/>
  <c r="U322" i="39"/>
  <c r="Y322" i="39"/>
  <c r="AA322" i="39"/>
  <c r="AC322" i="39"/>
  <c r="AE322" i="39"/>
  <c r="AF322" i="39"/>
  <c r="AH322" i="39"/>
  <c r="AJ322" i="39"/>
  <c r="AL322" i="39"/>
  <c r="AN322" i="39"/>
  <c r="AQ322" i="39"/>
  <c r="AR322" i="39"/>
  <c r="AT322" i="39"/>
  <c r="AV322" i="39"/>
  <c r="AW322" i="39"/>
  <c r="AY322" i="39"/>
  <c r="AZ322" i="39"/>
  <c r="C323" i="39"/>
  <c r="E323" i="39"/>
  <c r="I323" i="39"/>
  <c r="K323" i="39"/>
  <c r="M323" i="39"/>
  <c r="O323" i="39"/>
  <c r="Q323" i="39"/>
  <c r="S323" i="39"/>
  <c r="U323" i="39"/>
  <c r="Y323" i="39"/>
  <c r="AA323" i="39"/>
  <c r="AB323" i="39"/>
  <c r="AC323" i="39"/>
  <c r="AD323" i="39"/>
  <c r="AE323" i="39"/>
  <c r="AF323" i="39"/>
  <c r="AH323" i="39"/>
  <c r="AJ323" i="39"/>
  <c r="AK323" i="39"/>
  <c r="AL323" i="39"/>
  <c r="AM323" i="39"/>
  <c r="AN323" i="39"/>
  <c r="AQ323" i="39"/>
  <c r="AR323" i="39"/>
  <c r="AS323" i="39"/>
  <c r="AT323" i="39"/>
  <c r="AU323" i="39"/>
  <c r="AV323" i="39"/>
  <c r="AW323" i="39"/>
  <c r="AY323" i="39"/>
  <c r="AZ323" i="39"/>
  <c r="BA323" i="39"/>
  <c r="C324" i="39"/>
  <c r="E324" i="39"/>
  <c r="I324" i="39"/>
  <c r="K324" i="39"/>
  <c r="M324" i="39"/>
  <c r="O324" i="39"/>
  <c r="S324" i="39"/>
  <c r="U324" i="39"/>
  <c r="Y324" i="39"/>
  <c r="AA324" i="39"/>
  <c r="AB324" i="39"/>
  <c r="AC324" i="39"/>
  <c r="AE324" i="39"/>
  <c r="AF324" i="39"/>
  <c r="AH324" i="39"/>
  <c r="AJ324" i="39"/>
  <c r="AK324" i="39"/>
  <c r="AL324" i="39"/>
  <c r="AN324" i="39"/>
  <c r="AQ324" i="39"/>
  <c r="AR324" i="39"/>
  <c r="AS324" i="39"/>
  <c r="AT324" i="39"/>
  <c r="AV324" i="39"/>
  <c r="AW324" i="39"/>
  <c r="AY324" i="39"/>
  <c r="AZ324" i="39"/>
  <c r="BA324" i="39"/>
  <c r="C325" i="39"/>
  <c r="E325" i="39"/>
  <c r="I325" i="39"/>
  <c r="K325" i="39"/>
  <c r="M325" i="39"/>
  <c r="O325" i="39"/>
  <c r="Q325" i="39"/>
  <c r="S325" i="39"/>
  <c r="U325" i="39"/>
  <c r="Y325" i="39"/>
  <c r="AA325" i="39"/>
  <c r="AB325" i="39"/>
  <c r="AC325" i="39"/>
  <c r="AD325" i="39"/>
  <c r="AE325" i="39"/>
  <c r="AF325" i="39"/>
  <c r="AH325" i="39"/>
  <c r="AJ325" i="39"/>
  <c r="AK325" i="39"/>
  <c r="AL325" i="39"/>
  <c r="AM325" i="39"/>
  <c r="AN325" i="39"/>
  <c r="AQ325" i="39"/>
  <c r="AR325" i="39"/>
  <c r="AS325" i="39"/>
  <c r="AT325" i="39"/>
  <c r="AU325" i="39"/>
  <c r="AV325" i="39"/>
  <c r="AW325" i="39"/>
  <c r="AY325" i="39"/>
  <c r="AZ325" i="39"/>
  <c r="BA325" i="39"/>
  <c r="C326" i="39"/>
  <c r="E326" i="39"/>
  <c r="I326" i="39"/>
  <c r="K326" i="39"/>
  <c r="M326" i="39"/>
  <c r="O326" i="39"/>
  <c r="Q326" i="39"/>
  <c r="S326" i="39"/>
  <c r="U326" i="39"/>
  <c r="Y326" i="39"/>
  <c r="AA326" i="39"/>
  <c r="AB326" i="39"/>
  <c r="AC326" i="39"/>
  <c r="AD326" i="39"/>
  <c r="AE326" i="39"/>
  <c r="AF326" i="39"/>
  <c r="AH326" i="39"/>
  <c r="AJ326" i="39"/>
  <c r="AK326" i="39"/>
  <c r="AL326" i="39"/>
  <c r="AM326" i="39"/>
  <c r="AN326" i="39"/>
  <c r="AQ326" i="39"/>
  <c r="AR326" i="39"/>
  <c r="AS326" i="39"/>
  <c r="AT326" i="39"/>
  <c r="AU326" i="39"/>
  <c r="AV326" i="39"/>
  <c r="AW326" i="39"/>
  <c r="AY326" i="39"/>
  <c r="AZ326" i="39"/>
  <c r="BA326" i="39"/>
  <c r="C327" i="39"/>
  <c r="E327" i="39"/>
  <c r="I327" i="39"/>
  <c r="K327" i="39"/>
  <c r="M327" i="39"/>
  <c r="O327" i="39"/>
  <c r="Q327" i="39"/>
  <c r="S327" i="39"/>
  <c r="U327" i="39"/>
  <c r="Y327" i="39"/>
  <c r="AA327" i="39"/>
  <c r="AB327" i="39"/>
  <c r="AC327" i="39"/>
  <c r="AD327" i="39"/>
  <c r="AE327" i="39"/>
  <c r="AF327" i="39"/>
  <c r="AH327" i="39"/>
  <c r="AJ327" i="39"/>
  <c r="AK327" i="39"/>
  <c r="AL327" i="39"/>
  <c r="AM327" i="39"/>
  <c r="AN327" i="39"/>
  <c r="AQ327" i="39"/>
  <c r="AR327" i="39"/>
  <c r="AS327" i="39"/>
  <c r="AT327" i="39"/>
  <c r="AU327" i="39"/>
  <c r="AV327" i="39"/>
  <c r="AW327" i="39"/>
  <c r="AY327" i="39"/>
  <c r="AZ327" i="39"/>
  <c r="BA327" i="39"/>
  <c r="C328" i="39"/>
  <c r="E328" i="39"/>
  <c r="I328" i="39"/>
  <c r="K328" i="39"/>
  <c r="M328" i="39"/>
  <c r="O328" i="39"/>
  <c r="Q328" i="39"/>
  <c r="S328" i="39"/>
  <c r="U328" i="39"/>
  <c r="Y328" i="39"/>
  <c r="AA328" i="39"/>
  <c r="AB328" i="39"/>
  <c r="AC328" i="39"/>
  <c r="AD328" i="39"/>
  <c r="AE328" i="39"/>
  <c r="AF328" i="39"/>
  <c r="AH328" i="39"/>
  <c r="AJ328" i="39"/>
  <c r="AK328" i="39"/>
  <c r="AL328" i="39"/>
  <c r="AM328" i="39"/>
  <c r="AN328" i="39"/>
  <c r="AQ328" i="39"/>
  <c r="AR328" i="39"/>
  <c r="AS328" i="39"/>
  <c r="AT328" i="39"/>
  <c r="AU328" i="39"/>
  <c r="AV328" i="39"/>
  <c r="AW328" i="39"/>
  <c r="AY328" i="39"/>
  <c r="AZ328" i="39"/>
  <c r="BA328" i="39"/>
  <c r="C330" i="39"/>
  <c r="E330" i="39"/>
  <c r="I330" i="39"/>
  <c r="K330" i="39"/>
  <c r="M330" i="39"/>
  <c r="O330" i="39"/>
  <c r="Q330" i="39"/>
  <c r="S330" i="39"/>
  <c r="U330" i="39"/>
  <c r="Y330" i="39"/>
  <c r="AA330" i="39"/>
  <c r="AB330" i="39"/>
  <c r="AC330" i="39"/>
  <c r="AD330" i="39"/>
  <c r="AE330" i="39"/>
  <c r="AF330" i="39"/>
  <c r="AH330" i="39"/>
  <c r="AJ330" i="39"/>
  <c r="AK330" i="39"/>
  <c r="AL330" i="39"/>
  <c r="AM330" i="39"/>
  <c r="AN330" i="39"/>
  <c r="AP330" i="39"/>
  <c r="AQ330" i="39"/>
  <c r="AR330" i="39"/>
  <c r="AS330" i="39"/>
  <c r="AT330" i="39"/>
  <c r="AU330" i="39"/>
  <c r="AV330" i="39"/>
  <c r="AW330" i="39"/>
  <c r="AX330" i="39"/>
  <c r="AY330" i="39"/>
  <c r="AZ330" i="39"/>
  <c r="BA330" i="39"/>
  <c r="C331" i="39"/>
  <c r="E331" i="39"/>
  <c r="I331" i="39"/>
  <c r="I332" i="39" s="1"/>
  <c r="K331" i="39"/>
  <c r="M331" i="39"/>
  <c r="O331" i="39"/>
  <c r="Q331" i="39"/>
  <c r="Q332" i="39" s="1"/>
  <c r="S331" i="39"/>
  <c r="U331" i="39"/>
  <c r="Y331" i="39"/>
  <c r="Y332" i="39" s="1"/>
  <c r="AA331" i="39"/>
  <c r="AB331" i="39"/>
  <c r="AC331" i="39"/>
  <c r="AD331" i="39"/>
  <c r="AD332" i="39" s="1"/>
  <c r="AE331" i="39"/>
  <c r="AF331" i="39"/>
  <c r="AH331" i="39"/>
  <c r="AH332" i="39" s="1"/>
  <c r="AJ331" i="39"/>
  <c r="AK331" i="39"/>
  <c r="AL331" i="39"/>
  <c r="AM331" i="39"/>
  <c r="AM332" i="39" s="1"/>
  <c r="AN331" i="39"/>
  <c r="AN332" i="39" s="1"/>
  <c r="AQ331" i="39"/>
  <c r="AQ332" i="39" s="1"/>
  <c r="AR331" i="39"/>
  <c r="AS331" i="39"/>
  <c r="AT331" i="39"/>
  <c r="AU331" i="39"/>
  <c r="AU332" i="39" s="1"/>
  <c r="AV331" i="39"/>
  <c r="AV332" i="39" s="1"/>
  <c r="AW331" i="39"/>
  <c r="AY331" i="39"/>
  <c r="AY332" i="39" s="1"/>
  <c r="AZ331" i="39"/>
  <c r="BA331" i="39"/>
  <c r="C332" i="39"/>
  <c r="E332" i="39"/>
  <c r="K332" i="39"/>
  <c r="M332" i="39"/>
  <c r="O332" i="39"/>
  <c r="S332" i="39"/>
  <c r="U332" i="39"/>
  <c r="AA332" i="39"/>
  <c r="AB332" i="39"/>
  <c r="AC332" i="39"/>
  <c r="AE332" i="39"/>
  <c r="AF332" i="39"/>
  <c r="AJ332" i="39"/>
  <c r="AK332" i="39"/>
  <c r="AL332" i="39"/>
  <c r="AR332" i="39"/>
  <c r="AS332" i="39"/>
  <c r="AT332" i="39"/>
  <c r="AW332" i="39"/>
  <c r="AZ332" i="39"/>
  <c r="AZ400" i="39" s="1"/>
  <c r="BA332" i="39"/>
  <c r="AA335" i="39"/>
  <c r="AB335" i="39"/>
  <c r="AC335" i="39"/>
  <c r="AF335" i="39"/>
  <c r="AF357" i="39" s="1"/>
  <c r="AG335" i="39"/>
  <c r="AH335" i="39"/>
  <c r="AO336" i="39"/>
  <c r="BB336" i="39"/>
  <c r="AO337" i="39"/>
  <c r="BB337" i="39"/>
  <c r="AO338" i="39"/>
  <c r="BB338" i="39"/>
  <c r="B339" i="39"/>
  <c r="AO339" i="39"/>
  <c r="BB339" i="39"/>
  <c r="AO340" i="39"/>
  <c r="BB340" i="39"/>
  <c r="B341" i="39"/>
  <c r="AO341" i="39"/>
  <c r="BB341" i="39"/>
  <c r="C342" i="39"/>
  <c r="C345" i="39" s="1"/>
  <c r="E342" i="39"/>
  <c r="G342" i="39"/>
  <c r="I342" i="39"/>
  <c r="K342" i="39"/>
  <c r="M342" i="39"/>
  <c r="O342" i="39"/>
  <c r="Q342" i="39"/>
  <c r="Q344" i="39" s="1"/>
  <c r="S342" i="39"/>
  <c r="S345" i="39" s="1"/>
  <c r="U342" i="39"/>
  <c r="W342" i="39"/>
  <c r="Y342" i="39"/>
  <c r="AA342" i="39"/>
  <c r="AB342" i="39"/>
  <c r="AC342" i="39"/>
  <c r="AD342" i="39"/>
  <c r="AD344" i="39" s="1"/>
  <c r="AE342" i="39"/>
  <c r="AE345" i="39" s="1"/>
  <c r="AF342" i="39"/>
  <c r="AG342" i="39"/>
  <c r="AH342" i="39"/>
  <c r="AJ342" i="39"/>
  <c r="AK342" i="39"/>
  <c r="AL342" i="39"/>
  <c r="AM342" i="39"/>
  <c r="AM344" i="39" s="1"/>
  <c r="AN342" i="39"/>
  <c r="AN345" i="39" s="1"/>
  <c r="AP342" i="39"/>
  <c r="BB342" i="39" s="1"/>
  <c r="AQ342" i="39"/>
  <c r="AQ402" i="39" s="1"/>
  <c r="AR342" i="39"/>
  <c r="AS342" i="39"/>
  <c r="AT342" i="39"/>
  <c r="AU342" i="39"/>
  <c r="AU344" i="39" s="1"/>
  <c r="AV342" i="39"/>
  <c r="AV345" i="39" s="1"/>
  <c r="AW342" i="39"/>
  <c r="AX342" i="39"/>
  <c r="AY342" i="39"/>
  <c r="AZ342" i="39"/>
  <c r="BA342" i="39"/>
  <c r="C344" i="39"/>
  <c r="E344" i="39"/>
  <c r="G344" i="39"/>
  <c r="K344" i="39"/>
  <c r="M344" i="39"/>
  <c r="O344" i="39"/>
  <c r="U344" i="39"/>
  <c r="W344" i="39"/>
  <c r="AA344" i="39"/>
  <c r="AB344" i="39"/>
  <c r="AC344" i="39"/>
  <c r="AF344" i="39"/>
  <c r="AG344" i="39"/>
  <c r="AJ344" i="39"/>
  <c r="AK344" i="39"/>
  <c r="AL344" i="39"/>
  <c r="AP344" i="39"/>
  <c r="AR344" i="39"/>
  <c r="AS344" i="39"/>
  <c r="AT344" i="39"/>
  <c r="AW344" i="39"/>
  <c r="AX344" i="39"/>
  <c r="AZ344" i="39"/>
  <c r="BA344" i="39"/>
  <c r="BB344" i="39"/>
  <c r="E345" i="39"/>
  <c r="G345" i="39"/>
  <c r="K345" i="39"/>
  <c r="M345" i="39"/>
  <c r="O345" i="39"/>
  <c r="Q345" i="39"/>
  <c r="U345" i="39"/>
  <c r="W345" i="39"/>
  <c r="AA345" i="39"/>
  <c r="AB345" i="39"/>
  <c r="AC345" i="39"/>
  <c r="AD345" i="39"/>
  <c r="AF345" i="39"/>
  <c r="AG345" i="39"/>
  <c r="AJ345" i="39"/>
  <c r="AK345" i="39"/>
  <c r="AL345" i="39"/>
  <c r="AM345" i="39"/>
  <c r="AP345" i="39"/>
  <c r="BB345" i="39" s="1"/>
  <c r="AR345" i="39"/>
  <c r="AS345" i="39"/>
  <c r="AT345" i="39"/>
  <c r="AU345" i="39"/>
  <c r="AW345" i="39"/>
  <c r="AX345" i="39"/>
  <c r="AZ345" i="39"/>
  <c r="BA345" i="39"/>
  <c r="C346" i="39"/>
  <c r="E346" i="39"/>
  <c r="G346" i="39"/>
  <c r="K346" i="39"/>
  <c r="M346" i="39"/>
  <c r="O346" i="39"/>
  <c r="Q346" i="39"/>
  <c r="S346" i="39"/>
  <c r="U346" i="39"/>
  <c r="W346" i="39"/>
  <c r="AA346" i="39"/>
  <c r="AB346" i="39"/>
  <c r="AC346" i="39"/>
  <c r="AD346" i="39"/>
  <c r="AE346" i="39"/>
  <c r="AF346" i="39"/>
  <c r="AG346" i="39"/>
  <c r="AJ346" i="39"/>
  <c r="AK346" i="39"/>
  <c r="AL346" i="39"/>
  <c r="AM346" i="39"/>
  <c r="AN346" i="39"/>
  <c r="AP346" i="39"/>
  <c r="AR346" i="39"/>
  <c r="AS346" i="39"/>
  <c r="AT346" i="39"/>
  <c r="AU346" i="39"/>
  <c r="AV346" i="39"/>
  <c r="AW346" i="39"/>
  <c r="AX346" i="39"/>
  <c r="AZ346" i="39"/>
  <c r="BA346" i="39"/>
  <c r="BB346" i="39"/>
  <c r="C347" i="39"/>
  <c r="E347" i="39"/>
  <c r="G347" i="39"/>
  <c r="K347" i="39"/>
  <c r="M347" i="39"/>
  <c r="O347" i="39"/>
  <c r="Q347" i="39"/>
  <c r="S347" i="39"/>
  <c r="U347" i="39"/>
  <c r="W347" i="39"/>
  <c r="AA347" i="39"/>
  <c r="AB347" i="39"/>
  <c r="AC347" i="39"/>
  <c r="AD347" i="39"/>
  <c r="AE347" i="39"/>
  <c r="AF347" i="39"/>
  <c r="AG347" i="39"/>
  <c r="AJ347" i="39"/>
  <c r="AK347" i="39"/>
  <c r="AL347" i="39"/>
  <c r="AM347" i="39"/>
  <c r="AN347" i="39"/>
  <c r="AP347" i="39"/>
  <c r="AR347" i="39"/>
  <c r="AS347" i="39"/>
  <c r="AT347" i="39"/>
  <c r="AU347" i="39"/>
  <c r="AV347" i="39"/>
  <c r="AW347" i="39"/>
  <c r="AX347" i="39"/>
  <c r="AZ347" i="39"/>
  <c r="BA347" i="39"/>
  <c r="BB347" i="39"/>
  <c r="C348" i="39"/>
  <c r="E348" i="39"/>
  <c r="G348" i="39"/>
  <c r="K348" i="39"/>
  <c r="M348" i="39"/>
  <c r="O348" i="39"/>
  <c r="Q348" i="39"/>
  <c r="S348" i="39"/>
  <c r="U348" i="39"/>
  <c r="W348" i="39"/>
  <c r="AA348" i="39"/>
  <c r="AB348" i="39"/>
  <c r="AC348" i="39"/>
  <c r="AD348" i="39"/>
  <c r="AE348" i="39"/>
  <c r="AF348" i="39"/>
  <c r="AG348" i="39"/>
  <c r="AJ348" i="39"/>
  <c r="AK348" i="39"/>
  <c r="AL348" i="39"/>
  <c r="AM348" i="39"/>
  <c r="AN348" i="39"/>
  <c r="AP348" i="39"/>
  <c r="AR348" i="39"/>
  <c r="AS348" i="39"/>
  <c r="AT348" i="39"/>
  <c r="AU348" i="39"/>
  <c r="AV348" i="39"/>
  <c r="AW348" i="39"/>
  <c r="AX348" i="39"/>
  <c r="AZ348" i="39"/>
  <c r="BA348" i="39"/>
  <c r="BB348" i="39"/>
  <c r="C349" i="39"/>
  <c r="E349" i="39"/>
  <c r="G349" i="39"/>
  <c r="K349" i="39"/>
  <c r="M349" i="39"/>
  <c r="O349" i="39"/>
  <c r="Q349" i="39"/>
  <c r="S349" i="39"/>
  <c r="U349" i="39"/>
  <c r="W349" i="39"/>
  <c r="AA349" i="39"/>
  <c r="AB349" i="39"/>
  <c r="AC349" i="39"/>
  <c r="AD349" i="39"/>
  <c r="AE349" i="39"/>
  <c r="AF349" i="39"/>
  <c r="AG349" i="39"/>
  <c r="AJ349" i="39"/>
  <c r="AK349" i="39"/>
  <c r="AL349" i="39"/>
  <c r="AM349" i="39"/>
  <c r="AN349" i="39"/>
  <c r="AP349" i="39"/>
  <c r="AR349" i="39"/>
  <c r="AS349" i="39"/>
  <c r="AT349" i="39"/>
  <c r="AU349" i="39"/>
  <c r="AV349" i="39"/>
  <c r="AW349" i="39"/>
  <c r="AX349" i="39"/>
  <c r="AZ349" i="39"/>
  <c r="BA349" i="39"/>
  <c r="BB349" i="39"/>
  <c r="C350" i="39"/>
  <c r="E350" i="39"/>
  <c r="G350" i="39"/>
  <c r="K350" i="39"/>
  <c r="M350" i="39"/>
  <c r="O350" i="39"/>
  <c r="Q350" i="39"/>
  <c r="S350" i="39"/>
  <c r="U350" i="39"/>
  <c r="W350" i="39"/>
  <c r="AA350" i="39"/>
  <c r="AB350" i="39"/>
  <c r="AC350" i="39"/>
  <c r="AD350" i="39"/>
  <c r="AE350" i="39"/>
  <c r="AF350" i="39"/>
  <c r="AG350" i="39"/>
  <c r="AJ350" i="39"/>
  <c r="AK350" i="39"/>
  <c r="AL350" i="39"/>
  <c r="AM350" i="39"/>
  <c r="AN350" i="39"/>
  <c r="AP350" i="39"/>
  <c r="BB350" i="39" s="1"/>
  <c r="AR350" i="39"/>
  <c r="AS350" i="39"/>
  <c r="AT350" i="39"/>
  <c r="AU350" i="39"/>
  <c r="AV350" i="39"/>
  <c r="AW350" i="39"/>
  <c r="AX350" i="39"/>
  <c r="AZ350" i="39"/>
  <c r="BA350" i="39"/>
  <c r="C352" i="39"/>
  <c r="E352" i="39"/>
  <c r="G352" i="39"/>
  <c r="K352" i="39"/>
  <c r="M352" i="39"/>
  <c r="O352" i="39"/>
  <c r="Q352" i="39"/>
  <c r="S352" i="39"/>
  <c r="U352" i="39"/>
  <c r="W352" i="39"/>
  <c r="AA352" i="39"/>
  <c r="AB352" i="39"/>
  <c r="AC352" i="39"/>
  <c r="AD352" i="39"/>
  <c r="AE352" i="39"/>
  <c r="AF352" i="39"/>
  <c r="AG352" i="39"/>
  <c r="AJ352" i="39"/>
  <c r="AK352" i="39"/>
  <c r="AL352" i="39"/>
  <c r="AM352" i="39"/>
  <c r="AN352" i="39"/>
  <c r="AP352" i="39"/>
  <c r="AR352" i="39"/>
  <c r="AS352" i="39"/>
  <c r="AT352" i="39"/>
  <c r="AU352" i="39"/>
  <c r="AV352" i="39"/>
  <c r="AW352" i="39"/>
  <c r="AX352" i="39"/>
  <c r="AZ352" i="39"/>
  <c r="BA352" i="39"/>
  <c r="BB352" i="39"/>
  <c r="C353" i="39"/>
  <c r="E353" i="39"/>
  <c r="G353" i="39"/>
  <c r="K353" i="39"/>
  <c r="K354" i="39" s="1"/>
  <c r="M353" i="39"/>
  <c r="O353" i="39"/>
  <c r="Q353" i="39"/>
  <c r="S353" i="39"/>
  <c r="U353" i="39"/>
  <c r="W353" i="39"/>
  <c r="AA353" i="39"/>
  <c r="AA354" i="39" s="1"/>
  <c r="AB353" i="39"/>
  <c r="AC353" i="39"/>
  <c r="AD353" i="39"/>
  <c r="AE353" i="39"/>
  <c r="AF353" i="39"/>
  <c r="AG353" i="39"/>
  <c r="AJ353" i="39"/>
  <c r="AK353" i="39"/>
  <c r="AL353" i="39"/>
  <c r="AM353" i="39"/>
  <c r="AN353" i="39"/>
  <c r="AP353" i="39"/>
  <c r="BB353" i="39" s="1"/>
  <c r="AR353" i="39"/>
  <c r="AS353" i="39"/>
  <c r="AT353" i="39"/>
  <c r="AU353" i="39"/>
  <c r="AV353" i="39"/>
  <c r="AW353" i="39"/>
  <c r="AX353" i="39"/>
  <c r="AZ353" i="39"/>
  <c r="BA353" i="39"/>
  <c r="C354" i="39"/>
  <c r="E354" i="39"/>
  <c r="G354" i="39"/>
  <c r="M354" i="39"/>
  <c r="O354" i="39"/>
  <c r="Q354" i="39"/>
  <c r="S354" i="39"/>
  <c r="U354" i="39"/>
  <c r="W354" i="39"/>
  <c r="AB354" i="39"/>
  <c r="AC354" i="39"/>
  <c r="AD354" i="39"/>
  <c r="AE354" i="39"/>
  <c r="AF354" i="39"/>
  <c r="AG354" i="39"/>
  <c r="AJ354" i="39"/>
  <c r="AK354" i="39"/>
  <c r="AL354" i="39"/>
  <c r="AM354" i="39"/>
  <c r="AN354" i="39"/>
  <c r="AP354" i="39"/>
  <c r="AR354" i="39"/>
  <c r="AS354" i="39"/>
  <c r="AS403" i="39" s="1"/>
  <c r="AT354" i="39"/>
  <c r="AU354" i="39"/>
  <c r="AV354" i="39"/>
  <c r="AW354" i="39"/>
  <c r="AX354" i="39"/>
  <c r="AZ354" i="39"/>
  <c r="BA354" i="39"/>
  <c r="BB354" i="39"/>
  <c r="AA357" i="39"/>
  <c r="AB357" i="39"/>
  <c r="AC357" i="39"/>
  <c r="AG357" i="39"/>
  <c r="AH357" i="39"/>
  <c r="AO358" i="39"/>
  <c r="BB358" i="39"/>
  <c r="AO359" i="39"/>
  <c r="BB359" i="39"/>
  <c r="B360" i="39"/>
  <c r="AO360" i="39"/>
  <c r="BB360" i="39"/>
  <c r="B361" i="39"/>
  <c r="AO361" i="39"/>
  <c r="BB361" i="39"/>
  <c r="AO362" i="39"/>
  <c r="BB362" i="39"/>
  <c r="B363" i="39"/>
  <c r="AO363" i="39"/>
  <c r="BB363" i="39"/>
  <c r="C364" i="39"/>
  <c r="E364" i="39"/>
  <c r="E366" i="39" s="1"/>
  <c r="G364" i="39"/>
  <c r="I364" i="39"/>
  <c r="K364" i="39"/>
  <c r="K366" i="39" s="1"/>
  <c r="M364" i="39"/>
  <c r="O364" i="39"/>
  <c r="Q364" i="39"/>
  <c r="Q366" i="39" s="1"/>
  <c r="S364" i="39"/>
  <c r="U364" i="39"/>
  <c r="U366" i="39" s="1"/>
  <c r="W364" i="39"/>
  <c r="Y364" i="39"/>
  <c r="AA364" i="39"/>
  <c r="AA366" i="39" s="1"/>
  <c r="AB364" i="39"/>
  <c r="AC364" i="39"/>
  <c r="AD364" i="39"/>
  <c r="AD366" i="39" s="1"/>
  <c r="AE364" i="39"/>
  <c r="AF364" i="39"/>
  <c r="AF366" i="39" s="1"/>
  <c r="AG364" i="39"/>
  <c r="AH364" i="39"/>
  <c r="AJ364" i="39"/>
  <c r="AJ371" i="39" s="1"/>
  <c r="AO371" i="39" s="1"/>
  <c r="AK364" i="39"/>
  <c r="AK369" i="39" s="1"/>
  <c r="AL364" i="39"/>
  <c r="AM364" i="39"/>
  <c r="AM366" i="39" s="1"/>
  <c r="AN364" i="39"/>
  <c r="AP364" i="39"/>
  <c r="AQ364" i="39"/>
  <c r="AR364" i="39"/>
  <c r="AR371" i="39" s="1"/>
  <c r="AS364" i="39"/>
  <c r="AS369" i="39" s="1"/>
  <c r="AT364" i="39"/>
  <c r="AU364" i="39"/>
  <c r="AU366" i="39" s="1"/>
  <c r="AV364" i="39"/>
  <c r="AW364" i="39"/>
  <c r="AX364" i="39"/>
  <c r="AY364" i="39"/>
  <c r="AZ364" i="39"/>
  <c r="AZ371" i="39" s="1"/>
  <c r="BA364" i="39"/>
  <c r="BA369" i="39" s="1"/>
  <c r="BB364" i="39"/>
  <c r="C366" i="39"/>
  <c r="G366" i="39"/>
  <c r="I366" i="39"/>
  <c r="M366" i="39"/>
  <c r="O366" i="39"/>
  <c r="S366" i="39"/>
  <c r="W366" i="39"/>
  <c r="Y366" i="39"/>
  <c r="AB366" i="39"/>
  <c r="AC366" i="39"/>
  <c r="AE366" i="39"/>
  <c r="AG366" i="39"/>
  <c r="AH366" i="39"/>
  <c r="AJ366" i="39"/>
  <c r="AK366" i="39"/>
  <c r="AL366" i="39"/>
  <c r="AN366" i="39"/>
  <c r="AO366" i="39"/>
  <c r="AP366" i="39"/>
  <c r="AQ366" i="39"/>
  <c r="AR366" i="39"/>
  <c r="AS366" i="39"/>
  <c r="AT366" i="39"/>
  <c r="AV366" i="39"/>
  <c r="AW366" i="39"/>
  <c r="AX366" i="39"/>
  <c r="AY366" i="39"/>
  <c r="AZ366" i="39"/>
  <c r="BA366" i="39"/>
  <c r="BB366" i="39"/>
  <c r="C367" i="39"/>
  <c r="E367" i="39"/>
  <c r="G367" i="39"/>
  <c r="I367" i="39"/>
  <c r="M367" i="39"/>
  <c r="O367" i="39"/>
  <c r="Q367" i="39"/>
  <c r="S367" i="39"/>
  <c r="U367" i="39"/>
  <c r="W367" i="39"/>
  <c r="Y367" i="39"/>
  <c r="AB367" i="39"/>
  <c r="AC367" i="39"/>
  <c r="AD367" i="39"/>
  <c r="AE367" i="39"/>
  <c r="AF367" i="39"/>
  <c r="AG367" i="39"/>
  <c r="AH367" i="39"/>
  <c r="AK367" i="39"/>
  <c r="AL367" i="39"/>
  <c r="AM367" i="39"/>
  <c r="AN367" i="39"/>
  <c r="AP367" i="39"/>
  <c r="AQ367" i="39"/>
  <c r="AS367" i="39"/>
  <c r="AT367" i="39"/>
  <c r="AU367" i="39"/>
  <c r="AV367" i="39"/>
  <c r="AW367" i="39"/>
  <c r="AX367" i="39"/>
  <c r="AY367" i="39"/>
  <c r="BA367" i="39"/>
  <c r="BB367" i="39"/>
  <c r="C368" i="39"/>
  <c r="E368" i="39"/>
  <c r="G368" i="39"/>
  <c r="I368" i="39"/>
  <c r="M368" i="39"/>
  <c r="O368" i="39"/>
  <c r="Q368" i="39"/>
  <c r="S368" i="39"/>
  <c r="U368" i="39"/>
  <c r="W368" i="39"/>
  <c r="Y368" i="39"/>
  <c r="AB368" i="39"/>
  <c r="AC368" i="39"/>
  <c r="AD368" i="39"/>
  <c r="AE368" i="39"/>
  <c r="AF368" i="39"/>
  <c r="AG368" i="39"/>
  <c r="AH368" i="39"/>
  <c r="AL368" i="39"/>
  <c r="AM368" i="39"/>
  <c r="AN368" i="39"/>
  <c r="AP368" i="39"/>
  <c r="AQ368" i="39"/>
  <c r="AT368" i="39"/>
  <c r="AU368" i="39"/>
  <c r="AV368" i="39"/>
  <c r="AW368" i="39"/>
  <c r="AX368" i="39"/>
  <c r="AY368" i="39"/>
  <c r="BB368" i="39"/>
  <c r="C369" i="39"/>
  <c r="E369" i="39"/>
  <c r="G369" i="39"/>
  <c r="I369" i="39"/>
  <c r="K369" i="39"/>
  <c r="M369" i="39"/>
  <c r="O369" i="39"/>
  <c r="Q369" i="39"/>
  <c r="S369" i="39"/>
  <c r="U369" i="39"/>
  <c r="W369" i="39"/>
  <c r="Y369" i="39"/>
  <c r="AA369" i="39"/>
  <c r="AB369" i="39"/>
  <c r="AC369" i="39"/>
  <c r="AD369" i="39"/>
  <c r="AO369" i="39" s="1"/>
  <c r="AE369" i="39"/>
  <c r="AF369" i="39"/>
  <c r="AG369" i="39"/>
  <c r="AH369" i="39"/>
  <c r="AJ369" i="39"/>
  <c r="AL369" i="39"/>
  <c r="AM369" i="39"/>
  <c r="AN369" i="39"/>
  <c r="AP369" i="39"/>
  <c r="BB369" i="39" s="1"/>
  <c r="AQ369" i="39"/>
  <c r="AR369" i="39"/>
  <c r="AT369" i="39"/>
  <c r="AU369" i="39"/>
  <c r="AV369" i="39"/>
  <c r="AW369" i="39"/>
  <c r="AX369" i="39"/>
  <c r="AY369" i="39"/>
  <c r="AZ369" i="39"/>
  <c r="C370" i="39"/>
  <c r="E370" i="39"/>
  <c r="G370" i="39"/>
  <c r="I370" i="39"/>
  <c r="M370" i="39"/>
  <c r="O370" i="39"/>
  <c r="Q370" i="39"/>
  <c r="S370" i="39"/>
  <c r="U370" i="39"/>
  <c r="W370" i="39"/>
  <c r="Y370" i="39"/>
  <c r="AB370" i="39"/>
  <c r="AC370" i="39"/>
  <c r="AD370" i="39"/>
  <c r="AE370" i="39"/>
  <c r="AF370" i="39"/>
  <c r="AG370" i="39"/>
  <c r="AH370" i="39"/>
  <c r="AK370" i="39"/>
  <c r="AL370" i="39"/>
  <c r="AM370" i="39"/>
  <c r="AN370" i="39"/>
  <c r="AP370" i="39"/>
  <c r="BB370" i="39" s="1"/>
  <c r="AQ370" i="39"/>
  <c r="AS370" i="39"/>
  <c r="AT370" i="39"/>
  <c r="AU370" i="39"/>
  <c r="AV370" i="39"/>
  <c r="AW370" i="39"/>
  <c r="AX370" i="39"/>
  <c r="AY370" i="39"/>
  <c r="BA370" i="39"/>
  <c r="C371" i="39"/>
  <c r="E371" i="39"/>
  <c r="G371" i="39"/>
  <c r="I371" i="39"/>
  <c r="M371" i="39"/>
  <c r="O371" i="39"/>
  <c r="Q371" i="39"/>
  <c r="S371" i="39"/>
  <c r="U371" i="39"/>
  <c r="W371" i="39"/>
  <c r="Y371" i="39"/>
  <c r="AB371" i="39"/>
  <c r="AC371" i="39"/>
  <c r="AD371" i="39"/>
  <c r="AE371" i="39"/>
  <c r="AF371" i="39"/>
  <c r="AG371" i="39"/>
  <c r="AH371" i="39"/>
  <c r="AK371" i="39"/>
  <c r="AL371" i="39"/>
  <c r="AM371" i="39"/>
  <c r="AN371" i="39"/>
  <c r="AP371" i="39"/>
  <c r="AQ371" i="39"/>
  <c r="AS371" i="39"/>
  <c r="AT371" i="39"/>
  <c r="AU371" i="39"/>
  <c r="AV371" i="39"/>
  <c r="AW371" i="39"/>
  <c r="AX371" i="39"/>
  <c r="AY371" i="39"/>
  <c r="BA371" i="39"/>
  <c r="BB371" i="39"/>
  <c r="C372" i="39"/>
  <c r="E372" i="39"/>
  <c r="G372" i="39"/>
  <c r="I372" i="39"/>
  <c r="K372" i="39"/>
  <c r="M372" i="39"/>
  <c r="O372" i="39"/>
  <c r="Q372" i="39"/>
  <c r="S372" i="39"/>
  <c r="U372" i="39"/>
  <c r="W372" i="39"/>
  <c r="Y372" i="39"/>
  <c r="AA372" i="39"/>
  <c r="AB372" i="39"/>
  <c r="AO372" i="39" s="1"/>
  <c r="AC372" i="39"/>
  <c r="AD372" i="39"/>
  <c r="AE372" i="39"/>
  <c r="AF372" i="39"/>
  <c r="AG372" i="39"/>
  <c r="AH372" i="39"/>
  <c r="AJ372" i="39"/>
  <c r="AK372" i="39"/>
  <c r="AL372" i="39"/>
  <c r="AM372" i="39"/>
  <c r="AN372" i="39"/>
  <c r="AP372" i="39"/>
  <c r="BB372" i="39" s="1"/>
  <c r="AQ372" i="39"/>
  <c r="AR372" i="39"/>
  <c r="AS372" i="39"/>
  <c r="AT372" i="39"/>
  <c r="AU372" i="39"/>
  <c r="AV372" i="39"/>
  <c r="AW372" i="39"/>
  <c r="AX372" i="39"/>
  <c r="AY372" i="39"/>
  <c r="AZ372" i="39"/>
  <c r="BA372" i="39"/>
  <c r="C374" i="39"/>
  <c r="C376" i="39" s="1"/>
  <c r="C406" i="39" s="1"/>
  <c r="E374" i="39"/>
  <c r="G374" i="39"/>
  <c r="I374" i="39"/>
  <c r="I376" i="39" s="1"/>
  <c r="I406" i="39" s="1"/>
  <c r="K374" i="39"/>
  <c r="K376" i="39" s="1"/>
  <c r="K406" i="39" s="1"/>
  <c r="M374" i="39"/>
  <c r="O374" i="39"/>
  <c r="Q374" i="39"/>
  <c r="S374" i="39"/>
  <c r="S376" i="39" s="1"/>
  <c r="S406" i="39" s="1"/>
  <c r="U374" i="39"/>
  <c r="W374" i="39"/>
  <c r="Y374" i="39"/>
  <c r="Y376" i="39" s="1"/>
  <c r="Y406" i="39" s="1"/>
  <c r="AA374" i="39"/>
  <c r="AA376" i="39" s="1"/>
  <c r="AA406" i="39" s="1"/>
  <c r="AB374" i="39"/>
  <c r="AO374" i="39" s="1"/>
  <c r="AC374" i="39"/>
  <c r="AD374" i="39"/>
  <c r="AE374" i="39"/>
  <c r="AE376" i="39" s="1"/>
  <c r="AE406" i="39" s="1"/>
  <c r="AF374" i="39"/>
  <c r="AG374" i="39"/>
  <c r="AH374" i="39"/>
  <c r="AH376" i="39" s="1"/>
  <c r="AH406" i="39" s="1"/>
  <c r="AJ374" i="39"/>
  <c r="AJ376" i="39" s="1"/>
  <c r="AJ406" i="39" s="1"/>
  <c r="AK374" i="39"/>
  <c r="AL374" i="39"/>
  <c r="AM374" i="39"/>
  <c r="AN374" i="39"/>
  <c r="AN376" i="39" s="1"/>
  <c r="AN406" i="39" s="1"/>
  <c r="AP374" i="39"/>
  <c r="AQ374" i="39"/>
  <c r="AQ376" i="39" s="1"/>
  <c r="AQ406" i="39" s="1"/>
  <c r="AR374" i="39"/>
  <c r="AR376" i="39" s="1"/>
  <c r="AR406" i="39" s="1"/>
  <c r="AS374" i="39"/>
  <c r="AT374" i="39"/>
  <c r="AU374" i="39"/>
  <c r="AV374" i="39"/>
  <c r="AV376" i="39" s="1"/>
  <c r="AV406" i="39" s="1"/>
  <c r="AW374" i="39"/>
  <c r="AX374" i="39"/>
  <c r="AY374" i="39"/>
  <c r="AY376" i="39" s="1"/>
  <c r="AY406" i="39" s="1"/>
  <c r="AZ374" i="39"/>
  <c r="AZ376" i="39" s="1"/>
  <c r="AZ406" i="39" s="1"/>
  <c r="BA374" i="39"/>
  <c r="BB374" i="39"/>
  <c r="C375" i="39"/>
  <c r="E375" i="39"/>
  <c r="E376" i="39" s="1"/>
  <c r="E406" i="39" s="1"/>
  <c r="G375" i="39"/>
  <c r="I375" i="39"/>
  <c r="K375" i="39"/>
  <c r="M375" i="39"/>
  <c r="O375" i="39"/>
  <c r="Q375" i="39"/>
  <c r="S375" i="39"/>
  <c r="U375" i="39"/>
  <c r="U376" i="39" s="1"/>
  <c r="U406" i="39" s="1"/>
  <c r="W375" i="39"/>
  <c r="Y375" i="39"/>
  <c r="AA375" i="39"/>
  <c r="AB375" i="39"/>
  <c r="AC375" i="39"/>
  <c r="AD375" i="39"/>
  <c r="AE375" i="39"/>
  <c r="AF375" i="39"/>
  <c r="AF376" i="39" s="1"/>
  <c r="AF406" i="39" s="1"/>
  <c r="AG375" i="39"/>
  <c r="AH375" i="39"/>
  <c r="AJ375" i="39"/>
  <c r="AO375" i="39" s="1"/>
  <c r="AK375" i="39"/>
  <c r="AL375" i="39"/>
  <c r="AM375" i="39"/>
  <c r="AN375" i="39"/>
  <c r="AP375" i="39"/>
  <c r="AQ375" i="39"/>
  <c r="AR375" i="39"/>
  <c r="AS375" i="39"/>
  <c r="AT375" i="39"/>
  <c r="AU375" i="39"/>
  <c r="AV375" i="39"/>
  <c r="AW375" i="39"/>
  <c r="AX375" i="39"/>
  <c r="AY375" i="39"/>
  <c r="AZ375" i="39"/>
  <c r="BA375" i="39"/>
  <c r="BB375" i="39"/>
  <c r="G376" i="39"/>
  <c r="M376" i="39"/>
  <c r="M406" i="39" s="1"/>
  <c r="M408" i="39" s="1"/>
  <c r="O376" i="39"/>
  <c r="Q376" i="39"/>
  <c r="W376" i="39"/>
  <c r="AB376" i="39"/>
  <c r="AC376" i="39"/>
  <c r="AD376" i="39"/>
  <c r="AG376" i="39"/>
  <c r="AK376" i="39"/>
  <c r="AK406" i="39" s="1"/>
  <c r="AL376" i="39"/>
  <c r="AM376" i="39"/>
  <c r="AP376" i="39"/>
  <c r="AS376" i="39"/>
  <c r="AS406" i="39" s="1"/>
  <c r="AT376" i="39"/>
  <c r="AU376" i="39"/>
  <c r="AW376" i="39"/>
  <c r="AX376" i="39"/>
  <c r="BA376" i="39"/>
  <c r="BA406" i="39" s="1"/>
  <c r="BB376" i="39"/>
  <c r="AA379" i="39"/>
  <c r="AB379" i="39"/>
  <c r="AC379" i="39"/>
  <c r="AD379" i="39"/>
  <c r="AE379" i="39"/>
  <c r="AF379" i="39"/>
  <c r="AG379" i="39"/>
  <c r="AH379" i="39"/>
  <c r="E381" i="39"/>
  <c r="F381" i="39"/>
  <c r="G381" i="39"/>
  <c r="H381" i="39"/>
  <c r="I381" i="39"/>
  <c r="I407" i="39" s="1"/>
  <c r="J381" i="39"/>
  <c r="K381" i="39"/>
  <c r="L381" i="39"/>
  <c r="M381" i="39"/>
  <c r="N381" i="39"/>
  <c r="O381" i="39"/>
  <c r="P381" i="39"/>
  <c r="Q381" i="39"/>
  <c r="Q407" i="39" s="1"/>
  <c r="R381" i="39"/>
  <c r="S381" i="39"/>
  <c r="T381" i="39"/>
  <c r="U381" i="39"/>
  <c r="V381" i="39"/>
  <c r="W381" i="39"/>
  <c r="X381" i="39"/>
  <c r="Y381" i="39"/>
  <c r="Y407" i="39" s="1"/>
  <c r="Z381" i="39"/>
  <c r="AA381" i="39"/>
  <c r="AB381" i="39"/>
  <c r="AO381" i="39" s="1"/>
  <c r="AC381" i="39"/>
  <c r="AD381" i="39"/>
  <c r="AE381" i="39"/>
  <c r="AF381" i="39"/>
  <c r="AG381" i="39"/>
  <c r="AH381" i="39"/>
  <c r="AJ381" i="39"/>
  <c r="AK381" i="39"/>
  <c r="AL381" i="39"/>
  <c r="AM381" i="39"/>
  <c r="AN381" i="39"/>
  <c r="AP381" i="39"/>
  <c r="BB381" i="39" s="1"/>
  <c r="AQ381" i="39"/>
  <c r="AR381" i="39"/>
  <c r="AS381" i="39"/>
  <c r="AT381" i="39"/>
  <c r="AU381" i="39"/>
  <c r="AV381" i="39"/>
  <c r="AW381" i="39"/>
  <c r="AX381" i="39"/>
  <c r="AX407" i="39" s="1"/>
  <c r="AY381" i="39"/>
  <c r="AZ381" i="39"/>
  <c r="BA381" i="39"/>
  <c r="E382" i="39"/>
  <c r="F382" i="39"/>
  <c r="F408" i="39" s="1"/>
  <c r="G382" i="39"/>
  <c r="H382" i="39"/>
  <c r="J382" i="39"/>
  <c r="K382" i="39"/>
  <c r="L382" i="39"/>
  <c r="M382" i="39"/>
  <c r="N382" i="39"/>
  <c r="N408" i="39" s="1"/>
  <c r="O382" i="39"/>
  <c r="P382" i="39"/>
  <c r="Q382" i="39"/>
  <c r="R382" i="39"/>
  <c r="T382" i="39"/>
  <c r="U382" i="39"/>
  <c r="V382" i="39"/>
  <c r="V408" i="39" s="1"/>
  <c r="W382" i="39"/>
  <c r="X382" i="39"/>
  <c r="Z382" i="39"/>
  <c r="AA382" i="39"/>
  <c r="AD382" i="39"/>
  <c r="AF382" i="39"/>
  <c r="AH382" i="39"/>
  <c r="AJ382" i="39"/>
  <c r="AK382" i="39"/>
  <c r="AL382" i="39"/>
  <c r="AM382" i="39"/>
  <c r="AN382" i="39"/>
  <c r="AT382" i="39"/>
  <c r="AW382" i="39"/>
  <c r="BA382" i="39"/>
  <c r="C384" i="39"/>
  <c r="C407" i="39" s="1"/>
  <c r="D384" i="39"/>
  <c r="E384" i="39"/>
  <c r="F384" i="39"/>
  <c r="G384" i="39"/>
  <c r="H384" i="39"/>
  <c r="I384" i="39"/>
  <c r="J384" i="39"/>
  <c r="K384" i="39"/>
  <c r="K407" i="39" s="1"/>
  <c r="L384" i="39"/>
  <c r="M384" i="39"/>
  <c r="N384" i="39"/>
  <c r="O384" i="39"/>
  <c r="P384" i="39"/>
  <c r="Q384" i="39"/>
  <c r="R384" i="39"/>
  <c r="S384" i="39"/>
  <c r="S407" i="39" s="1"/>
  <c r="T384" i="39"/>
  <c r="U384" i="39"/>
  <c r="V384" i="39"/>
  <c r="W384" i="39"/>
  <c r="X384" i="39"/>
  <c r="Y384" i="39"/>
  <c r="Z384" i="39"/>
  <c r="AA384" i="39"/>
  <c r="AA407" i="39" s="1"/>
  <c r="AB384" i="39"/>
  <c r="AC384" i="39"/>
  <c r="AD384" i="39"/>
  <c r="AE384" i="39"/>
  <c r="AF384" i="39"/>
  <c r="AG384" i="39"/>
  <c r="AH384" i="39"/>
  <c r="AJ384" i="39"/>
  <c r="AJ407" i="39" s="1"/>
  <c r="AK384" i="39"/>
  <c r="AL384" i="39"/>
  <c r="AM384" i="39"/>
  <c r="AN384" i="39"/>
  <c r="AP384" i="39"/>
  <c r="AQ384" i="39"/>
  <c r="AR384" i="39"/>
  <c r="AR407" i="39" s="1"/>
  <c r="AS384" i="39"/>
  <c r="AT384" i="39"/>
  <c r="AU384" i="39"/>
  <c r="AV384" i="39"/>
  <c r="AW384" i="39"/>
  <c r="AX384" i="39"/>
  <c r="AY384" i="39"/>
  <c r="AZ384" i="39"/>
  <c r="AZ407" i="39" s="1"/>
  <c r="BA384" i="39"/>
  <c r="BB384" i="39"/>
  <c r="C385" i="39"/>
  <c r="D385" i="39"/>
  <c r="E385" i="39"/>
  <c r="G385" i="39"/>
  <c r="H385" i="39"/>
  <c r="I385" i="39"/>
  <c r="J385" i="39"/>
  <c r="K385" i="39"/>
  <c r="L385" i="39"/>
  <c r="M385" i="39"/>
  <c r="N385" i="39"/>
  <c r="O385" i="39"/>
  <c r="P385" i="39"/>
  <c r="Q385" i="39"/>
  <c r="R385" i="39"/>
  <c r="S385" i="39"/>
  <c r="T385" i="39"/>
  <c r="U385" i="39"/>
  <c r="V385" i="39"/>
  <c r="W385" i="39"/>
  <c r="X385" i="39"/>
  <c r="Y385" i="39"/>
  <c r="Z385" i="39"/>
  <c r="AA385" i="39"/>
  <c r="AD385" i="39"/>
  <c r="AE385" i="39"/>
  <c r="AF385" i="39"/>
  <c r="AH385" i="39"/>
  <c r="AJ385" i="39"/>
  <c r="AK385" i="39"/>
  <c r="AM385" i="39"/>
  <c r="AN385" i="39"/>
  <c r="AQ385" i="39"/>
  <c r="AR385" i="39"/>
  <c r="AS385" i="39"/>
  <c r="AU385" i="39"/>
  <c r="AV385" i="39"/>
  <c r="AW385" i="39"/>
  <c r="AY385" i="39"/>
  <c r="AZ385" i="39"/>
  <c r="BA385" i="39"/>
  <c r="C387" i="39"/>
  <c r="D387" i="39"/>
  <c r="E387" i="39"/>
  <c r="F387" i="39"/>
  <c r="F407" i="39" s="1"/>
  <c r="G387" i="39"/>
  <c r="I387" i="39"/>
  <c r="K387" i="39"/>
  <c r="M387" i="39"/>
  <c r="O387" i="39"/>
  <c r="O407" i="39" s="1"/>
  <c r="Q387" i="39"/>
  <c r="S387" i="39"/>
  <c r="U387" i="39"/>
  <c r="U407" i="39" s="1"/>
  <c r="W387" i="39"/>
  <c r="Y387" i="39"/>
  <c r="AA387" i="39"/>
  <c r="AB387" i="39"/>
  <c r="AC387" i="39"/>
  <c r="AD387" i="39"/>
  <c r="AE387" i="39"/>
  <c r="AF387" i="39"/>
  <c r="AG387" i="39"/>
  <c r="AH387" i="39"/>
  <c r="AJ387" i="39"/>
  <c r="AK387" i="39"/>
  <c r="AL387" i="39"/>
  <c r="AM387" i="39"/>
  <c r="AN387" i="39"/>
  <c r="AO387" i="39"/>
  <c r="AP387" i="39"/>
  <c r="AQ387" i="39"/>
  <c r="AR387" i="39"/>
  <c r="AS387" i="39"/>
  <c r="AT387" i="39"/>
  <c r="AU387" i="39"/>
  <c r="AV387" i="39"/>
  <c r="AW387" i="39"/>
  <c r="AX387" i="39"/>
  <c r="AY387" i="39"/>
  <c r="AZ387" i="39"/>
  <c r="BA387" i="39"/>
  <c r="BB387" i="39"/>
  <c r="D388" i="39"/>
  <c r="F388" i="39"/>
  <c r="K388" i="39"/>
  <c r="M388" i="39"/>
  <c r="O388" i="39"/>
  <c r="S388" i="39"/>
  <c r="AA388" i="39"/>
  <c r="AC388" i="39"/>
  <c r="AE388" i="39"/>
  <c r="AF388" i="39"/>
  <c r="AG388" i="39"/>
  <c r="AJ388" i="39"/>
  <c r="AK388" i="39"/>
  <c r="AL388" i="39"/>
  <c r="AN388" i="39"/>
  <c r="AN408" i="39" s="1"/>
  <c r="AN409" i="39" s="1"/>
  <c r="AR388" i="39"/>
  <c r="AS388" i="39"/>
  <c r="AT388" i="39"/>
  <c r="AV388" i="39"/>
  <c r="AW388" i="39"/>
  <c r="AZ388" i="39"/>
  <c r="BA388" i="39"/>
  <c r="C390" i="39"/>
  <c r="E390" i="39"/>
  <c r="E407" i="39" s="1"/>
  <c r="G390" i="39"/>
  <c r="I390" i="39"/>
  <c r="K390" i="39"/>
  <c r="M390" i="39"/>
  <c r="O390" i="39"/>
  <c r="Q390" i="39"/>
  <c r="S390" i="39"/>
  <c r="U390" i="39"/>
  <c r="W390" i="39"/>
  <c r="Y390" i="39"/>
  <c r="AA390" i="39"/>
  <c r="AB390" i="39"/>
  <c r="AC390" i="39"/>
  <c r="AD390" i="39"/>
  <c r="AE390" i="39"/>
  <c r="AF390" i="39"/>
  <c r="AG390" i="39"/>
  <c r="AH390" i="39"/>
  <c r="AJ390" i="39"/>
  <c r="AK390" i="39"/>
  <c r="AL390" i="39"/>
  <c r="AM390" i="39"/>
  <c r="AN390" i="39"/>
  <c r="AO390" i="39"/>
  <c r="AP390" i="39"/>
  <c r="AQ390" i="39"/>
  <c r="AR390" i="39"/>
  <c r="AS390" i="39"/>
  <c r="AT390" i="39"/>
  <c r="AU390" i="39"/>
  <c r="AV390" i="39"/>
  <c r="AW390" i="39"/>
  <c r="BB390" i="39" s="1"/>
  <c r="AX390" i="39"/>
  <c r="AY390" i="39"/>
  <c r="AZ390" i="39"/>
  <c r="BA390" i="39"/>
  <c r="C391" i="39"/>
  <c r="G391" i="39"/>
  <c r="K391" i="39"/>
  <c r="M391" i="39"/>
  <c r="O391" i="39"/>
  <c r="Q391" i="39"/>
  <c r="S391" i="39"/>
  <c r="W391" i="39"/>
  <c r="Y391" i="39"/>
  <c r="AA391" i="39"/>
  <c r="AB391" i="39"/>
  <c r="AC391" i="39"/>
  <c r="AD391" i="39"/>
  <c r="AE391" i="39"/>
  <c r="AG391" i="39"/>
  <c r="AH391" i="39"/>
  <c r="AJ391" i="39"/>
  <c r="AK391" i="39"/>
  <c r="AM391" i="39"/>
  <c r="AN391" i="39"/>
  <c r="AQ391" i="39"/>
  <c r="AR391" i="39"/>
  <c r="AS391" i="39"/>
  <c r="AT391" i="39"/>
  <c r="AV391" i="39"/>
  <c r="AX391" i="39"/>
  <c r="AY391" i="39"/>
  <c r="AZ391" i="39"/>
  <c r="BA391" i="39"/>
  <c r="C393" i="39"/>
  <c r="E393" i="39"/>
  <c r="G393" i="39"/>
  <c r="I393" i="39"/>
  <c r="K393" i="39"/>
  <c r="M393" i="39"/>
  <c r="O393" i="39"/>
  <c r="Q393" i="39"/>
  <c r="S393" i="39"/>
  <c r="U393" i="39"/>
  <c r="W393" i="39"/>
  <c r="Y393" i="39"/>
  <c r="AA393" i="39"/>
  <c r="AB393" i="39"/>
  <c r="AO393" i="39" s="1"/>
  <c r="AC393" i="39"/>
  <c r="AD393" i="39"/>
  <c r="AE393" i="39"/>
  <c r="AE407" i="39" s="1"/>
  <c r="AF393" i="39"/>
  <c r="AG393" i="39"/>
  <c r="AH393" i="39"/>
  <c r="AH407" i="39" s="1"/>
  <c r="AJ393" i="39"/>
  <c r="AK393" i="39"/>
  <c r="AL393" i="39"/>
  <c r="AM393" i="39"/>
  <c r="AN393" i="39"/>
  <c r="AN407" i="39" s="1"/>
  <c r="AP393" i="39"/>
  <c r="AQ393" i="39"/>
  <c r="AQ407" i="39" s="1"/>
  <c r="AR393" i="39"/>
  <c r="AS393" i="39"/>
  <c r="AT393" i="39"/>
  <c r="AU393" i="39"/>
  <c r="AV393" i="39"/>
  <c r="AV407" i="39" s="1"/>
  <c r="AW393" i="39"/>
  <c r="AX393" i="39"/>
  <c r="AY393" i="39"/>
  <c r="AZ393" i="39"/>
  <c r="BA393" i="39"/>
  <c r="BB393" i="39"/>
  <c r="G394" i="39"/>
  <c r="I394" i="39"/>
  <c r="K394" i="39"/>
  <c r="K408" i="39" s="1"/>
  <c r="M394" i="39"/>
  <c r="O394" i="39"/>
  <c r="Q394" i="39"/>
  <c r="S394" i="39"/>
  <c r="W394" i="39"/>
  <c r="Y394" i="39"/>
  <c r="AA394" i="39"/>
  <c r="AA408" i="39" s="1"/>
  <c r="AA409" i="39" s="1"/>
  <c r="AB394" i="39"/>
  <c r="AD394" i="39"/>
  <c r="AE394" i="39"/>
  <c r="AG394" i="39"/>
  <c r="AH394" i="39"/>
  <c r="AJ394" i="39"/>
  <c r="AJ408" i="39" s="1"/>
  <c r="AJ409" i="39" s="1"/>
  <c r="AK394" i="39"/>
  <c r="AK408" i="39" s="1"/>
  <c r="AL394" i="39"/>
  <c r="AM394" i="39"/>
  <c r="AN394" i="39"/>
  <c r="AP394" i="39"/>
  <c r="AQ394" i="39"/>
  <c r="AR394" i="39"/>
  <c r="AS394" i="39"/>
  <c r="AT394" i="39"/>
  <c r="AU394" i="39"/>
  <c r="AV394" i="39"/>
  <c r="AY394" i="39"/>
  <c r="AZ394" i="39"/>
  <c r="BA394" i="39"/>
  <c r="BA408" i="39" s="1"/>
  <c r="BB394" i="39"/>
  <c r="C396" i="39"/>
  <c r="E396" i="39"/>
  <c r="G396" i="39"/>
  <c r="I396" i="39"/>
  <c r="K396" i="39"/>
  <c r="M396" i="39"/>
  <c r="M407" i="39" s="1"/>
  <c r="O396" i="39"/>
  <c r="Q396" i="39"/>
  <c r="S396" i="39"/>
  <c r="U396" i="39"/>
  <c r="W396" i="39"/>
  <c r="Y396" i="39"/>
  <c r="AA396" i="39"/>
  <c r="AB396" i="39"/>
  <c r="AO396" i="39" s="1"/>
  <c r="AC396" i="39"/>
  <c r="AD396" i="39"/>
  <c r="AE396" i="39"/>
  <c r="AF396" i="39"/>
  <c r="AG396" i="39"/>
  <c r="AH396" i="39"/>
  <c r="AJ396" i="39"/>
  <c r="AK396" i="39"/>
  <c r="AK407" i="39" s="1"/>
  <c r="AL396" i="39"/>
  <c r="AM396" i="39"/>
  <c r="AN396" i="39"/>
  <c r="AP396" i="39"/>
  <c r="BB396" i="39" s="1"/>
  <c r="AQ396" i="39"/>
  <c r="AR396" i="39"/>
  <c r="AS396" i="39"/>
  <c r="AS407" i="39" s="1"/>
  <c r="AT396" i="39"/>
  <c r="AU396" i="39"/>
  <c r="AV396" i="39"/>
  <c r="AW396" i="39"/>
  <c r="AX396" i="39"/>
  <c r="AY396" i="39"/>
  <c r="AZ396" i="39"/>
  <c r="BA396" i="39"/>
  <c r="BA407" i="39" s="1"/>
  <c r="C397" i="39"/>
  <c r="G397" i="39"/>
  <c r="I397" i="39"/>
  <c r="K397" i="39"/>
  <c r="M397" i="39"/>
  <c r="O397" i="39"/>
  <c r="O408" i="39" s="1"/>
  <c r="Q397" i="39"/>
  <c r="S397" i="39"/>
  <c r="Y397" i="39"/>
  <c r="AA397" i="39"/>
  <c r="AB397" i="39"/>
  <c r="AC397" i="39"/>
  <c r="AD397" i="39"/>
  <c r="AE397" i="39"/>
  <c r="AG397" i="39"/>
  <c r="AH397" i="39"/>
  <c r="AJ397" i="39"/>
  <c r="AK397" i="39"/>
  <c r="AL397" i="39"/>
  <c r="AM397" i="39"/>
  <c r="AN397" i="39"/>
  <c r="AP397" i="39"/>
  <c r="AR397" i="39"/>
  <c r="AS397" i="39"/>
  <c r="AT397" i="39"/>
  <c r="AU397" i="39"/>
  <c r="AV397" i="39"/>
  <c r="AW397" i="39"/>
  <c r="AX397" i="39"/>
  <c r="AY397" i="39"/>
  <c r="AZ397" i="39"/>
  <c r="BA397" i="39"/>
  <c r="BB397" i="39"/>
  <c r="C399" i="39"/>
  <c r="E399" i="39"/>
  <c r="I399" i="39"/>
  <c r="K399" i="39"/>
  <c r="M399" i="39"/>
  <c r="O399" i="39"/>
  <c r="Q399" i="39"/>
  <c r="S399" i="39"/>
  <c r="U399" i="39"/>
  <c r="Y399" i="39"/>
  <c r="AA399" i="39"/>
  <c r="AB399" i="39"/>
  <c r="AC399" i="39"/>
  <c r="AD399" i="39"/>
  <c r="AD407" i="39" s="1"/>
  <c r="AE399" i="39"/>
  <c r="AF399" i="39"/>
  <c r="AH399" i="39"/>
  <c r="AJ399" i="39"/>
  <c r="AK399" i="39"/>
  <c r="AL399" i="39"/>
  <c r="AM399" i="39"/>
  <c r="AM407" i="39" s="1"/>
  <c r="AN399" i="39"/>
  <c r="AP399" i="39"/>
  <c r="BB399" i="39" s="1"/>
  <c r="AQ399" i="39"/>
  <c r="AR399" i="39"/>
  <c r="AS399" i="39"/>
  <c r="AT399" i="39"/>
  <c r="AU399" i="39"/>
  <c r="AU407" i="39" s="1"/>
  <c r="AV399" i="39"/>
  <c r="AW399" i="39"/>
  <c r="AX399" i="39"/>
  <c r="AY399" i="39"/>
  <c r="AZ399" i="39"/>
  <c r="BA399" i="39"/>
  <c r="C400" i="39"/>
  <c r="E400" i="39"/>
  <c r="I400" i="39"/>
  <c r="K400" i="39"/>
  <c r="M400" i="39"/>
  <c r="O400" i="39"/>
  <c r="Q400" i="39"/>
  <c r="S400" i="39"/>
  <c r="U400" i="39"/>
  <c r="Y400" i="39"/>
  <c r="AA400" i="39"/>
  <c r="AB400" i="39"/>
  <c r="AC400" i="39"/>
  <c r="AD400" i="39"/>
  <c r="AE400" i="39"/>
  <c r="AF400" i="39"/>
  <c r="AH400" i="39"/>
  <c r="AJ400" i="39"/>
  <c r="AK400" i="39"/>
  <c r="AL400" i="39"/>
  <c r="AM400" i="39"/>
  <c r="AN400" i="39"/>
  <c r="AQ400" i="39"/>
  <c r="AR400" i="39"/>
  <c r="AS400" i="39"/>
  <c r="AT400" i="39"/>
  <c r="AU400" i="39"/>
  <c r="AV400" i="39"/>
  <c r="AW400" i="39"/>
  <c r="AY400" i="39"/>
  <c r="BA400" i="39"/>
  <c r="C402" i="39"/>
  <c r="E402" i="39"/>
  <c r="G402" i="39"/>
  <c r="I402" i="39"/>
  <c r="K402" i="39"/>
  <c r="M402" i="39"/>
  <c r="O402" i="39"/>
  <c r="Q402" i="39"/>
  <c r="S402" i="39"/>
  <c r="U402" i="39"/>
  <c r="W402" i="39"/>
  <c r="Y402" i="39"/>
  <c r="AA402" i="39"/>
  <c r="AB402" i="39"/>
  <c r="AC402" i="39"/>
  <c r="AD402" i="39"/>
  <c r="AE402" i="39"/>
  <c r="AF402" i="39"/>
  <c r="AG402" i="39"/>
  <c r="AH402" i="39"/>
  <c r="AJ402" i="39"/>
  <c r="AK402" i="39"/>
  <c r="AL402" i="39"/>
  <c r="AM402" i="39"/>
  <c r="AN402" i="39"/>
  <c r="AP402" i="39"/>
  <c r="AR402" i="39"/>
  <c r="AS402" i="39"/>
  <c r="AT402" i="39"/>
  <c r="AU402" i="39"/>
  <c r="AV402" i="39"/>
  <c r="AW402" i="39"/>
  <c r="AX402" i="39"/>
  <c r="AZ402" i="39"/>
  <c r="BA402" i="39"/>
  <c r="BB402" i="39"/>
  <c r="C403" i="39"/>
  <c r="E403" i="39"/>
  <c r="G403" i="39"/>
  <c r="K403" i="39"/>
  <c r="M403" i="39"/>
  <c r="O403" i="39"/>
  <c r="Q403" i="39"/>
  <c r="S403" i="39"/>
  <c r="U403" i="39"/>
  <c r="W403" i="39"/>
  <c r="AA403" i="39"/>
  <c r="AB403" i="39"/>
  <c r="AC403" i="39"/>
  <c r="AD403" i="39"/>
  <c r="AE403" i="39"/>
  <c r="AF403" i="39"/>
  <c r="AG403" i="39"/>
  <c r="AJ403" i="39"/>
  <c r="AK403" i="39"/>
  <c r="AL403" i="39"/>
  <c r="AM403" i="39"/>
  <c r="AN403" i="39"/>
  <c r="AP403" i="39"/>
  <c r="AR403" i="39"/>
  <c r="AT403" i="39"/>
  <c r="AU403" i="39"/>
  <c r="AV403" i="39"/>
  <c r="AW403" i="39"/>
  <c r="AX403" i="39"/>
  <c r="AZ403" i="39"/>
  <c r="BA403" i="39"/>
  <c r="BB403" i="39"/>
  <c r="C405" i="39"/>
  <c r="E405" i="39"/>
  <c r="G405" i="39"/>
  <c r="I405" i="39"/>
  <c r="K405" i="39"/>
  <c r="M405" i="39"/>
  <c r="O405" i="39"/>
  <c r="Q405" i="39"/>
  <c r="S405" i="39"/>
  <c r="U405" i="39"/>
  <c r="W405" i="39"/>
  <c r="Y405" i="39"/>
  <c r="AA405" i="39"/>
  <c r="AB405" i="39"/>
  <c r="AC405" i="39"/>
  <c r="AD405" i="39"/>
  <c r="AE405" i="39"/>
  <c r="AF405" i="39"/>
  <c r="AG405" i="39"/>
  <c r="AH405" i="39"/>
  <c r="AJ405" i="39"/>
  <c r="AK405" i="39"/>
  <c r="AL405" i="39"/>
  <c r="AM405" i="39"/>
  <c r="AN405" i="39"/>
  <c r="AP405" i="39"/>
  <c r="AQ405" i="39"/>
  <c r="AR405" i="39"/>
  <c r="AS405" i="39"/>
  <c r="AT405" i="39"/>
  <c r="AU405" i="39"/>
  <c r="AV405" i="39"/>
  <c r="AW405" i="39"/>
  <c r="AX405" i="39"/>
  <c r="AY405" i="39"/>
  <c r="AZ405" i="39"/>
  <c r="BA405" i="39"/>
  <c r="BB405" i="39"/>
  <c r="G406" i="39"/>
  <c r="O406" i="39"/>
  <c r="Q406" i="39"/>
  <c r="W406" i="39"/>
  <c r="AC406" i="39"/>
  <c r="AD406" i="39"/>
  <c r="AG406" i="39"/>
  <c r="AL406" i="39"/>
  <c r="AM406" i="39"/>
  <c r="AP406" i="39"/>
  <c r="AT406" i="39"/>
  <c r="AU406" i="39"/>
  <c r="AW406" i="39"/>
  <c r="AX406" i="39"/>
  <c r="BB406" i="39"/>
  <c r="H407" i="39"/>
  <c r="J407" i="39"/>
  <c r="L407" i="39"/>
  <c r="N407" i="39"/>
  <c r="P407" i="39"/>
  <c r="R407" i="39"/>
  <c r="T407" i="39"/>
  <c r="V407" i="39"/>
  <c r="X407" i="39"/>
  <c r="Z407" i="39"/>
  <c r="AC407" i="39"/>
  <c r="AF407" i="39"/>
  <c r="AL407" i="39"/>
  <c r="AT407" i="39"/>
  <c r="AW407" i="39"/>
  <c r="H408" i="39"/>
  <c r="H409" i="39" s="1"/>
  <c r="J408" i="39"/>
  <c r="J425" i="39" s="1"/>
  <c r="L408" i="39"/>
  <c r="P408" i="39"/>
  <c r="P409" i="39" s="1"/>
  <c r="R408" i="39"/>
  <c r="R425" i="39" s="1"/>
  <c r="T408" i="39"/>
  <c r="X408" i="39"/>
  <c r="X409" i="39" s="1"/>
  <c r="Z408" i="39"/>
  <c r="Z425" i="39" s="1"/>
  <c r="J409" i="39"/>
  <c r="L409" i="39"/>
  <c r="R409" i="39"/>
  <c r="T409" i="39"/>
  <c r="Z409" i="39"/>
  <c r="C415" i="39"/>
  <c r="D415" i="39"/>
  <c r="D423" i="39" s="1"/>
  <c r="E415" i="39"/>
  <c r="F415" i="39"/>
  <c r="G415" i="39"/>
  <c r="G423" i="39" s="1"/>
  <c r="H415" i="39"/>
  <c r="J415" i="39"/>
  <c r="K415" i="39"/>
  <c r="L415" i="39"/>
  <c r="M415" i="39"/>
  <c r="N415" i="39"/>
  <c r="O415" i="39"/>
  <c r="P415" i="39"/>
  <c r="Q415" i="39"/>
  <c r="R415" i="39"/>
  <c r="S415" i="39"/>
  <c r="T415" i="39"/>
  <c r="U415" i="39"/>
  <c r="V415" i="39"/>
  <c r="W415" i="39"/>
  <c r="X415" i="39"/>
  <c r="Y415" i="39"/>
  <c r="Z415" i="39"/>
  <c r="AA415" i="39"/>
  <c r="AB415" i="39"/>
  <c r="AC415" i="39"/>
  <c r="AD415" i="39"/>
  <c r="AE415" i="39"/>
  <c r="AF415" i="39"/>
  <c r="AG415" i="39"/>
  <c r="AH415" i="39"/>
  <c r="C418" i="39"/>
  <c r="D418" i="39"/>
  <c r="E418" i="39"/>
  <c r="F418" i="39"/>
  <c r="G418" i="39"/>
  <c r="H418" i="39"/>
  <c r="I418" i="39"/>
  <c r="J418" i="39"/>
  <c r="K418" i="39"/>
  <c r="L418" i="39"/>
  <c r="M418" i="39"/>
  <c r="N418" i="39"/>
  <c r="O418" i="39"/>
  <c r="P418" i="39"/>
  <c r="Q418" i="39"/>
  <c r="R418" i="39"/>
  <c r="S418" i="39"/>
  <c r="T418" i="39"/>
  <c r="U418" i="39"/>
  <c r="V418" i="39"/>
  <c r="W418" i="39"/>
  <c r="X418" i="39"/>
  <c r="Y418" i="39"/>
  <c r="Z418" i="39"/>
  <c r="C421" i="39"/>
  <c r="D421" i="39"/>
  <c r="E421" i="39"/>
  <c r="F421" i="39"/>
  <c r="G421" i="39"/>
  <c r="H421" i="39"/>
  <c r="I421" i="39"/>
  <c r="J421" i="39"/>
  <c r="K421" i="39"/>
  <c r="L421" i="39"/>
  <c r="M421" i="39"/>
  <c r="N421" i="39"/>
  <c r="O421" i="39"/>
  <c r="P421" i="39"/>
  <c r="Q421" i="39"/>
  <c r="R421" i="39"/>
  <c r="S421" i="39"/>
  <c r="T421" i="39"/>
  <c r="U421" i="39"/>
  <c r="V421" i="39"/>
  <c r="W421" i="39"/>
  <c r="X421" i="39"/>
  <c r="Y421" i="39"/>
  <c r="Z421" i="39"/>
  <c r="C423" i="39"/>
  <c r="E423" i="39"/>
  <c r="F423" i="39"/>
  <c r="H423" i="39"/>
  <c r="I423" i="39"/>
  <c r="J423" i="39"/>
  <c r="K423" i="39"/>
  <c r="L423" i="39"/>
  <c r="M423" i="39"/>
  <c r="N423" i="39"/>
  <c r="O423" i="39"/>
  <c r="P423" i="39"/>
  <c r="P425" i="39" s="1"/>
  <c r="Q423" i="39"/>
  <c r="R423" i="39"/>
  <c r="S423" i="39"/>
  <c r="T423" i="39"/>
  <c r="U423" i="39"/>
  <c r="V423" i="39"/>
  <c r="W423" i="39"/>
  <c r="X423" i="39"/>
  <c r="Y423" i="39"/>
  <c r="Z423" i="39"/>
  <c r="H425" i="39"/>
  <c r="L425" i="39"/>
  <c r="T425" i="39"/>
  <c r="X425" i="39"/>
  <c r="L432" i="39"/>
  <c r="D407" i="39" l="1"/>
  <c r="D32" i="39"/>
  <c r="D33" i="39" s="1"/>
  <c r="D408" i="39"/>
  <c r="BA409" i="39"/>
  <c r="V409" i="39"/>
  <c r="V425" i="39"/>
  <c r="AO376" i="39"/>
  <c r="AO406" i="39" s="1"/>
  <c r="AY407" i="39"/>
  <c r="K425" i="39"/>
  <c r="K409" i="39"/>
  <c r="O409" i="39"/>
  <c r="O425" i="39"/>
  <c r="BB407" i="39"/>
  <c r="M409" i="39"/>
  <c r="M425" i="39"/>
  <c r="AK409" i="39"/>
  <c r="F409" i="39"/>
  <c r="F425" i="39"/>
  <c r="AO394" i="39"/>
  <c r="N409" i="39"/>
  <c r="N425" i="39"/>
  <c r="AY350" i="39"/>
  <c r="AY349" i="39"/>
  <c r="AY348" i="39"/>
  <c r="AY347" i="39"/>
  <c r="AY346" i="39"/>
  <c r="AY345" i="39"/>
  <c r="AY344" i="39"/>
  <c r="AY353" i="39"/>
  <c r="AG328" i="39"/>
  <c r="AO328" i="39" s="1"/>
  <c r="AG327" i="39"/>
  <c r="AO327" i="39" s="1"/>
  <c r="AG326" i="39"/>
  <c r="AG325" i="39"/>
  <c r="AG324" i="39"/>
  <c r="AO324" i="39" s="1"/>
  <c r="AG323" i="39"/>
  <c r="AO323" i="39" s="1"/>
  <c r="AG322" i="39"/>
  <c r="AG331" i="39"/>
  <c r="AY402" i="39"/>
  <c r="AO346" i="39"/>
  <c r="AO332" i="39"/>
  <c r="AG330" i="39"/>
  <c r="AG332" i="39" s="1"/>
  <c r="AG400" i="39" s="1"/>
  <c r="AO400" i="39" s="1"/>
  <c r="AO325" i="39"/>
  <c r="AO306" i="39"/>
  <c r="AW256" i="39"/>
  <c r="BB256" i="39" s="1"/>
  <c r="AW259" i="39"/>
  <c r="AW258" i="39"/>
  <c r="AW255" i="39"/>
  <c r="AW254" i="39"/>
  <c r="AW257" i="39"/>
  <c r="AW263" i="39"/>
  <c r="AW262" i="39"/>
  <c r="AW264" i="39" s="1"/>
  <c r="AW391" i="39" s="1"/>
  <c r="AW408" i="39" s="1"/>
  <c r="AW409" i="39" s="1"/>
  <c r="AF256" i="39"/>
  <c r="AF259" i="39"/>
  <c r="AO259" i="39" s="1"/>
  <c r="AF254" i="39"/>
  <c r="AF258" i="39"/>
  <c r="AF257" i="39"/>
  <c r="AF263" i="39"/>
  <c r="AF255" i="39"/>
  <c r="AF262" i="39"/>
  <c r="AF264" i="39" s="1"/>
  <c r="AF391" i="39" s="1"/>
  <c r="U256" i="39"/>
  <c r="U255" i="39"/>
  <c r="U259" i="39"/>
  <c r="U258" i="39"/>
  <c r="U254" i="39"/>
  <c r="U257" i="39"/>
  <c r="U263" i="39"/>
  <c r="U262" i="39"/>
  <c r="U264" i="39" s="1"/>
  <c r="U391" i="39" s="1"/>
  <c r="E256" i="39"/>
  <c r="E259" i="39"/>
  <c r="E255" i="39"/>
  <c r="E258" i="39"/>
  <c r="E254" i="39"/>
  <c r="E257" i="39"/>
  <c r="E263" i="39"/>
  <c r="E262" i="39"/>
  <c r="E264" i="39" s="1"/>
  <c r="E391" i="39" s="1"/>
  <c r="AP407" i="39"/>
  <c r="AB406" i="39"/>
  <c r="AO350" i="39"/>
  <c r="AH350" i="39"/>
  <c r="AH349" i="39"/>
  <c r="AO349" i="39" s="1"/>
  <c r="AH348" i="39"/>
  <c r="AO348" i="39" s="1"/>
  <c r="AH347" i="39"/>
  <c r="AH346" i="39"/>
  <c r="AH345" i="39"/>
  <c r="AH344" i="39"/>
  <c r="AH353" i="39"/>
  <c r="AO353" i="39" s="1"/>
  <c r="Y350" i="39"/>
  <c r="Y349" i="39"/>
  <c r="Y348" i="39"/>
  <c r="Y347" i="39"/>
  <c r="Y346" i="39"/>
  <c r="Y345" i="39"/>
  <c r="Y344" i="39"/>
  <c r="Y353" i="39"/>
  <c r="I350" i="39"/>
  <c r="I349" i="39"/>
  <c r="I348" i="39"/>
  <c r="I347" i="39"/>
  <c r="I346" i="39"/>
  <c r="I345" i="39"/>
  <c r="I344" i="39"/>
  <c r="I353" i="39"/>
  <c r="BB330" i="39"/>
  <c r="AP332" i="39"/>
  <c r="AQ350" i="39"/>
  <c r="AQ349" i="39"/>
  <c r="AQ348" i="39"/>
  <c r="AQ347" i="39"/>
  <c r="AQ346" i="39"/>
  <c r="AQ345" i="39"/>
  <c r="AQ344" i="39"/>
  <c r="AQ353" i="39"/>
  <c r="BA368" i="39"/>
  <c r="AS368" i="39"/>
  <c r="AK368" i="39"/>
  <c r="AZ367" i="39"/>
  <c r="AR367" i="39"/>
  <c r="AJ367" i="39"/>
  <c r="AO367" i="39" s="1"/>
  <c r="AA367" i="39"/>
  <c r="K367" i="39"/>
  <c r="AH352" i="39"/>
  <c r="AH354" i="39" s="1"/>
  <c r="AH403" i="39" s="1"/>
  <c r="Y352" i="39"/>
  <c r="Y354" i="39" s="1"/>
  <c r="Y403" i="39" s="1"/>
  <c r="I352" i="39"/>
  <c r="I354" i="39" s="1"/>
  <c r="I403" i="39" s="1"/>
  <c r="AX328" i="39"/>
  <c r="AX327" i="39"/>
  <c r="AX326" i="39"/>
  <c r="AX325" i="39"/>
  <c r="AX324" i="39"/>
  <c r="AX323" i="39"/>
  <c r="AX322" i="39"/>
  <c r="AX331" i="39"/>
  <c r="AX332" i="39" s="1"/>
  <c r="AX400" i="39" s="1"/>
  <c r="AP328" i="39"/>
  <c r="BB328" i="39" s="1"/>
  <c r="AP327" i="39"/>
  <c r="BB327" i="39" s="1"/>
  <c r="AP326" i="39"/>
  <c r="BB326" i="39" s="1"/>
  <c r="BB320" i="39"/>
  <c r="AP325" i="39"/>
  <c r="BB325" i="39" s="1"/>
  <c r="AP324" i="39"/>
  <c r="BB324" i="39" s="1"/>
  <c r="AP323" i="39"/>
  <c r="AP322" i="39"/>
  <c r="AP331" i="39"/>
  <c r="BB259" i="39"/>
  <c r="W240" i="39"/>
  <c r="W388" i="39" s="1"/>
  <c r="AO236" i="39"/>
  <c r="G328" i="39"/>
  <c r="G327" i="39"/>
  <c r="G326" i="39"/>
  <c r="G325" i="39"/>
  <c r="G324" i="39"/>
  <c r="G323" i="39"/>
  <c r="G322" i="39"/>
  <c r="G331" i="39"/>
  <c r="G332" i="39" s="1"/>
  <c r="G400" i="39" s="1"/>
  <c r="AZ368" i="39"/>
  <c r="AR368" i="39"/>
  <c r="AJ368" i="39"/>
  <c r="AO368" i="39" s="1"/>
  <c r="AA368" i="39"/>
  <c r="K368" i="39"/>
  <c r="AO364" i="39"/>
  <c r="AO405" i="39" s="1"/>
  <c r="AY352" i="39"/>
  <c r="AY354" i="39" s="1"/>
  <c r="AY403" i="39" s="1"/>
  <c r="AQ352" i="39"/>
  <c r="AQ354" i="39" s="1"/>
  <c r="AQ403" i="39" s="1"/>
  <c r="AO330" i="39"/>
  <c r="W328" i="39"/>
  <c r="W327" i="39"/>
  <c r="W326" i="39"/>
  <c r="W325" i="39"/>
  <c r="W324" i="39"/>
  <c r="W323" i="39"/>
  <c r="W322" i="39"/>
  <c r="W331" i="39"/>
  <c r="W332" i="39" s="1"/>
  <c r="W400" i="39" s="1"/>
  <c r="AO384" i="39"/>
  <c r="AO407" i="39" s="1"/>
  <c r="AO347" i="39"/>
  <c r="AO345" i="39"/>
  <c r="AB407" i="39"/>
  <c r="AZ370" i="39"/>
  <c r="AR370" i="39"/>
  <c r="AJ370" i="39"/>
  <c r="AO370" i="39" s="1"/>
  <c r="AA370" i="39"/>
  <c r="K370" i="39"/>
  <c r="AO326" i="39"/>
  <c r="AW306" i="39"/>
  <c r="AW305" i="39"/>
  <c r="AW304" i="39"/>
  <c r="AW303" i="39"/>
  <c r="AW302" i="39"/>
  <c r="AW301" i="39"/>
  <c r="AW300" i="39"/>
  <c r="AW309" i="39"/>
  <c r="AF306" i="39"/>
  <c r="AF305" i="39"/>
  <c r="AO305" i="39" s="1"/>
  <c r="AF304" i="39"/>
  <c r="AO304" i="39" s="1"/>
  <c r="AF303" i="39"/>
  <c r="AO303" i="39" s="1"/>
  <c r="AF302" i="39"/>
  <c r="AO302" i="39" s="1"/>
  <c r="AF301" i="39"/>
  <c r="AO301" i="39" s="1"/>
  <c r="AF300" i="39"/>
  <c r="AO300" i="39" s="1"/>
  <c r="AF309" i="39"/>
  <c r="AF310" i="39" s="1"/>
  <c r="U306" i="39"/>
  <c r="U305" i="39"/>
  <c r="U304" i="39"/>
  <c r="U303" i="39"/>
  <c r="U302" i="39"/>
  <c r="U301" i="39"/>
  <c r="U300" i="39"/>
  <c r="U309" i="39"/>
  <c r="U310" i="39" s="1"/>
  <c r="U397" i="39" s="1"/>
  <c r="E306" i="39"/>
  <c r="E305" i="39"/>
  <c r="E304" i="39"/>
  <c r="E303" i="39"/>
  <c r="E302" i="39"/>
  <c r="E301" i="39"/>
  <c r="E300" i="39"/>
  <c r="E309" i="39"/>
  <c r="E310" i="39" s="1"/>
  <c r="E397" i="39" s="1"/>
  <c r="AW286" i="39"/>
  <c r="AW288" i="39" s="1"/>
  <c r="AW394" i="39" s="1"/>
  <c r="AW284" i="39"/>
  <c r="AW283" i="39"/>
  <c r="AW282" i="39"/>
  <c r="AW281" i="39"/>
  <c r="AW279" i="39"/>
  <c r="AW280" i="39"/>
  <c r="AW278" i="39"/>
  <c r="AF286" i="39"/>
  <c r="AF288" i="39" s="1"/>
  <c r="AF394" i="39" s="1"/>
  <c r="AF284" i="39"/>
  <c r="AO284" i="39" s="1"/>
  <c r="AF283" i="39"/>
  <c r="AO283" i="39" s="1"/>
  <c r="AF282" i="39"/>
  <c r="AO282" i="39" s="1"/>
  <c r="AF281" i="39"/>
  <c r="AO281" i="39" s="1"/>
  <c r="AF279" i="39"/>
  <c r="AO279" i="39" s="1"/>
  <c r="AF280" i="39"/>
  <c r="AF278" i="39"/>
  <c r="U286" i="39"/>
  <c r="U288" i="39" s="1"/>
  <c r="U394" i="39" s="1"/>
  <c r="U284" i="39"/>
  <c r="U283" i="39"/>
  <c r="U282" i="39"/>
  <c r="U281" i="39"/>
  <c r="U279" i="39"/>
  <c r="U280" i="39"/>
  <c r="U278" i="39"/>
  <c r="E286" i="39"/>
  <c r="E288" i="39" s="1"/>
  <c r="E394" i="39" s="1"/>
  <c r="E284" i="39"/>
  <c r="E283" i="39"/>
  <c r="E282" i="39"/>
  <c r="E281" i="39"/>
  <c r="E279" i="39"/>
  <c r="E280" i="39"/>
  <c r="E278" i="39"/>
  <c r="BB263" i="39"/>
  <c r="AO263" i="39"/>
  <c r="AG399" i="39"/>
  <c r="AO399" i="39" s="1"/>
  <c r="W399" i="39"/>
  <c r="W407" i="39" s="1"/>
  <c r="G399" i="39"/>
  <c r="G407" i="39" s="1"/>
  <c r="AA371" i="39"/>
  <c r="K371" i="39"/>
  <c r="AO309" i="39"/>
  <c r="AO286" i="39"/>
  <c r="AP264" i="39"/>
  <c r="AO320" i="39"/>
  <c r="G280" i="39"/>
  <c r="AO262" i="39"/>
  <c r="U240" i="39"/>
  <c r="U388" i="39" s="1"/>
  <c r="AX235" i="39"/>
  <c r="AH233" i="39"/>
  <c r="AH231" i="39"/>
  <c r="AH232" i="39"/>
  <c r="AH238" i="39"/>
  <c r="AH240" i="39" s="1"/>
  <c r="AH388" i="39" s="1"/>
  <c r="Y233" i="39"/>
  <c r="Y231" i="39"/>
  <c r="Y232" i="39"/>
  <c r="Y238" i="39"/>
  <c r="Y240" i="39" s="1"/>
  <c r="Y388" i="39" s="1"/>
  <c r="I233" i="39"/>
  <c r="I231" i="39"/>
  <c r="I232" i="39"/>
  <c r="I238" i="39"/>
  <c r="I240" i="39" s="1"/>
  <c r="I388" i="39" s="1"/>
  <c r="BB86" i="39"/>
  <c r="AO342" i="39"/>
  <c r="AO402" i="39" s="1"/>
  <c r="AO331" i="39"/>
  <c r="Q258" i="39"/>
  <c r="Q254" i="39"/>
  <c r="AY233" i="39"/>
  <c r="AY231" i="39"/>
  <c r="AY232" i="39"/>
  <c r="AY238" i="39"/>
  <c r="AY240" i="39" s="1"/>
  <c r="AY388" i="39" s="1"/>
  <c r="AQ233" i="39"/>
  <c r="AQ231" i="39"/>
  <c r="AQ232" i="39"/>
  <c r="AQ238" i="39"/>
  <c r="AQ240" i="39" s="1"/>
  <c r="AQ388" i="39" s="1"/>
  <c r="AG231" i="39"/>
  <c r="AG232" i="39"/>
  <c r="AG230" i="39"/>
  <c r="AG236" i="39"/>
  <c r="W231" i="39"/>
  <c r="W232" i="39"/>
  <c r="W230" i="39"/>
  <c r="W236" i="39"/>
  <c r="G231" i="39"/>
  <c r="G232" i="39"/>
  <c r="G230" i="39"/>
  <c r="G236" i="39"/>
  <c r="BB92" i="39"/>
  <c r="AX231" i="39"/>
  <c r="AX232" i="39"/>
  <c r="AX230" i="39"/>
  <c r="AX236" i="39"/>
  <c r="BB228" i="39"/>
  <c r="AP231" i="39"/>
  <c r="BB231" i="39" s="1"/>
  <c r="AP232" i="39"/>
  <c r="BB232" i="39" s="1"/>
  <c r="AP230" i="39"/>
  <c r="BB230" i="39" s="1"/>
  <c r="AP236" i="39"/>
  <c r="BB236" i="39" s="1"/>
  <c r="AL208" i="39"/>
  <c r="AL210" i="39"/>
  <c r="AL212" i="39"/>
  <c r="AL209" i="39"/>
  <c r="AL211" i="39"/>
  <c r="AL207" i="39"/>
  <c r="AL214" i="39"/>
  <c r="AL216" i="39" s="1"/>
  <c r="AL385" i="39" s="1"/>
  <c r="AL408" i="39" s="1"/>
  <c r="AL409" i="39" s="1"/>
  <c r="AL206" i="39"/>
  <c r="AL215" i="39"/>
  <c r="AC208" i="39"/>
  <c r="AC210" i="39"/>
  <c r="AO210" i="39" s="1"/>
  <c r="AC212" i="39"/>
  <c r="AC209" i="39"/>
  <c r="AC211" i="39"/>
  <c r="AO211" i="39" s="1"/>
  <c r="AC207" i="39"/>
  <c r="AC214" i="39"/>
  <c r="AC216" i="39" s="1"/>
  <c r="AC385" i="39" s="1"/>
  <c r="AC206" i="39"/>
  <c r="AC215" i="39"/>
  <c r="AV344" i="39"/>
  <c r="AN344" i="39"/>
  <c r="AE344" i="39"/>
  <c r="AO344" i="39" s="1"/>
  <c r="S344" i="39"/>
  <c r="AU322" i="39"/>
  <c r="AM322" i="39"/>
  <c r="AD322" i="39"/>
  <c r="AO322" i="39" s="1"/>
  <c r="Q322" i="39"/>
  <c r="AT278" i="39"/>
  <c r="AL278" i="39"/>
  <c r="AC278" i="39"/>
  <c r="AO278" i="39" s="1"/>
  <c r="O278" i="39"/>
  <c r="AM255" i="39"/>
  <c r="AP238" i="39"/>
  <c r="W235" i="39"/>
  <c r="AY230" i="39"/>
  <c r="AH230" i="39"/>
  <c r="AO207" i="39"/>
  <c r="AT280" i="39"/>
  <c r="AL280" i="39"/>
  <c r="AC280" i="39"/>
  <c r="O280" i="39"/>
  <c r="AD256" i="39"/>
  <c r="AS254" i="39"/>
  <c r="S254" i="39"/>
  <c r="Y236" i="39"/>
  <c r="AG235" i="39"/>
  <c r="AP233" i="39"/>
  <c r="BB233" i="39" s="1"/>
  <c r="AM231" i="39"/>
  <c r="AM232" i="39"/>
  <c r="AM230" i="39"/>
  <c r="AM238" i="39"/>
  <c r="AM240" i="39" s="1"/>
  <c r="AM388" i="39" s="1"/>
  <c r="AM408" i="39" s="1"/>
  <c r="AM409" i="39" s="1"/>
  <c r="AM233" i="39"/>
  <c r="AD231" i="39"/>
  <c r="AD232" i="39"/>
  <c r="AD230" i="39"/>
  <c r="AO230" i="39" s="1"/>
  <c r="AD238" i="39"/>
  <c r="AD233" i="39"/>
  <c r="AO233" i="39" s="1"/>
  <c r="BA280" i="39"/>
  <c r="AS280" i="39"/>
  <c r="AK280" i="39"/>
  <c r="AB280" i="39"/>
  <c r="AO280" i="39" s="1"/>
  <c r="M280" i="39"/>
  <c r="BA257" i="39"/>
  <c r="AS257" i="39"/>
  <c r="BB257" i="39" s="1"/>
  <c r="AK257" i="39"/>
  <c r="AB257" i="39"/>
  <c r="M257" i="39"/>
  <c r="AN256" i="39"/>
  <c r="AO256" i="39" s="1"/>
  <c r="AU255" i="39"/>
  <c r="BB255" i="39" s="1"/>
  <c r="AK255" i="39"/>
  <c r="AR254" i="39"/>
  <c r="AQ254" i="39"/>
  <c r="BB252" i="39"/>
  <c r="I254" i="39"/>
  <c r="I258" i="39"/>
  <c r="AX238" i="39"/>
  <c r="AX240" i="39" s="1"/>
  <c r="AX388" i="39" s="1"/>
  <c r="AB240" i="39"/>
  <c r="G238" i="39"/>
  <c r="G240" i="39" s="1"/>
  <c r="G388" i="39" s="1"/>
  <c r="AQ235" i="39"/>
  <c r="I230" i="39"/>
  <c r="AU231" i="39"/>
  <c r="AU232" i="39"/>
  <c r="AU230" i="39"/>
  <c r="AU238" i="39"/>
  <c r="AU240" i="39" s="1"/>
  <c r="AU388" i="39" s="1"/>
  <c r="AU233" i="39"/>
  <c r="AZ280" i="39"/>
  <c r="AR280" i="39"/>
  <c r="AJ280" i="39"/>
  <c r="AA280" i="39"/>
  <c r="AV258" i="39"/>
  <c r="BB258" i="39" s="1"/>
  <c r="AN258" i="39"/>
  <c r="AE258" i="39"/>
  <c r="AO258" i="39" s="1"/>
  <c r="S258" i="39"/>
  <c r="AM256" i="39"/>
  <c r="BA254" i="39"/>
  <c r="AE254" i="39"/>
  <c r="AO254" i="39" s="1"/>
  <c r="M254" i="39"/>
  <c r="AY239" i="39"/>
  <c r="AQ239" i="39"/>
  <c r="E240" i="39"/>
  <c r="E388" i="39" s="1"/>
  <c r="AH236" i="39"/>
  <c r="AP235" i="39"/>
  <c r="BB235" i="39" s="1"/>
  <c r="AX233" i="39"/>
  <c r="G233" i="39"/>
  <c r="AW235" i="39"/>
  <c r="AF235" i="39"/>
  <c r="AO235" i="39" s="1"/>
  <c r="U235" i="39"/>
  <c r="E235" i="39"/>
  <c r="Q233" i="39"/>
  <c r="AT232" i="39"/>
  <c r="AL232" i="39"/>
  <c r="AC232" i="39"/>
  <c r="O232" i="39"/>
  <c r="AT231" i="39"/>
  <c r="AL231" i="39"/>
  <c r="AC231" i="39"/>
  <c r="AO231" i="39" s="1"/>
  <c r="O231" i="39"/>
  <c r="BA230" i="39"/>
  <c r="AS230" i="39"/>
  <c r="AK230" i="39"/>
  <c r="AT215" i="39"/>
  <c r="AX214" i="39"/>
  <c r="AX216" i="39" s="1"/>
  <c r="AX385" i="39" s="1"/>
  <c r="AP214" i="39"/>
  <c r="AG214" i="39"/>
  <c r="AB212" i="39"/>
  <c r="AB209" i="39"/>
  <c r="AK207" i="39"/>
  <c r="AG78" i="39"/>
  <c r="BB72" i="39"/>
  <c r="AO69" i="39"/>
  <c r="AO59" i="39"/>
  <c r="AB61" i="39"/>
  <c r="AO58" i="39"/>
  <c r="BB54" i="39"/>
  <c r="AO46" i="39"/>
  <c r="AB48" i="39"/>
  <c r="AO41" i="39"/>
  <c r="AO33" i="39"/>
  <c r="BB11" i="39"/>
  <c r="BB77" i="39"/>
  <c r="AX78" i="39"/>
  <c r="AX382" i="39" s="1"/>
  <c r="AP78" i="39"/>
  <c r="AS61" i="39"/>
  <c r="AS63" i="39" s="1"/>
  <c r="BB59" i="39"/>
  <c r="AO25" i="39"/>
  <c r="AU18" i="39"/>
  <c r="AU382" i="39" s="1"/>
  <c r="AU408" i="39" s="1"/>
  <c r="AU409" i="39" s="1"/>
  <c r="BB17" i="39"/>
  <c r="AO228" i="39"/>
  <c r="BB204" i="39"/>
  <c r="AT208" i="39"/>
  <c r="AT210" i="39"/>
  <c r="AT212" i="39"/>
  <c r="AT209" i="39"/>
  <c r="AT211" i="39"/>
  <c r="AO204" i="39"/>
  <c r="AB206" i="39"/>
  <c r="AO206" i="39" s="1"/>
  <c r="AB214" i="39"/>
  <c r="AZ93" i="39"/>
  <c r="AZ382" i="39" s="1"/>
  <c r="AZ408" i="39" s="1"/>
  <c r="AZ409" i="39" s="1"/>
  <c r="AR93" i="39"/>
  <c r="AR382" i="39" s="1"/>
  <c r="AR408" i="39" s="1"/>
  <c r="AR409" i="39" s="1"/>
  <c r="AO87" i="39"/>
  <c r="AO73" i="39"/>
  <c r="AO72" i="39"/>
  <c r="AO70" i="39"/>
  <c r="BB68" i="39"/>
  <c r="AY61" i="39"/>
  <c r="AY63" i="39" s="1"/>
  <c r="AY382" i="39" s="1"/>
  <c r="AY408" i="39" s="1"/>
  <c r="AQ61" i="39"/>
  <c r="AQ63" i="39" s="1"/>
  <c r="AQ382" i="39" s="1"/>
  <c r="AQ408" i="39" s="1"/>
  <c r="AQ409" i="39" s="1"/>
  <c r="AG48" i="39"/>
  <c r="AO47" i="39"/>
  <c r="BB42" i="39"/>
  <c r="BB41" i="39"/>
  <c r="AO31" i="39"/>
  <c r="Q238" i="39"/>
  <c r="Q240" i="39" s="1"/>
  <c r="Q388" i="39" s="1"/>
  <c r="Q408" i="39" s="1"/>
  <c r="AX215" i="39"/>
  <c r="AP215" i="39"/>
  <c r="BB215" i="39" s="1"/>
  <c r="AG215" i="39"/>
  <c r="AO215" i="39" s="1"/>
  <c r="AT214" i="39"/>
  <c r="AT216" i="39" s="1"/>
  <c r="AT385" i="39" s="1"/>
  <c r="AT408" i="39" s="1"/>
  <c r="AT409" i="39" s="1"/>
  <c r="AK211" i="39"/>
  <c r="AK209" i="39"/>
  <c r="AX207" i="39"/>
  <c r="BB84" i="39"/>
  <c r="AO77" i="39"/>
  <c r="BB69" i="39"/>
  <c r="BB62" i="39"/>
  <c r="AO56" i="39"/>
  <c r="BB55" i="39"/>
  <c r="AP48" i="39"/>
  <c r="BB48" i="39" s="1"/>
  <c r="BB47" i="39"/>
  <c r="AO38" i="39"/>
  <c r="BB8" i="39"/>
  <c r="BB88" i="39"/>
  <c r="AO84" i="39"/>
  <c r="BB83" i="39"/>
  <c r="AO76" i="39"/>
  <c r="AB78" i="39"/>
  <c r="AO78" i="39" s="1"/>
  <c r="AO71" i="39"/>
  <c r="AE61" i="39"/>
  <c r="AE63" i="39" s="1"/>
  <c r="AE382" i="39" s="1"/>
  <c r="AE408" i="39" s="1"/>
  <c r="AE409" i="39" s="1"/>
  <c r="AO53" i="39"/>
  <c r="AO10" i="39"/>
  <c r="Q230" i="39"/>
  <c r="AG209" i="39"/>
  <c r="AG211" i="39"/>
  <c r="AG208" i="39"/>
  <c r="AG210" i="39"/>
  <c r="AG212" i="39"/>
  <c r="W193" i="39"/>
  <c r="G193" i="39"/>
  <c r="U178" i="39"/>
  <c r="E178" i="39"/>
  <c r="S93" i="39"/>
  <c r="S382" i="39" s="1"/>
  <c r="S408" i="39" s="1"/>
  <c r="C93" i="39"/>
  <c r="AO89" i="39"/>
  <c r="AS78" i="39"/>
  <c r="BB76" i="39"/>
  <c r="BB73" i="39"/>
  <c r="BB71" i="39"/>
  <c r="BB57" i="39"/>
  <c r="AV61" i="39"/>
  <c r="AV63" i="39" s="1"/>
  <c r="AV382" i="39" s="1"/>
  <c r="AV408" i="39" s="1"/>
  <c r="AV409" i="39" s="1"/>
  <c r="AG18" i="39"/>
  <c r="AO16" i="39"/>
  <c r="Q232" i="39"/>
  <c r="AX209" i="39"/>
  <c r="AX211" i="39"/>
  <c r="AX208" i="39"/>
  <c r="AX210" i="39"/>
  <c r="AX212" i="39"/>
  <c r="AP209" i="39"/>
  <c r="BB209" i="39" s="1"/>
  <c r="AP211" i="39"/>
  <c r="BB211" i="39" s="1"/>
  <c r="AP208" i="39"/>
  <c r="BB208" i="39" s="1"/>
  <c r="AP210" i="39"/>
  <c r="BB210" i="39" s="1"/>
  <c r="AP212" i="39"/>
  <c r="BB212" i="39" s="1"/>
  <c r="S178" i="39"/>
  <c r="C178" i="39"/>
  <c r="S177" i="39"/>
  <c r="C177" i="39"/>
  <c r="K177" i="39"/>
  <c r="K178" i="39" s="1"/>
  <c r="Y78" i="39"/>
  <c r="Y382" i="39" s="1"/>
  <c r="Y408" i="39" s="1"/>
  <c r="I78" i="39"/>
  <c r="I382" i="39" s="1"/>
  <c r="I408" i="39" s="1"/>
  <c r="AO54" i="39"/>
  <c r="BB39" i="39"/>
  <c r="BB16" i="39"/>
  <c r="AP18" i="39"/>
  <c r="AO8" i="39"/>
  <c r="AX40" i="39"/>
  <c r="AP40" i="39"/>
  <c r="AG40" i="39"/>
  <c r="BA25" i="39"/>
  <c r="AS25" i="39"/>
  <c r="AK25" i="39"/>
  <c r="AC18" i="39"/>
  <c r="AC382" i="39" s="1"/>
  <c r="AC408" i="39" s="1"/>
  <c r="AC409" i="39" s="1"/>
  <c r="C113" i="39"/>
  <c r="C120" i="39" s="1"/>
  <c r="C121" i="39" s="1"/>
  <c r="AW40" i="39"/>
  <c r="AF40" i="39"/>
  <c r="AZ25" i="39"/>
  <c r="AR25" i="39"/>
  <c r="AJ25" i="39"/>
  <c r="AY211" i="39"/>
  <c r="AQ211" i="39"/>
  <c r="AU210" i="39"/>
  <c r="AM210" i="39"/>
  <c r="AD210" i="39"/>
  <c r="AY209" i="39"/>
  <c r="AQ209" i="39"/>
  <c r="AH209" i="39"/>
  <c r="AU208" i="39"/>
  <c r="AM208" i="39"/>
  <c r="AD208" i="39"/>
  <c r="C155" i="39"/>
  <c r="C162" i="39" s="1"/>
  <c r="C163" i="39" s="1"/>
  <c r="AK85" i="39"/>
  <c r="AB85" i="39"/>
  <c r="AT40" i="39"/>
  <c r="AL40" i="39"/>
  <c r="AC40" i="39"/>
  <c r="AW25" i="39"/>
  <c r="AO92" i="39"/>
  <c r="BB61" i="39"/>
  <c r="BA40" i="39"/>
  <c r="AS40" i="39"/>
  <c r="AK40" i="39"/>
  <c r="AB40" i="39"/>
  <c r="AV25" i="39"/>
  <c r="AN25" i="39"/>
  <c r="AJ208" i="39"/>
  <c r="AA208" i="39"/>
  <c r="AZ40" i="39"/>
  <c r="AR40" i="39"/>
  <c r="AJ40" i="39"/>
  <c r="AU25" i="39"/>
  <c r="AM25" i="39"/>
  <c r="AU211" i="39"/>
  <c r="AY210" i="39"/>
  <c r="AQ210" i="39"/>
  <c r="AH210" i="39"/>
  <c r="AW85" i="39"/>
  <c r="BB85" i="39" s="1"/>
  <c r="AT25" i="39"/>
  <c r="D409" i="39" l="1"/>
  <c r="D425" i="39"/>
  <c r="Q409" i="39"/>
  <c r="Q425" i="39"/>
  <c r="AF397" i="39"/>
  <c r="AO397" i="39" s="1"/>
  <c r="AO310" i="39"/>
  <c r="BB93" i="39"/>
  <c r="AB63" i="39"/>
  <c r="AO63" i="39" s="1"/>
  <c r="AO61" i="39"/>
  <c r="AG216" i="39"/>
  <c r="AG385" i="39" s="1"/>
  <c r="E408" i="39"/>
  <c r="G408" i="39"/>
  <c r="BB262" i="39"/>
  <c r="BB322" i="39"/>
  <c r="BB332" i="39"/>
  <c r="AP400" i="39"/>
  <c r="BB400" i="39" s="1"/>
  <c r="AO40" i="39"/>
  <c r="BB214" i="39"/>
  <c r="AP216" i="39"/>
  <c r="AB388" i="39"/>
  <c r="U408" i="39"/>
  <c r="BB323" i="39"/>
  <c r="AG407" i="39"/>
  <c r="AO85" i="39"/>
  <c r="I409" i="39"/>
  <c r="I425" i="39"/>
  <c r="W408" i="39"/>
  <c r="AO255" i="39"/>
  <c r="AO352" i="39"/>
  <c r="AF408" i="39"/>
  <c r="AF409" i="39" s="1"/>
  <c r="BB40" i="39"/>
  <c r="Y409" i="39"/>
  <c r="Y425" i="39"/>
  <c r="AY409" i="39"/>
  <c r="AS382" i="39"/>
  <c r="AS408" i="39" s="1"/>
  <c r="AS409" i="39" s="1"/>
  <c r="AO48" i="39"/>
  <c r="AO232" i="39"/>
  <c r="AO257" i="39"/>
  <c r="AH408" i="39"/>
  <c r="AH409" i="39" s="1"/>
  <c r="AO354" i="39"/>
  <c r="AO403" i="39" s="1"/>
  <c r="AO288" i="39"/>
  <c r="AO18" i="39"/>
  <c r="BB78" i="39"/>
  <c r="BB63" i="39"/>
  <c r="AG382" i="39"/>
  <c r="C408" i="39"/>
  <c r="AO214" i="39"/>
  <c r="AB216" i="39"/>
  <c r="AX408" i="39"/>
  <c r="AX409" i="39" s="1"/>
  <c r="AO209" i="39"/>
  <c r="BB254" i="39"/>
  <c r="AO208" i="39"/>
  <c r="AO264" i="39"/>
  <c r="BB18" i="39"/>
  <c r="AP382" i="39"/>
  <c r="S409" i="39"/>
  <c r="S425" i="39"/>
  <c r="AO212" i="39"/>
  <c r="AO238" i="39"/>
  <c r="AD240" i="39"/>
  <c r="AD388" i="39" s="1"/>
  <c r="AD408" i="39" s="1"/>
  <c r="AD409" i="39" s="1"/>
  <c r="BB238" i="39"/>
  <c r="AP240" i="39"/>
  <c r="BB264" i="39"/>
  <c r="AP391" i="39"/>
  <c r="BB391" i="39" s="1"/>
  <c r="BB331" i="39"/>
  <c r="AO391" i="39"/>
  <c r="BB382" i="39" l="1"/>
  <c r="C425" i="39"/>
  <c r="C409" i="39"/>
  <c r="AB382" i="39"/>
  <c r="U409" i="39"/>
  <c r="U425" i="39"/>
  <c r="AO216" i="39"/>
  <c r="AB385" i="39"/>
  <c r="AO385" i="39" s="1"/>
  <c r="BB240" i="39"/>
  <c r="AP388" i="39"/>
  <c r="BB388" i="39" s="1"/>
  <c r="AG408" i="39"/>
  <c r="AG409" i="39" s="1"/>
  <c r="AO388" i="39"/>
  <c r="W425" i="39"/>
  <c r="W409" i="39"/>
  <c r="AO240" i="39"/>
  <c r="G409" i="39"/>
  <c r="G425" i="39"/>
  <c r="BB216" i="39"/>
  <c r="AP385" i="39"/>
  <c r="BB385" i="39" s="1"/>
  <c r="E409" i="39"/>
  <c r="E425" i="39"/>
  <c r="BB408" i="39" l="1"/>
  <c r="BB409" i="39" s="1"/>
  <c r="AB408" i="39"/>
  <c r="AB409" i="39" s="1"/>
  <c r="AO382" i="39"/>
  <c r="AO408" i="39" s="1"/>
  <c r="AO409" i="39" s="1"/>
  <c r="AP408" i="39"/>
  <c r="AP409" i="39" s="1"/>
  <c r="O185" i="23" l="1"/>
  <c r="O85" i="23"/>
  <c r="O84" i="23"/>
  <c r="O72" i="23"/>
  <c r="O70" i="23"/>
  <c r="O69" i="23"/>
  <c r="O68" i="23"/>
  <c r="O67" i="23"/>
  <c r="O269" i="23"/>
  <c r="O267" i="23"/>
  <c r="O266" i="23"/>
  <c r="O265" i="23"/>
  <c r="O264" i="23"/>
  <c r="O263" i="23"/>
  <c r="O262" i="23"/>
  <c r="O261" i="23"/>
  <c r="O260" i="23"/>
  <c r="O259" i="23"/>
  <c r="O258" i="23"/>
  <c r="O256" i="23"/>
  <c r="O255" i="23"/>
  <c r="O251" i="23"/>
  <c r="O249" i="23"/>
  <c r="O247" i="23"/>
  <c r="O246" i="23"/>
  <c r="O245" i="23"/>
  <c r="O244" i="23"/>
  <c r="O243" i="23"/>
  <c r="O235" i="23"/>
  <c r="O234" i="23"/>
  <c r="O233" i="23"/>
  <c r="O232" i="23"/>
  <c r="O231" i="23"/>
  <c r="O230" i="23"/>
  <c r="O229" i="23"/>
  <c r="O228" i="23"/>
  <c r="O227" i="23"/>
  <c r="O226" i="23"/>
  <c r="O225" i="23"/>
  <c r="O224" i="23"/>
  <c r="O223" i="23"/>
  <c r="O220" i="23"/>
  <c r="O219" i="23"/>
  <c r="O218" i="23"/>
  <c r="O216" i="23"/>
  <c r="O214" i="23"/>
  <c r="O213" i="23"/>
  <c r="O212" i="23"/>
  <c r="O211" i="23"/>
  <c r="O209" i="23"/>
  <c r="O208" i="23"/>
  <c r="O25" i="23"/>
  <c r="O24" i="23"/>
  <c r="O207" i="23"/>
  <c r="O206" i="23"/>
  <c r="O205" i="23"/>
  <c r="O204" i="23"/>
  <c r="O203" i="23"/>
  <c r="O20" i="23"/>
  <c r="O202" i="23"/>
  <c r="O201" i="23"/>
  <c r="O198" i="23"/>
  <c r="O197" i="23"/>
  <c r="O196" i="23"/>
  <c r="O195" i="23"/>
  <c r="O194" i="23"/>
  <c r="O193" i="23"/>
  <c r="O192" i="23"/>
  <c r="O190" i="23"/>
  <c r="O189" i="23"/>
  <c r="O188" i="23"/>
  <c r="O187" i="23"/>
  <c r="O186" i="23"/>
  <c r="O152" i="23"/>
  <c r="O151" i="23"/>
  <c r="O150" i="23"/>
  <c r="O149" i="23"/>
  <c r="O148" i="23"/>
  <c r="O147" i="23"/>
  <c r="O146" i="23"/>
  <c r="O182" i="23"/>
  <c r="O181" i="23"/>
  <c r="O179" i="23"/>
  <c r="O178" i="23"/>
  <c r="O176" i="23"/>
  <c r="O175" i="23"/>
  <c r="O174" i="23"/>
  <c r="O173" i="23"/>
  <c r="O172" i="23"/>
  <c r="O171" i="23"/>
  <c r="O170" i="23"/>
  <c r="O143" i="23"/>
  <c r="O142" i="23"/>
  <c r="O141" i="23"/>
  <c r="O140" i="23"/>
  <c r="O139" i="23"/>
  <c r="O137" i="23"/>
  <c r="O136" i="23"/>
  <c r="O135" i="23"/>
  <c r="O134" i="23"/>
  <c r="O133" i="23"/>
  <c r="O132" i="23"/>
  <c r="O131" i="23"/>
  <c r="O164" i="23"/>
  <c r="O163" i="23"/>
  <c r="O162" i="23"/>
  <c r="O161" i="23"/>
  <c r="O160" i="23"/>
  <c r="O159" i="23"/>
  <c r="O158" i="23"/>
  <c r="O157" i="23"/>
  <c r="O156" i="23"/>
  <c r="O129" i="23"/>
  <c r="O128" i="23"/>
  <c r="O127" i="23"/>
  <c r="O125" i="23"/>
  <c r="O124" i="23"/>
  <c r="O122" i="23"/>
  <c r="O121" i="23"/>
  <c r="O120" i="23"/>
  <c r="O118" i="23"/>
  <c r="O111" i="23"/>
  <c r="O110" i="23"/>
  <c r="O109" i="23"/>
  <c r="O108" i="23"/>
  <c r="O89" i="23" l="1"/>
  <c r="O87" i="23"/>
  <c r="B42" i="34" l="1"/>
  <c r="B43" i="34"/>
  <c r="B44" i="34"/>
  <c r="B45" i="34"/>
  <c r="B46" i="34"/>
  <c r="B47" i="34"/>
  <c r="B48" i="34"/>
  <c r="B49" i="34"/>
  <c r="B50" i="34"/>
  <c r="C16" i="34"/>
  <c r="C26" i="34" s="1"/>
  <c r="C34" i="34" s="1"/>
  <c r="C17" i="34"/>
  <c r="C27" i="34" s="1"/>
  <c r="C35" i="34" s="1"/>
  <c r="C15" i="34"/>
  <c r="B16" i="34"/>
  <c r="B58" i="34" s="1"/>
  <c r="B17" i="34"/>
  <c r="B59" i="34" s="1"/>
  <c r="B15" i="34"/>
  <c r="B57" i="34" s="1"/>
  <c r="C10" i="34"/>
  <c r="F9" i="34"/>
  <c r="F8" i="34"/>
  <c r="C18" i="34" l="1"/>
  <c r="B27" i="34"/>
  <c r="B35" i="34" s="1"/>
  <c r="B25" i="34"/>
  <c r="B33" i="34" s="1"/>
  <c r="B26" i="34"/>
  <c r="B34" i="34" s="1"/>
  <c r="C25" i="34"/>
  <c r="C33" i="34" s="1"/>
  <c r="C36" i="34" s="1"/>
  <c r="D10" i="34"/>
  <c r="F10" i="34" s="1"/>
  <c r="E63" i="34" s="1"/>
  <c r="F7" i="34"/>
  <c r="C28" i="34" l="1"/>
  <c r="H44" i="34" l="1"/>
  <c r="G44" i="34"/>
  <c r="F44" i="34"/>
  <c r="E25" i="34"/>
  <c r="E26" i="34"/>
  <c r="E27" i="34"/>
  <c r="F41" i="34"/>
  <c r="G41" i="34"/>
  <c r="H41" i="34"/>
  <c r="F42" i="34"/>
  <c r="G42" i="34"/>
  <c r="H42" i="34"/>
  <c r="F43" i="34"/>
  <c r="G43" i="34"/>
  <c r="H43" i="34"/>
  <c r="F45" i="34"/>
  <c r="G45" i="34"/>
  <c r="H45" i="34"/>
  <c r="F46" i="34"/>
  <c r="G46" i="34"/>
  <c r="F47" i="34"/>
  <c r="G47" i="34"/>
  <c r="H47" i="34"/>
  <c r="F48" i="34"/>
  <c r="G48" i="34"/>
  <c r="H48" i="34"/>
  <c r="F49" i="34"/>
  <c r="G49" i="34"/>
  <c r="H49" i="34"/>
  <c r="F130" i="23"/>
  <c r="E15" i="23"/>
  <c r="C94" i="23"/>
  <c r="C126" i="23"/>
  <c r="E94" i="23"/>
  <c r="E130" i="23"/>
  <c r="E73" i="23"/>
  <c r="E66" i="23"/>
  <c r="E83" i="23"/>
  <c r="E88" i="23"/>
  <c r="E92" i="23"/>
  <c r="E112" i="23"/>
  <c r="E117" i="23"/>
  <c r="E119" i="23"/>
  <c r="E123" i="23"/>
  <c r="E138" i="23"/>
  <c r="E177" i="23"/>
  <c r="E145" i="23"/>
  <c r="E184" i="23"/>
  <c r="E210" i="23"/>
  <c r="E215" i="23"/>
  <c r="E217" i="23"/>
  <c r="E236" i="23"/>
  <c r="E242" i="23"/>
  <c r="E248" i="23"/>
  <c r="E254" i="23"/>
  <c r="E257" i="23"/>
  <c r="E268" i="23"/>
  <c r="N154" i="23"/>
  <c r="M154" i="23"/>
  <c r="L154" i="23"/>
  <c r="K154" i="23"/>
  <c r="J154" i="23"/>
  <c r="I154" i="23"/>
  <c r="H154" i="23"/>
  <c r="D191" i="23"/>
  <c r="C242" i="23"/>
  <c r="C222" i="23"/>
  <c r="C168" i="23"/>
  <c r="C191" i="23"/>
  <c r="C145" i="23"/>
  <c r="O272" i="23"/>
  <c r="O270" i="23"/>
  <c r="N268" i="23"/>
  <c r="M268" i="23"/>
  <c r="L268" i="23"/>
  <c r="K268" i="23"/>
  <c r="J268" i="23"/>
  <c r="I268" i="23"/>
  <c r="H268" i="23"/>
  <c r="G268" i="23"/>
  <c r="F268" i="23"/>
  <c r="D268" i="23"/>
  <c r="C268" i="23"/>
  <c r="N257" i="23"/>
  <c r="M257" i="23"/>
  <c r="L257" i="23"/>
  <c r="K257" i="23"/>
  <c r="J257" i="23"/>
  <c r="I257" i="23"/>
  <c r="H257" i="23"/>
  <c r="H254" i="23"/>
  <c r="G257" i="23"/>
  <c r="F257" i="23"/>
  <c r="D257" i="23"/>
  <c r="C257" i="23"/>
  <c r="N254" i="23"/>
  <c r="M254" i="23"/>
  <c r="L254" i="23"/>
  <c r="K254" i="23"/>
  <c r="I254" i="23"/>
  <c r="G254" i="23"/>
  <c r="F254" i="23"/>
  <c r="D254" i="23"/>
  <c r="C254" i="23"/>
  <c r="O252" i="23"/>
  <c r="N250" i="23"/>
  <c r="M250" i="23"/>
  <c r="L250" i="23"/>
  <c r="K250" i="23"/>
  <c r="J250" i="23"/>
  <c r="I250" i="23"/>
  <c r="H250" i="23"/>
  <c r="G250" i="23"/>
  <c r="F250" i="23"/>
  <c r="D250" i="23"/>
  <c r="C250" i="23"/>
  <c r="N248" i="23"/>
  <c r="M248" i="23"/>
  <c r="L248" i="23"/>
  <c r="K248" i="23"/>
  <c r="J248" i="23"/>
  <c r="I248" i="23"/>
  <c r="H248" i="23"/>
  <c r="G248" i="23"/>
  <c r="F248" i="23"/>
  <c r="D248" i="23"/>
  <c r="C248" i="23"/>
  <c r="N242" i="23"/>
  <c r="M242" i="23"/>
  <c r="L242" i="23"/>
  <c r="K242" i="23"/>
  <c r="J242" i="23"/>
  <c r="I242" i="23"/>
  <c r="H242" i="23"/>
  <c r="G242" i="23"/>
  <c r="F242" i="23"/>
  <c r="D242" i="23"/>
  <c r="O237" i="23"/>
  <c r="N236" i="23"/>
  <c r="M236" i="23"/>
  <c r="L236" i="23"/>
  <c r="K236" i="23"/>
  <c r="J236" i="23"/>
  <c r="I236" i="23"/>
  <c r="H236" i="23"/>
  <c r="G236" i="23"/>
  <c r="F236" i="23"/>
  <c r="D236" i="23"/>
  <c r="C236" i="23"/>
  <c r="N222" i="23"/>
  <c r="M222" i="23"/>
  <c r="L222" i="23"/>
  <c r="K222" i="23"/>
  <c r="J222" i="23"/>
  <c r="I222" i="23"/>
  <c r="H222" i="23"/>
  <c r="G222" i="23"/>
  <c r="D222" i="23"/>
  <c r="N217" i="23"/>
  <c r="M217" i="23"/>
  <c r="L217" i="23"/>
  <c r="K217" i="23"/>
  <c r="J217" i="23"/>
  <c r="I217" i="23"/>
  <c r="H217" i="23"/>
  <c r="G217" i="23"/>
  <c r="F217" i="23"/>
  <c r="D217" i="23"/>
  <c r="C217" i="23"/>
  <c r="N215" i="23"/>
  <c r="M215" i="23"/>
  <c r="L215" i="23"/>
  <c r="K215" i="23"/>
  <c r="J215" i="23"/>
  <c r="I215" i="23"/>
  <c r="H215" i="23"/>
  <c r="G215" i="23"/>
  <c r="F215" i="23"/>
  <c r="D215" i="23"/>
  <c r="C215" i="23"/>
  <c r="N210" i="23"/>
  <c r="M210" i="23"/>
  <c r="L210" i="23"/>
  <c r="K210" i="23"/>
  <c r="J210" i="23"/>
  <c r="I210" i="23"/>
  <c r="H210" i="23"/>
  <c r="G210" i="23"/>
  <c r="F210" i="23"/>
  <c r="D210" i="23"/>
  <c r="C210" i="23"/>
  <c r="N191" i="23"/>
  <c r="M191" i="23"/>
  <c r="L191" i="23"/>
  <c r="K191" i="23"/>
  <c r="J191" i="23"/>
  <c r="I191" i="23"/>
  <c r="H191" i="23"/>
  <c r="G191" i="23"/>
  <c r="N184" i="23"/>
  <c r="M184" i="23"/>
  <c r="L184" i="23"/>
  <c r="K184" i="23"/>
  <c r="J184" i="23"/>
  <c r="I184" i="23"/>
  <c r="H184" i="23"/>
  <c r="G184" i="23"/>
  <c r="F184" i="23"/>
  <c r="D184" i="23"/>
  <c r="C184" i="23"/>
  <c r="O153" i="23"/>
  <c r="N145" i="23"/>
  <c r="M145" i="23"/>
  <c r="L145" i="23"/>
  <c r="K145" i="23"/>
  <c r="J145" i="23"/>
  <c r="I145" i="23"/>
  <c r="H145" i="23"/>
  <c r="G145" i="23"/>
  <c r="F145" i="23"/>
  <c r="D145" i="23"/>
  <c r="O180" i="23"/>
  <c r="N177" i="23"/>
  <c r="M177" i="23"/>
  <c r="L177" i="23"/>
  <c r="K177" i="23"/>
  <c r="J177" i="23"/>
  <c r="I177" i="23"/>
  <c r="H177" i="23"/>
  <c r="G177" i="23"/>
  <c r="F177" i="23"/>
  <c r="D177" i="23"/>
  <c r="C177" i="23"/>
  <c r="O169" i="23"/>
  <c r="N168" i="23"/>
  <c r="M168" i="23"/>
  <c r="L168" i="23"/>
  <c r="K168" i="23"/>
  <c r="J168" i="23"/>
  <c r="I168" i="23"/>
  <c r="H168" i="23"/>
  <c r="G168" i="23"/>
  <c r="O144" i="23"/>
  <c r="N138" i="23"/>
  <c r="M138" i="23"/>
  <c r="L138" i="23"/>
  <c r="K138" i="23"/>
  <c r="J138" i="23"/>
  <c r="I138" i="23"/>
  <c r="H138" i="23"/>
  <c r="G138" i="23"/>
  <c r="F138" i="23"/>
  <c r="D138" i="23"/>
  <c r="C138" i="23"/>
  <c r="N130" i="23"/>
  <c r="M130" i="23"/>
  <c r="L130" i="23"/>
  <c r="K130" i="23"/>
  <c r="J130" i="23"/>
  <c r="I130" i="23"/>
  <c r="G130" i="23"/>
  <c r="D130" i="23"/>
  <c r="C130" i="23"/>
  <c r="N126" i="23"/>
  <c r="M126" i="23"/>
  <c r="L126" i="23"/>
  <c r="K126" i="23"/>
  <c r="J126" i="23"/>
  <c r="I126" i="23"/>
  <c r="H126" i="23"/>
  <c r="G126" i="23"/>
  <c r="N123" i="23"/>
  <c r="M123" i="23"/>
  <c r="L123" i="23"/>
  <c r="K123" i="23"/>
  <c r="J123" i="23"/>
  <c r="I123" i="23"/>
  <c r="H123" i="23"/>
  <c r="G123" i="23"/>
  <c r="F123" i="23"/>
  <c r="D123" i="23"/>
  <c r="C123" i="23"/>
  <c r="N119" i="23"/>
  <c r="M119" i="23"/>
  <c r="L119" i="23"/>
  <c r="K119" i="23"/>
  <c r="J119" i="23"/>
  <c r="I119" i="23"/>
  <c r="H119" i="23"/>
  <c r="G119" i="23"/>
  <c r="F119" i="23"/>
  <c r="D119" i="23"/>
  <c r="C119" i="23"/>
  <c r="N117" i="23"/>
  <c r="M117" i="23"/>
  <c r="L117" i="23"/>
  <c r="K117" i="23"/>
  <c r="J117" i="23"/>
  <c r="I117" i="23"/>
  <c r="H117" i="23"/>
  <c r="G117" i="23"/>
  <c r="F117" i="23"/>
  <c r="D117" i="23"/>
  <c r="C117" i="23"/>
  <c r="O116" i="23"/>
  <c r="O115" i="23"/>
  <c r="O114" i="23"/>
  <c r="O113" i="23"/>
  <c r="N112" i="23"/>
  <c r="M112" i="23"/>
  <c r="L112" i="23"/>
  <c r="K112" i="23"/>
  <c r="J112" i="23"/>
  <c r="I112" i="23"/>
  <c r="H112" i="23"/>
  <c r="G112" i="23"/>
  <c r="F112" i="23"/>
  <c r="D112" i="23"/>
  <c r="C112" i="23"/>
  <c r="O107" i="23"/>
  <c r="O106" i="23"/>
  <c r="O105" i="23"/>
  <c r="O104" i="23"/>
  <c r="N101" i="23"/>
  <c r="M101" i="23"/>
  <c r="L101" i="23"/>
  <c r="K101" i="23"/>
  <c r="J101" i="23"/>
  <c r="I101" i="23"/>
  <c r="H101" i="23"/>
  <c r="O99" i="23"/>
  <c r="O97" i="23"/>
  <c r="O96" i="23"/>
  <c r="O95" i="23"/>
  <c r="N94" i="23"/>
  <c r="M94" i="23"/>
  <c r="L94" i="23"/>
  <c r="K94" i="23"/>
  <c r="J94" i="23"/>
  <c r="I94" i="23"/>
  <c r="H94" i="23"/>
  <c r="G94" i="23"/>
  <c r="F94" i="23"/>
  <c r="O93" i="23"/>
  <c r="N92" i="23"/>
  <c r="M92" i="23"/>
  <c r="L92" i="23"/>
  <c r="K92" i="23"/>
  <c r="J92" i="23"/>
  <c r="I92" i="23"/>
  <c r="H92" i="23"/>
  <c r="G92" i="23"/>
  <c r="F92" i="23"/>
  <c r="D92" i="23"/>
  <c r="C92" i="23"/>
  <c r="O65" i="23"/>
  <c r="N62" i="23"/>
  <c r="L62" i="23"/>
  <c r="K62" i="23"/>
  <c r="J62" i="23"/>
  <c r="I62" i="23"/>
  <c r="H62" i="23"/>
  <c r="G62" i="23"/>
  <c r="F62" i="23"/>
  <c r="D62" i="23"/>
  <c r="O91" i="23"/>
  <c r="O90" i="23"/>
  <c r="N88" i="23"/>
  <c r="M88" i="23"/>
  <c r="L88" i="23"/>
  <c r="K88" i="23"/>
  <c r="J88" i="23"/>
  <c r="I88" i="23"/>
  <c r="H88" i="23"/>
  <c r="G88" i="23"/>
  <c r="F88" i="23"/>
  <c r="D88" i="23"/>
  <c r="C88" i="23"/>
  <c r="C86" i="23"/>
  <c r="N83" i="23"/>
  <c r="M83" i="23"/>
  <c r="L83" i="23"/>
  <c r="K83" i="23"/>
  <c r="J83" i="23"/>
  <c r="I83" i="23"/>
  <c r="H83" i="23"/>
  <c r="G83" i="23"/>
  <c r="F83" i="23"/>
  <c r="D83" i="23"/>
  <c r="C83" i="23"/>
  <c r="N66" i="23"/>
  <c r="M66" i="23"/>
  <c r="L66" i="23"/>
  <c r="K66" i="23"/>
  <c r="J66" i="23"/>
  <c r="I66" i="23"/>
  <c r="H66" i="23"/>
  <c r="D66" i="23"/>
  <c r="O81" i="23"/>
  <c r="O80" i="23"/>
  <c r="O79" i="23"/>
  <c r="O78" i="23"/>
  <c r="O77" i="23"/>
  <c r="O76" i="23"/>
  <c r="O75" i="23"/>
  <c r="N73" i="23"/>
  <c r="M73" i="23"/>
  <c r="L73" i="23"/>
  <c r="K73" i="23"/>
  <c r="J73" i="23"/>
  <c r="I73" i="23"/>
  <c r="H73" i="23"/>
  <c r="G73" i="23"/>
  <c r="D73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5" i="23"/>
  <c r="O44" i="23"/>
  <c r="O43" i="23"/>
  <c r="O42" i="23"/>
  <c r="O41" i="23"/>
  <c r="O40" i="23"/>
  <c r="O38" i="23"/>
  <c r="O37" i="23"/>
  <c r="O36" i="23"/>
  <c r="O35" i="23"/>
  <c r="O34" i="23"/>
  <c r="K28" i="23"/>
  <c r="O32" i="23"/>
  <c r="O31" i="23"/>
  <c r="O30" i="23"/>
  <c r="O29" i="23"/>
  <c r="N28" i="23"/>
  <c r="N15" i="23"/>
  <c r="M15" i="23"/>
  <c r="L15" i="23"/>
  <c r="K15" i="23"/>
  <c r="I15" i="23"/>
  <c r="H15" i="23"/>
  <c r="G15" i="23"/>
  <c r="F15" i="23"/>
  <c r="O11" i="23"/>
  <c r="O9" i="23"/>
  <c r="O8" i="23"/>
  <c r="O7" i="23"/>
  <c r="O6" i="23"/>
  <c r="C73" i="23"/>
  <c r="Q242" i="8"/>
  <c r="S242" i="8"/>
  <c r="C241" i="8"/>
  <c r="C240" i="8"/>
  <c r="S239" i="8"/>
  <c r="Q234" i="8"/>
  <c r="S234" i="8"/>
  <c r="P233" i="8"/>
  <c r="O233" i="8"/>
  <c r="N233" i="8"/>
  <c r="N232" i="8"/>
  <c r="M233" i="8"/>
  <c r="M232" i="8"/>
  <c r="L233" i="8"/>
  <c r="L232" i="8"/>
  <c r="K233" i="8"/>
  <c r="J233" i="8"/>
  <c r="J232" i="8"/>
  <c r="I233" i="8"/>
  <c r="I232" i="8"/>
  <c r="H233" i="8"/>
  <c r="G233" i="8"/>
  <c r="F233" i="8"/>
  <c r="F232" i="8"/>
  <c r="E233" i="8"/>
  <c r="E232" i="8"/>
  <c r="D233" i="8"/>
  <c r="P232" i="8"/>
  <c r="O232" i="8"/>
  <c r="K232" i="8"/>
  <c r="H232" i="8"/>
  <c r="G232" i="8"/>
  <c r="Q231" i="8"/>
  <c r="S231" i="8"/>
  <c r="Q230" i="8"/>
  <c r="S230" i="8"/>
  <c r="Q229" i="8"/>
  <c r="S229" i="8"/>
  <c r="Q228" i="8"/>
  <c r="S228" i="8"/>
  <c r="Q227" i="8"/>
  <c r="S227" i="8"/>
  <c r="Q226" i="8"/>
  <c r="S226" i="8"/>
  <c r="Q225" i="8"/>
  <c r="S225" i="8"/>
  <c r="Q224" i="8"/>
  <c r="S224" i="8"/>
  <c r="Q223" i="8"/>
  <c r="S223" i="8"/>
  <c r="Q222" i="8"/>
  <c r="P221" i="8"/>
  <c r="O221" i="8"/>
  <c r="N221" i="8"/>
  <c r="M221" i="8"/>
  <c r="L221" i="8"/>
  <c r="K221" i="8"/>
  <c r="J221" i="8"/>
  <c r="I221" i="8"/>
  <c r="H221" i="8"/>
  <c r="G221" i="8"/>
  <c r="F221" i="8"/>
  <c r="E221" i="8"/>
  <c r="D221" i="8"/>
  <c r="Q220" i="8"/>
  <c r="S220" i="8"/>
  <c r="Q219" i="8"/>
  <c r="S219" i="8"/>
  <c r="S218" i="8"/>
  <c r="P218" i="8"/>
  <c r="O218" i="8"/>
  <c r="N218" i="8"/>
  <c r="M218" i="8"/>
  <c r="M217" i="8"/>
  <c r="L218" i="8"/>
  <c r="K218" i="8"/>
  <c r="J218" i="8"/>
  <c r="I218" i="8"/>
  <c r="I217" i="8"/>
  <c r="H218" i="8"/>
  <c r="G218" i="8"/>
  <c r="F218" i="8"/>
  <c r="E218" i="8"/>
  <c r="E217" i="8"/>
  <c r="D218" i="8"/>
  <c r="P217" i="8"/>
  <c r="L217" i="8"/>
  <c r="H217" i="8"/>
  <c r="D217" i="8"/>
  <c r="Q216" i="8"/>
  <c r="S216" i="8"/>
  <c r="Q215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Q213" i="8"/>
  <c r="S213" i="8"/>
  <c r="S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D212" i="8"/>
  <c r="Q211" i="8"/>
  <c r="S211" i="8"/>
  <c r="Q210" i="8"/>
  <c r="P209" i="8"/>
  <c r="O209" i="8"/>
  <c r="N209" i="8"/>
  <c r="M209" i="8"/>
  <c r="L209" i="8"/>
  <c r="K209" i="8"/>
  <c r="K208" i="8"/>
  <c r="J209" i="8"/>
  <c r="J208" i="8"/>
  <c r="I209" i="8"/>
  <c r="H209" i="8"/>
  <c r="G209" i="8"/>
  <c r="F209" i="8"/>
  <c r="E209" i="8"/>
  <c r="D209" i="8"/>
  <c r="O208" i="8"/>
  <c r="N208" i="8"/>
  <c r="G208" i="8"/>
  <c r="F208" i="8"/>
  <c r="S207" i="8"/>
  <c r="S206" i="8"/>
  <c r="Q207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Q205" i="8"/>
  <c r="S205" i="8"/>
  <c r="Q204" i="8"/>
  <c r="S204" i="8"/>
  <c r="Q203" i="8"/>
  <c r="S203" i="8"/>
  <c r="Q202" i="8"/>
  <c r="S202" i="8"/>
  <c r="S201" i="8"/>
  <c r="Q201" i="8"/>
  <c r="Q200" i="8"/>
  <c r="S200" i="8"/>
  <c r="Q199" i="8"/>
  <c r="S199" i="8"/>
  <c r="Q198" i="8"/>
  <c r="S198" i="8"/>
  <c r="Q197" i="8"/>
  <c r="S197" i="8"/>
  <c r="Q196" i="8"/>
  <c r="S196" i="8"/>
  <c r="Q195" i="8"/>
  <c r="S195" i="8"/>
  <c r="Q194" i="8"/>
  <c r="S194" i="8"/>
  <c r="Q193" i="8"/>
  <c r="S193" i="8"/>
  <c r="Q192" i="8"/>
  <c r="P191" i="8"/>
  <c r="O191" i="8"/>
  <c r="N191" i="8"/>
  <c r="N190" i="8"/>
  <c r="M191" i="8"/>
  <c r="L191" i="8"/>
  <c r="K191" i="8"/>
  <c r="J191" i="8"/>
  <c r="J190" i="8"/>
  <c r="I191" i="8"/>
  <c r="H191" i="8"/>
  <c r="G191" i="8"/>
  <c r="F191" i="8"/>
  <c r="F190" i="8"/>
  <c r="E191" i="8"/>
  <c r="E190" i="8"/>
  <c r="D191" i="8"/>
  <c r="M190" i="8"/>
  <c r="I190" i="8"/>
  <c r="Q189" i="8"/>
  <c r="S189" i="8"/>
  <c r="Q188" i="8"/>
  <c r="S188" i="8"/>
  <c r="Q187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Q185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Q183" i="8"/>
  <c r="S183" i="8"/>
  <c r="Q182" i="8"/>
  <c r="S182" i="8"/>
  <c r="Q181" i="8"/>
  <c r="S181" i="8"/>
  <c r="Q180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Q178" i="8"/>
  <c r="S178" i="8"/>
  <c r="Q177" i="8"/>
  <c r="S177" i="8"/>
  <c r="Q175" i="8"/>
  <c r="S175" i="8"/>
  <c r="Q174" i="8"/>
  <c r="S174" i="8"/>
  <c r="Q173" i="8"/>
  <c r="S173" i="8"/>
  <c r="S172" i="8"/>
  <c r="Q172" i="8"/>
  <c r="Q171" i="8"/>
  <c r="S171" i="8"/>
  <c r="Q170" i="8"/>
  <c r="S170" i="8"/>
  <c r="Q169" i="8"/>
  <c r="S169" i="8"/>
  <c r="Q168" i="8"/>
  <c r="S168" i="8"/>
  <c r="Q166" i="8"/>
  <c r="S166" i="8"/>
  <c r="Q162" i="8"/>
  <c r="S162" i="8"/>
  <c r="Q161" i="8"/>
  <c r="S161" i="8"/>
  <c r="Q160" i="8"/>
  <c r="S160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Q158" i="8"/>
  <c r="S158" i="8"/>
  <c r="Q157" i="8"/>
  <c r="S157" i="8"/>
  <c r="Q156" i="8"/>
  <c r="S156" i="8"/>
  <c r="Q155" i="8"/>
  <c r="S155" i="8"/>
  <c r="Q154" i="8"/>
  <c r="S154" i="8"/>
  <c r="Q153" i="8"/>
  <c r="S153" i="8"/>
  <c r="P152" i="8"/>
  <c r="O152" i="8"/>
  <c r="N152" i="8"/>
  <c r="N151" i="8"/>
  <c r="M152" i="8"/>
  <c r="L152" i="8"/>
  <c r="K152" i="8"/>
  <c r="K151" i="8"/>
  <c r="J152" i="8"/>
  <c r="J151" i="8"/>
  <c r="I152" i="8"/>
  <c r="I151" i="8"/>
  <c r="H152" i="8"/>
  <c r="G152" i="8"/>
  <c r="F152" i="8"/>
  <c r="F151" i="8"/>
  <c r="E152" i="8"/>
  <c r="E151" i="8"/>
  <c r="D152" i="8"/>
  <c r="P151" i="8"/>
  <c r="O151" i="8"/>
  <c r="H151" i="8"/>
  <c r="G151" i="8"/>
  <c r="S150" i="8"/>
  <c r="Q150" i="8"/>
  <c r="Q149" i="8"/>
  <c r="S149" i="8"/>
  <c r="Q148" i="8"/>
  <c r="S148" i="8"/>
  <c r="Q147" i="8"/>
  <c r="S147" i="8"/>
  <c r="S146" i="8"/>
  <c r="Q146" i="8"/>
  <c r="Q145" i="8"/>
  <c r="S145" i="8"/>
  <c r="Q144" i="8"/>
  <c r="S144" i="8"/>
  <c r="S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Q142" i="8"/>
  <c r="S142" i="8"/>
  <c r="Q141" i="8"/>
  <c r="S141" i="8"/>
  <c r="Q140" i="8"/>
  <c r="S140" i="8"/>
  <c r="Q139" i="8"/>
  <c r="S139" i="8"/>
  <c r="Q138" i="8"/>
  <c r="S138" i="8"/>
  <c r="Q137" i="8"/>
  <c r="P137" i="8"/>
  <c r="O137" i="8"/>
  <c r="O136" i="8"/>
  <c r="N137" i="8"/>
  <c r="N136" i="8"/>
  <c r="M137" i="8"/>
  <c r="L137" i="8"/>
  <c r="K137" i="8"/>
  <c r="K136" i="8"/>
  <c r="J137" i="8"/>
  <c r="J136" i="8"/>
  <c r="I137" i="8"/>
  <c r="I136" i="8"/>
  <c r="H137" i="8"/>
  <c r="G137" i="8"/>
  <c r="G136" i="8"/>
  <c r="F137" i="8"/>
  <c r="F136" i="8"/>
  <c r="E137" i="8"/>
  <c r="E136" i="8"/>
  <c r="D137" i="8"/>
  <c r="P136" i="8"/>
  <c r="M136" i="8"/>
  <c r="L136" i="8"/>
  <c r="H136" i="8"/>
  <c r="D136" i="8"/>
  <c r="Q135" i="8"/>
  <c r="S135" i="8"/>
  <c r="Q134" i="8"/>
  <c r="S134" i="8"/>
  <c r="Q133" i="8"/>
  <c r="S133" i="8"/>
  <c r="Q132" i="8"/>
  <c r="S132" i="8"/>
  <c r="Q131" i="8"/>
  <c r="S131" i="8"/>
  <c r="Q130" i="8"/>
  <c r="P129" i="8"/>
  <c r="P128" i="8"/>
  <c r="O129" i="8"/>
  <c r="O128" i="8"/>
  <c r="N129" i="8"/>
  <c r="M129" i="8"/>
  <c r="M128" i="8"/>
  <c r="L129" i="8"/>
  <c r="L128" i="8"/>
  <c r="K129" i="8"/>
  <c r="K128" i="8"/>
  <c r="J129" i="8"/>
  <c r="I129" i="8"/>
  <c r="I128" i="8"/>
  <c r="H129" i="8"/>
  <c r="H128" i="8"/>
  <c r="G129" i="8"/>
  <c r="G128" i="8"/>
  <c r="F129" i="8"/>
  <c r="F128" i="8"/>
  <c r="E129" i="8"/>
  <c r="E128" i="8"/>
  <c r="D129" i="8"/>
  <c r="D128" i="8"/>
  <c r="N128" i="8"/>
  <c r="J128" i="8"/>
  <c r="Q127" i="8"/>
  <c r="S127" i="8"/>
  <c r="Q126" i="8"/>
  <c r="S126" i="8"/>
  <c r="Q125" i="8"/>
  <c r="S125" i="8"/>
  <c r="Q124" i="8"/>
  <c r="S124" i="8"/>
  <c r="Q123" i="8"/>
  <c r="S123" i="8"/>
  <c r="Q122" i="8"/>
  <c r="S122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Q120" i="8"/>
  <c r="S120" i="8"/>
  <c r="Q119" i="8"/>
  <c r="S119" i="8"/>
  <c r="Q118" i="8"/>
  <c r="S118" i="8"/>
  <c r="Q117" i="8"/>
  <c r="S117" i="8"/>
  <c r="Q116" i="8"/>
  <c r="S116" i="8"/>
  <c r="Q115" i="8"/>
  <c r="S115" i="8"/>
  <c r="Q114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Q112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Q110" i="8"/>
  <c r="S110" i="8"/>
  <c r="Q109" i="8"/>
  <c r="S109" i="8"/>
  <c r="Q108" i="8"/>
  <c r="S108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Q106" i="8"/>
  <c r="S106" i="8"/>
  <c r="Q105" i="8"/>
  <c r="S105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Q103" i="8"/>
  <c r="S103" i="8"/>
  <c r="Q102" i="8"/>
  <c r="S102" i="8"/>
  <c r="Q101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Q99" i="8"/>
  <c r="S99" i="8"/>
  <c r="S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Q97" i="8"/>
  <c r="S97" i="8"/>
  <c r="Q96" i="8"/>
  <c r="S96" i="8"/>
  <c r="Q95" i="8"/>
  <c r="S95" i="8"/>
  <c r="Q94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Q92" i="8"/>
  <c r="S92" i="8"/>
  <c r="Q91" i="8"/>
  <c r="S91" i="8"/>
  <c r="Q90" i="8"/>
  <c r="S90" i="8"/>
  <c r="Q89" i="8"/>
  <c r="S89" i="8"/>
  <c r="Q88" i="8"/>
  <c r="S88" i="8"/>
  <c r="Q87" i="8"/>
  <c r="S87" i="8"/>
  <c r="Q86" i="8"/>
  <c r="S86" i="8"/>
  <c r="Q85" i="8"/>
  <c r="S85" i="8"/>
  <c r="Q84" i="8"/>
  <c r="S84" i="8"/>
  <c r="Q83" i="8"/>
  <c r="S83" i="8"/>
  <c r="P82" i="8"/>
  <c r="O82" i="8"/>
  <c r="N82" i="8"/>
  <c r="M82" i="8"/>
  <c r="M81" i="8"/>
  <c r="L82" i="8"/>
  <c r="K82" i="8"/>
  <c r="J82" i="8"/>
  <c r="I82" i="8"/>
  <c r="I81" i="8"/>
  <c r="H82" i="8"/>
  <c r="G82" i="8"/>
  <c r="F82" i="8"/>
  <c r="E82" i="8"/>
  <c r="E81" i="8"/>
  <c r="D82" i="8"/>
  <c r="O81" i="8"/>
  <c r="K81" i="8"/>
  <c r="J81" i="8"/>
  <c r="G81" i="8"/>
  <c r="F81" i="8"/>
  <c r="D81" i="8"/>
  <c r="Q80" i="8"/>
  <c r="S80" i="8"/>
  <c r="Q79" i="8"/>
  <c r="S79" i="8"/>
  <c r="Q78" i="8"/>
  <c r="S78" i="8"/>
  <c r="Q77" i="8"/>
  <c r="S77" i="8"/>
  <c r="Q76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Q74" i="8"/>
  <c r="S74" i="8"/>
  <c r="S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Q72" i="8"/>
  <c r="S72" i="8"/>
  <c r="Q71" i="8"/>
  <c r="S71" i="8"/>
  <c r="S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Q69" i="8"/>
  <c r="S69" i="8"/>
  <c r="Q68" i="8"/>
  <c r="S68" i="8"/>
  <c r="Q67" i="8"/>
  <c r="S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Q65" i="8"/>
  <c r="S65" i="8"/>
  <c r="Q64" i="8"/>
  <c r="S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Q62" i="8"/>
  <c r="S62" i="8"/>
  <c r="Q61" i="8"/>
  <c r="P60" i="8"/>
  <c r="O60" i="8"/>
  <c r="N60" i="8"/>
  <c r="N59" i="8"/>
  <c r="M60" i="8"/>
  <c r="M59" i="8"/>
  <c r="L60" i="8"/>
  <c r="K60" i="8"/>
  <c r="J60" i="8"/>
  <c r="J59" i="8"/>
  <c r="I60" i="8"/>
  <c r="H60" i="8"/>
  <c r="G60" i="8"/>
  <c r="F60" i="8"/>
  <c r="F59" i="8"/>
  <c r="E60" i="8"/>
  <c r="D60" i="8"/>
  <c r="I59" i="8"/>
  <c r="E59" i="8"/>
  <c r="Q58" i="8"/>
  <c r="S58" i="8"/>
  <c r="Q57" i="8"/>
  <c r="S57" i="8"/>
  <c r="Q56" i="8"/>
  <c r="S56" i="8"/>
  <c r="Q55" i="8"/>
  <c r="S55" i="8"/>
  <c r="Q54" i="8"/>
  <c r="S54" i="8"/>
  <c r="Q53" i="8"/>
  <c r="S53" i="8"/>
  <c r="Q52" i="8"/>
  <c r="S52" i="8"/>
  <c r="S51" i="8"/>
  <c r="Q51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S49" i="8"/>
  <c r="Q49" i="8"/>
  <c r="Q48" i="8"/>
  <c r="S48" i="8"/>
  <c r="Q47" i="8"/>
  <c r="S47" i="8"/>
  <c r="Q46" i="8"/>
  <c r="S46" i="8"/>
  <c r="Q45" i="8"/>
  <c r="S45" i="8"/>
  <c r="Q44" i="8"/>
  <c r="S44" i="8"/>
  <c r="Q43" i="8"/>
  <c r="S43" i="8"/>
  <c r="Q42" i="8"/>
  <c r="S42" i="8"/>
  <c r="S41" i="8"/>
  <c r="Q41" i="8"/>
  <c r="Q40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Q37" i="8"/>
  <c r="S37" i="8"/>
  <c r="Q36" i="8"/>
  <c r="S36" i="8"/>
  <c r="Q35" i="8"/>
  <c r="S35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Q33" i="8"/>
  <c r="S33" i="8"/>
  <c r="Q32" i="8"/>
  <c r="S32" i="8"/>
  <c r="Q31" i="8"/>
  <c r="S31" i="8"/>
  <c r="Q30" i="8"/>
  <c r="S30" i="8"/>
  <c r="Q29" i="8"/>
  <c r="S29" i="8"/>
  <c r="Q28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Q25" i="8"/>
  <c r="S25" i="8"/>
  <c r="Q24" i="8"/>
  <c r="S24" i="8"/>
  <c r="S23" i="8"/>
  <c r="Q23" i="8"/>
  <c r="Q22" i="8"/>
  <c r="S22" i="8"/>
  <c r="Q21" i="8"/>
  <c r="S21" i="8"/>
  <c r="Q20" i="8"/>
  <c r="S20" i="8"/>
  <c r="Q19" i="8"/>
  <c r="S19" i="8"/>
  <c r="Q18" i="8"/>
  <c r="S18" i="8"/>
  <c r="Q17" i="8"/>
  <c r="S17" i="8"/>
  <c r="P16" i="8"/>
  <c r="P15" i="8"/>
  <c r="O16" i="8"/>
  <c r="N16" i="8"/>
  <c r="M16" i="8"/>
  <c r="M15" i="8"/>
  <c r="L16" i="8"/>
  <c r="L15" i="8"/>
  <c r="K16" i="8"/>
  <c r="J16" i="8"/>
  <c r="I16" i="8"/>
  <c r="I15" i="8"/>
  <c r="H16" i="8"/>
  <c r="H15" i="8"/>
  <c r="G16" i="8"/>
  <c r="F16" i="8"/>
  <c r="E16" i="8"/>
  <c r="E15" i="8"/>
  <c r="D16" i="8"/>
  <c r="D15" i="8"/>
  <c r="O15" i="8"/>
  <c r="N15" i="8"/>
  <c r="K15" i="8"/>
  <c r="J15" i="8"/>
  <c r="G15" i="8"/>
  <c r="F15" i="8"/>
  <c r="P13" i="8"/>
  <c r="P167" i="8"/>
  <c r="O13" i="8"/>
  <c r="O165" i="8"/>
  <c r="N13" i="8"/>
  <c r="M13" i="8"/>
  <c r="L13" i="8"/>
  <c r="K13" i="8"/>
  <c r="K176" i="8"/>
  <c r="J13" i="8"/>
  <c r="I13" i="8"/>
  <c r="I240" i="8"/>
  <c r="H13" i="8"/>
  <c r="G13" i="8"/>
  <c r="F13" i="8"/>
  <c r="E13" i="8"/>
  <c r="E176" i="8"/>
  <c r="D13" i="8"/>
  <c r="Q10" i="8"/>
  <c r="S10" i="8"/>
  <c r="Q9" i="8"/>
  <c r="S9" i="8"/>
  <c r="Q8" i="8"/>
  <c r="S8" i="8"/>
  <c r="Q7" i="8"/>
  <c r="S7" i="8"/>
  <c r="Q6" i="8"/>
  <c r="S185" i="8"/>
  <c r="S184" i="8"/>
  <c r="Q82" i="8"/>
  <c r="S121" i="8"/>
  <c r="D151" i="8"/>
  <c r="L151" i="8"/>
  <c r="Q159" i="8"/>
  <c r="D208" i="8"/>
  <c r="S104" i="8"/>
  <c r="S152" i="8"/>
  <c r="E208" i="8"/>
  <c r="I208" i="8"/>
  <c r="M208" i="8"/>
  <c r="Q218" i="8"/>
  <c r="Q13" i="8"/>
  <c r="S13" i="8"/>
  <c r="Q39" i="8"/>
  <c r="Q50" i="8"/>
  <c r="H59" i="8"/>
  <c r="L59" i="8"/>
  <c r="P59" i="8"/>
  <c r="Q66" i="8"/>
  <c r="S66" i="8"/>
  <c r="N81" i="8"/>
  <c r="Q34" i="8"/>
  <c r="Q60" i="8"/>
  <c r="Q63" i="8"/>
  <c r="S63" i="8"/>
  <c r="Q73" i="8"/>
  <c r="S94" i="8"/>
  <c r="S101" i="8"/>
  <c r="S100" i="8"/>
  <c r="Q107" i="8"/>
  <c r="Q212" i="8"/>
  <c r="S50" i="8"/>
  <c r="H81" i="8"/>
  <c r="L81" i="8"/>
  <c r="P81" i="8"/>
  <c r="Q16" i="8"/>
  <c r="Q27" i="8"/>
  <c r="G59" i="8"/>
  <c r="K59" i="8"/>
  <c r="O59" i="8"/>
  <c r="Q98" i="8"/>
  <c r="S137" i="8"/>
  <c r="S136" i="8"/>
  <c r="Q15" i="8"/>
  <c r="S34" i="8"/>
  <c r="S82" i="8"/>
  <c r="S107" i="8"/>
  <c r="S16" i="8"/>
  <c r="S93" i="8"/>
  <c r="F241" i="8"/>
  <c r="F240" i="8"/>
  <c r="F167" i="8"/>
  <c r="J241" i="8"/>
  <c r="J240" i="8"/>
  <c r="J249" i="8"/>
  <c r="N241" i="8"/>
  <c r="N240" i="8"/>
  <c r="N176" i="8"/>
  <c r="N165" i="8"/>
  <c r="N249" i="8"/>
  <c r="Q113" i="8"/>
  <c r="S114" i="8"/>
  <c r="S113" i="8"/>
  <c r="E165" i="8"/>
  <c r="E167" i="8"/>
  <c r="Q209" i="8"/>
  <c r="S210" i="8"/>
  <c r="S209" i="8"/>
  <c r="E241" i="8"/>
  <c r="F249" i="8"/>
  <c r="S6" i="8"/>
  <c r="G241" i="8"/>
  <c r="G240" i="8"/>
  <c r="G167" i="8"/>
  <c r="G249" i="8"/>
  <c r="G176" i="8"/>
  <c r="G165" i="8"/>
  <c r="K241" i="8"/>
  <c r="K240" i="8"/>
  <c r="K167" i="8"/>
  <c r="K249" i="8"/>
  <c r="O241" i="8"/>
  <c r="O240" i="8"/>
  <c r="O167" i="8"/>
  <c r="O249" i="8"/>
  <c r="S28" i="8"/>
  <c r="S27" i="8"/>
  <c r="S40" i="8"/>
  <c r="S39" i="8"/>
  <c r="Q70" i="8"/>
  <c r="S76" i="8"/>
  <c r="S75" i="8"/>
  <c r="Q104" i="8"/>
  <c r="S112" i="8"/>
  <c r="S111" i="8"/>
  <c r="S159" i="8"/>
  <c r="S151" i="8"/>
  <c r="F165" i="8"/>
  <c r="I167" i="8"/>
  <c r="O176" i="8"/>
  <c r="Q191" i="8"/>
  <c r="Q190" i="8"/>
  <c r="S192" i="8"/>
  <c r="S191" i="8"/>
  <c r="S190" i="8"/>
  <c r="D241" i="8"/>
  <c r="D240" i="8"/>
  <c r="D249" i="8"/>
  <c r="D176" i="8"/>
  <c r="D165" i="8"/>
  <c r="H241" i="8"/>
  <c r="H240" i="8"/>
  <c r="H243" i="8"/>
  <c r="H249" i="8"/>
  <c r="H176" i="8"/>
  <c r="H165" i="8"/>
  <c r="H167" i="8"/>
  <c r="L241" i="8"/>
  <c r="L240" i="8"/>
  <c r="L249" i="8"/>
  <c r="L176" i="8"/>
  <c r="L165" i="8"/>
  <c r="L167" i="8"/>
  <c r="P241" i="8"/>
  <c r="P240" i="8"/>
  <c r="P243" i="8"/>
  <c r="P249" i="8"/>
  <c r="P176" i="8"/>
  <c r="P165" i="8"/>
  <c r="S61" i="8"/>
  <c r="S60" i="8"/>
  <c r="S59" i="8"/>
  <c r="Q129" i="8"/>
  <c r="Q128" i="8"/>
  <c r="Q143" i="8"/>
  <c r="Q136" i="8"/>
  <c r="M151" i="8"/>
  <c r="Q152" i="8"/>
  <c r="Q151" i="8"/>
  <c r="J165" i="8"/>
  <c r="J167" i="8"/>
  <c r="F176" i="8"/>
  <c r="Q221" i="8"/>
  <c r="Q217" i="8"/>
  <c r="S222" i="8"/>
  <c r="S221" i="8"/>
  <c r="S217" i="8"/>
  <c r="E249" i="8"/>
  <c r="E240" i="8"/>
  <c r="I249" i="8"/>
  <c r="I176" i="8"/>
  <c r="I165" i="8"/>
  <c r="I241" i="8"/>
  <c r="I243" i="8"/>
  <c r="M249" i="8"/>
  <c r="M167" i="8"/>
  <c r="M241" i="8"/>
  <c r="M176" i="8"/>
  <c r="M165" i="8"/>
  <c r="M240" i="8"/>
  <c r="M243" i="8"/>
  <c r="D59" i="8"/>
  <c r="Q121" i="8"/>
  <c r="S130" i="8"/>
  <c r="S129" i="8"/>
  <c r="S128" i="8"/>
  <c r="K165" i="8"/>
  <c r="K164" i="8"/>
  <c r="K163" i="8"/>
  <c r="D167" i="8"/>
  <c r="N167" i="8"/>
  <c r="J176" i="8"/>
  <c r="Q179" i="8"/>
  <c r="S180" i="8"/>
  <c r="S179" i="8"/>
  <c r="H208" i="8"/>
  <c r="L208" i="8"/>
  <c r="P208" i="8"/>
  <c r="Q214" i="8"/>
  <c r="S215" i="8"/>
  <c r="S214" i="8"/>
  <c r="G190" i="8"/>
  <c r="K190" i="8"/>
  <c r="O190" i="8"/>
  <c r="F217" i="8"/>
  <c r="J217" i="8"/>
  <c r="N217" i="8"/>
  <c r="Q186" i="8"/>
  <c r="S187" i="8"/>
  <c r="S186" i="8"/>
  <c r="D190" i="8"/>
  <c r="H190" i="8"/>
  <c r="L190" i="8"/>
  <c r="P190" i="8"/>
  <c r="G217" i="8"/>
  <c r="K217" i="8"/>
  <c r="O217" i="8"/>
  <c r="D232" i="8"/>
  <c r="Q233" i="8"/>
  <c r="Q232" i="8"/>
  <c r="G164" i="8"/>
  <c r="G163" i="8"/>
  <c r="P164" i="8"/>
  <c r="P163" i="8"/>
  <c r="Q59" i="8"/>
  <c r="K235" i="8"/>
  <c r="Q81" i="8"/>
  <c r="G235" i="8"/>
  <c r="Q176" i="8"/>
  <c r="P235" i="8"/>
  <c r="H164" i="8"/>
  <c r="H163" i="8"/>
  <c r="H235" i="8"/>
  <c r="O164" i="8"/>
  <c r="O163" i="8"/>
  <c r="O235" i="8"/>
  <c r="I164" i="8"/>
  <c r="I163" i="8"/>
  <c r="I235" i="8"/>
  <c r="K243" i="8"/>
  <c r="G237" i="8"/>
  <c r="I250" i="8"/>
  <c r="I236" i="8"/>
  <c r="I237" i="8"/>
  <c r="I245" i="8"/>
  <c r="P250" i="8"/>
  <c r="P237" i="8"/>
  <c r="P245" i="8"/>
  <c r="H236" i="8"/>
  <c r="H250" i="8"/>
  <c r="H237" i="8"/>
  <c r="H245" i="8"/>
  <c r="O237" i="8"/>
  <c r="K250" i="8"/>
  <c r="K237" i="8"/>
  <c r="K245" i="8"/>
  <c r="E243" i="8"/>
  <c r="Q240" i="8"/>
  <c r="S240" i="8"/>
  <c r="J164" i="8"/>
  <c r="J163" i="8"/>
  <c r="J235" i="8"/>
  <c r="Q241" i="8"/>
  <c r="Q167" i="8"/>
  <c r="S167" i="8"/>
  <c r="S81" i="8"/>
  <c r="M164" i="8"/>
  <c r="M163" i="8"/>
  <c r="M235" i="8"/>
  <c r="L164" i="8"/>
  <c r="L163" i="8"/>
  <c r="L235" i="8"/>
  <c r="L243" i="8"/>
  <c r="O243" i="8"/>
  <c r="O250" i="8"/>
  <c r="G243" i="8"/>
  <c r="G250" i="8"/>
  <c r="E164" i="8"/>
  <c r="E163" i="8"/>
  <c r="E235" i="8"/>
  <c r="Q165" i="8"/>
  <c r="Q164" i="8"/>
  <c r="Q163" i="8"/>
  <c r="N243" i="8"/>
  <c r="J243" i="8"/>
  <c r="F243" i="8"/>
  <c r="S15" i="8"/>
  <c r="Q249" i="8"/>
  <c r="S249" i="8"/>
  <c r="S165" i="8"/>
  <c r="D164" i="8"/>
  <c r="D163" i="8"/>
  <c r="D235" i="8"/>
  <c r="D243" i="8"/>
  <c r="F164" i="8"/>
  <c r="F163" i="8"/>
  <c r="F235" i="8"/>
  <c r="S208" i="8"/>
  <c r="N164" i="8"/>
  <c r="N163" i="8"/>
  <c r="N235" i="8"/>
  <c r="S233" i="8"/>
  <c r="S232" i="8"/>
  <c r="S176" i="8"/>
  <c r="S241" i="8"/>
  <c r="Q208" i="8"/>
  <c r="Q235" i="8"/>
  <c r="D250" i="8"/>
  <c r="D237" i="8"/>
  <c r="M250" i="8"/>
  <c r="M237" i="8"/>
  <c r="M245" i="8"/>
  <c r="G245" i="8"/>
  <c r="E250" i="8"/>
  <c r="E237" i="8"/>
  <c r="J250" i="8"/>
  <c r="J236" i="8"/>
  <c r="J237" i="8"/>
  <c r="J245" i="8"/>
  <c r="F250" i="8"/>
  <c r="F237" i="8"/>
  <c r="F245" i="8"/>
  <c r="S164" i="8"/>
  <c r="S163" i="8"/>
  <c r="S235" i="8"/>
  <c r="L250" i="8"/>
  <c r="L237" i="8"/>
  <c r="L245" i="8"/>
  <c r="Q243" i="8"/>
  <c r="S243" i="8"/>
  <c r="O245" i="8"/>
  <c r="N250" i="8"/>
  <c r="N237" i="8"/>
  <c r="N245" i="8"/>
  <c r="Q237" i="8"/>
  <c r="E245" i="8"/>
  <c r="Q245" i="8"/>
  <c r="Q250" i="8"/>
  <c r="Q251" i="8"/>
  <c r="D245" i="8"/>
  <c r="S237" i="8"/>
  <c r="D251" i="8"/>
  <c r="E248" i="8"/>
  <c r="E251" i="8"/>
  <c r="F248" i="8"/>
  <c r="F251" i="8"/>
  <c r="G248" i="8"/>
  <c r="G251" i="8"/>
  <c r="H248" i="8"/>
  <c r="H251" i="8"/>
  <c r="I248" i="8"/>
  <c r="I251" i="8"/>
  <c r="J248" i="8"/>
  <c r="J251" i="8"/>
  <c r="K248" i="8"/>
  <c r="K251" i="8"/>
  <c r="L248" i="8"/>
  <c r="L251" i="8"/>
  <c r="M248" i="8"/>
  <c r="M251" i="8"/>
  <c r="N248" i="8"/>
  <c r="N251" i="8"/>
  <c r="O248" i="8"/>
  <c r="O251" i="8"/>
  <c r="P248" i="8"/>
  <c r="P251" i="8"/>
  <c r="S250" i="8"/>
  <c r="S251" i="8"/>
  <c r="S245" i="8"/>
  <c r="N167" i="23" l="1"/>
  <c r="I167" i="23"/>
  <c r="L167" i="23"/>
  <c r="G82" i="23"/>
  <c r="M167" i="23"/>
  <c r="K27" i="23"/>
  <c r="G167" i="23"/>
  <c r="N100" i="23"/>
  <c r="J82" i="23"/>
  <c r="J167" i="23"/>
  <c r="C167" i="23"/>
  <c r="K167" i="23"/>
  <c r="H167" i="23"/>
  <c r="I100" i="23"/>
  <c r="L100" i="23"/>
  <c r="F82" i="23"/>
  <c r="H82" i="23"/>
  <c r="L82" i="23"/>
  <c r="K100" i="23"/>
  <c r="N82" i="23"/>
  <c r="I82" i="23"/>
  <c r="H100" i="23"/>
  <c r="N27" i="23"/>
  <c r="K82" i="23"/>
  <c r="J100" i="23"/>
  <c r="M82" i="23"/>
  <c r="E82" i="23"/>
  <c r="M100" i="23"/>
  <c r="I238" i="23"/>
  <c r="G238" i="23"/>
  <c r="C82" i="23"/>
  <c r="L238" i="23"/>
  <c r="J238" i="23"/>
  <c r="D238" i="23"/>
  <c r="M238" i="23"/>
  <c r="H238" i="23"/>
  <c r="K238" i="23"/>
  <c r="F238" i="23"/>
  <c r="N238" i="23"/>
  <c r="C238" i="23"/>
  <c r="O46" i="23"/>
  <c r="H221" i="23"/>
  <c r="L221" i="23"/>
  <c r="D253" i="23"/>
  <c r="M221" i="23"/>
  <c r="C28" i="23"/>
  <c r="L253" i="23"/>
  <c r="H28" i="23"/>
  <c r="H27" i="23" s="1"/>
  <c r="O215" i="23"/>
  <c r="O257" i="23"/>
  <c r="O88" i="23"/>
  <c r="O138" i="23"/>
  <c r="O217" i="23"/>
  <c r="O242" i="23"/>
  <c r="O254" i="23"/>
  <c r="O210" i="23"/>
  <c r="O248" i="23"/>
  <c r="O145" i="23"/>
  <c r="O83" i="23"/>
  <c r="O117" i="23"/>
  <c r="O123" i="23"/>
  <c r="O130" i="23"/>
  <c r="O119" i="23"/>
  <c r="J221" i="23"/>
  <c r="H46" i="34"/>
  <c r="L28" i="23"/>
  <c r="L27" i="23" s="1"/>
  <c r="F101" i="23"/>
  <c r="C66" i="23"/>
  <c r="D15" i="23"/>
  <c r="J253" i="23"/>
  <c r="E155" i="23"/>
  <c r="E154" i="23" s="1"/>
  <c r="C62" i="23"/>
  <c r="N183" i="23"/>
  <c r="F73" i="23"/>
  <c r="O73" i="23" s="1"/>
  <c r="E126" i="23"/>
  <c r="N221" i="23"/>
  <c r="D28" i="23"/>
  <c r="D27" i="23" s="1"/>
  <c r="O74" i="23"/>
  <c r="C221" i="23"/>
  <c r="E191" i="23"/>
  <c r="E183" i="23" s="1"/>
  <c r="D94" i="23"/>
  <c r="D82" i="23" s="1"/>
  <c r="D155" i="23"/>
  <c r="D154" i="23" s="1"/>
  <c r="I28" i="23"/>
  <c r="I27" i="23" s="1"/>
  <c r="D101" i="23"/>
  <c r="E168" i="23"/>
  <c r="E167" i="23" s="1"/>
  <c r="D168" i="23"/>
  <c r="D167" i="23" s="1"/>
  <c r="F28" i="23"/>
  <c r="M253" i="23"/>
  <c r="M183" i="23"/>
  <c r="I253" i="23"/>
  <c r="C253" i="23"/>
  <c r="I221" i="23"/>
  <c r="C183" i="23"/>
  <c r="M27" i="23"/>
  <c r="K183" i="23"/>
  <c r="K221" i="23"/>
  <c r="K253" i="23"/>
  <c r="E28" i="34"/>
  <c r="J28" i="23"/>
  <c r="J27" i="23" s="1"/>
  <c r="O92" i="23"/>
  <c r="L183" i="23"/>
  <c r="D221" i="23"/>
  <c r="F66" i="23"/>
  <c r="D183" i="23"/>
  <c r="H253" i="23"/>
  <c r="F222" i="23"/>
  <c r="F221" i="23" s="1"/>
  <c r="F253" i="23"/>
  <c r="N253" i="23"/>
  <c r="E253" i="23"/>
  <c r="O236" i="23"/>
  <c r="G253" i="23"/>
  <c r="O98" i="23"/>
  <c r="D126" i="23"/>
  <c r="O102" i="23"/>
  <c r="O177" i="23"/>
  <c r="J183" i="23"/>
  <c r="O184" i="23"/>
  <c r="O268" i="23"/>
  <c r="I183" i="23"/>
  <c r="F168" i="23"/>
  <c r="F167" i="23" s="1"/>
  <c r="H183" i="23"/>
  <c r="F155" i="23"/>
  <c r="F154" i="23" s="1"/>
  <c r="E222" i="23"/>
  <c r="E221" i="23" s="1"/>
  <c r="O112" i="23"/>
  <c r="G221" i="23"/>
  <c r="E28" i="23"/>
  <c r="O39" i="23"/>
  <c r="E101" i="23"/>
  <c r="O63" i="23"/>
  <c r="G101" i="23"/>
  <c r="G100" i="23" s="1"/>
  <c r="F191" i="23"/>
  <c r="F183" i="23" s="1"/>
  <c r="C155" i="23"/>
  <c r="C154" i="23" s="1"/>
  <c r="C101" i="23"/>
  <c r="C100" i="23" s="1"/>
  <c r="E250" i="23"/>
  <c r="O250" i="23" s="1"/>
  <c r="O103" i="23"/>
  <c r="F126" i="23"/>
  <c r="E62" i="23"/>
  <c r="H50" i="34"/>
  <c r="G50" i="34"/>
  <c r="G51" i="34" s="1"/>
  <c r="D26" i="34" s="1"/>
  <c r="F50" i="34"/>
  <c r="F51" i="34" s="1"/>
  <c r="D25" i="34" s="1"/>
  <c r="O33" i="23"/>
  <c r="G28" i="23"/>
  <c r="G27" i="23" s="1"/>
  <c r="G183" i="23"/>
  <c r="C27" i="23" l="1"/>
  <c r="E27" i="23"/>
  <c r="O167" i="23"/>
  <c r="E100" i="23"/>
  <c r="F27" i="23"/>
  <c r="D100" i="23"/>
  <c r="F100" i="23"/>
  <c r="O154" i="23"/>
  <c r="E238" i="23"/>
  <c r="O238" i="23" s="1"/>
  <c r="O62" i="23"/>
  <c r="O94" i="23"/>
  <c r="O155" i="23"/>
  <c r="H51" i="34"/>
  <c r="D27" i="34" s="1"/>
  <c r="D28" i="34" s="1"/>
  <c r="F34" i="34"/>
  <c r="F35" i="34"/>
  <c r="O66" i="23"/>
  <c r="O191" i="23"/>
  <c r="O168" i="23"/>
  <c r="O126" i="23"/>
  <c r="F33" i="34"/>
  <c r="F26" i="34"/>
  <c r="G26" i="34" s="1"/>
  <c r="H26" i="34" s="1"/>
  <c r="F25" i="34"/>
  <c r="G25" i="34" s="1"/>
  <c r="E33" i="34"/>
  <c r="E35" i="34"/>
  <c r="E34" i="34"/>
  <c r="O101" i="23"/>
  <c r="O222" i="23"/>
  <c r="F27" i="34"/>
  <c r="D15" i="34"/>
  <c r="D16" i="34"/>
  <c r="O86" i="23"/>
  <c r="D17" i="34"/>
  <c r="O253" i="23"/>
  <c r="F73" i="34"/>
  <c r="E73" i="34"/>
  <c r="O221" i="23"/>
  <c r="O183" i="23"/>
  <c r="O28" i="23"/>
  <c r="D35" i="34" l="1"/>
  <c r="D33" i="34"/>
  <c r="D34" i="34"/>
  <c r="O18" i="23"/>
  <c r="O82" i="23"/>
  <c r="E8" i="34"/>
  <c r="C58" i="34" s="1"/>
  <c r="E58" i="34" s="1"/>
  <c r="O19" i="23"/>
  <c r="G27" i="34"/>
  <c r="H27" i="34" s="1"/>
  <c r="E7" i="34"/>
  <c r="H7" i="34" s="1"/>
  <c r="O27" i="23"/>
  <c r="E36" i="34"/>
  <c r="F78" i="34" s="1"/>
  <c r="I26" i="34"/>
  <c r="F28" i="34"/>
  <c r="E74" i="34" s="1"/>
  <c r="F36" i="34"/>
  <c r="E79" i="34" s="1"/>
  <c r="F72" i="34"/>
  <c r="E72" i="34"/>
  <c r="H25" i="34"/>
  <c r="I25" i="34"/>
  <c r="D18" i="34"/>
  <c r="O100" i="23"/>
  <c r="D36" i="34" l="1"/>
  <c r="E77" i="34" s="1"/>
  <c r="G8" i="34"/>
  <c r="H8" i="34"/>
  <c r="G28" i="34"/>
  <c r="I28" i="34" s="1"/>
  <c r="F75" i="34" s="1"/>
  <c r="E86" i="34" s="1"/>
  <c r="I27" i="34"/>
  <c r="C57" i="34"/>
  <c r="E57" i="34" s="1"/>
  <c r="G7" i="34"/>
  <c r="E78" i="34"/>
  <c r="F74" i="34"/>
  <c r="F79" i="34"/>
  <c r="F68" i="34"/>
  <c r="E68" i="34"/>
  <c r="F77" i="34" l="1"/>
  <c r="H28" i="34"/>
  <c r="E75" i="34" s="1"/>
  <c r="E16" i="34" l="1"/>
  <c r="F16" i="34" s="1"/>
  <c r="H16" i="34" l="1"/>
  <c r="G16" i="34"/>
  <c r="E15" i="34"/>
  <c r="F15" i="34" l="1"/>
  <c r="G33" i="34" l="1"/>
  <c r="G15" i="34"/>
  <c r="H15" i="34"/>
  <c r="H33" i="34" l="1"/>
  <c r="J33" i="34" l="1"/>
  <c r="I33" i="34"/>
  <c r="G34" i="34" l="1"/>
  <c r="H34" i="34" s="1"/>
  <c r="J34" i="34" l="1"/>
  <c r="I34" i="34"/>
  <c r="C199" i="23" l="1"/>
  <c r="C271" i="23" s="1"/>
  <c r="C273" i="23" l="1"/>
  <c r="O200" i="23" l="1"/>
  <c r="J199" i="23"/>
  <c r="J271" i="23" s="1"/>
  <c r="M199" i="23"/>
  <c r="M271" i="23" s="1"/>
  <c r="N199" i="23"/>
  <c r="N271" i="23" s="1"/>
  <c r="K199" i="23"/>
  <c r="K271" i="23" s="1"/>
  <c r="I199" i="23"/>
  <c r="I271" i="23" s="1"/>
  <c r="L199" i="23"/>
  <c r="F199" i="23"/>
  <c r="F271" i="23" s="1"/>
  <c r="G199" i="23"/>
  <c r="G271" i="23" s="1"/>
  <c r="E199" i="23"/>
  <c r="D199" i="23"/>
  <c r="D271" i="23" s="1"/>
  <c r="H199" i="23"/>
  <c r="H271" i="23" s="1"/>
  <c r="L271" i="23" l="1"/>
  <c r="E271" i="23"/>
  <c r="G282" i="23"/>
  <c r="G284" i="23" s="1"/>
  <c r="D273" i="23"/>
  <c r="M273" i="23"/>
  <c r="H273" i="23"/>
  <c r="I273" i="23"/>
  <c r="O199" i="23"/>
  <c r="E273" i="23" l="1"/>
  <c r="N273" i="23"/>
  <c r="L273" i="23"/>
  <c r="L8" i="46" s="1"/>
  <c r="L11" i="46" s="1"/>
  <c r="O271" i="23"/>
  <c r="F273" i="23"/>
  <c r="G273" i="23"/>
  <c r="K273" i="23"/>
  <c r="K8" i="46" s="1"/>
  <c r="K11" i="46" s="1"/>
  <c r="E9" i="34" l="1"/>
  <c r="E10" i="34" l="1"/>
  <c r="G9" i="34"/>
  <c r="C59" i="34"/>
  <c r="E59" i="34" s="1"/>
  <c r="E17" i="34" s="1"/>
  <c r="H9" i="34"/>
  <c r="E18" i="34" l="1"/>
  <c r="F17" i="34"/>
  <c r="G10" i="34"/>
  <c r="E64" i="34" s="1"/>
  <c r="H10" i="34"/>
  <c r="F64" i="34" s="1"/>
  <c r="E83" i="34" s="1"/>
  <c r="H17" i="34" l="1"/>
  <c r="F18" i="34"/>
  <c r="G17" i="34"/>
  <c r="G35" i="34"/>
  <c r="F69" i="34"/>
  <c r="E69" i="34"/>
  <c r="H18" i="34" l="1"/>
  <c r="F70" i="34" s="1"/>
  <c r="E84" i="34" s="1"/>
  <c r="E85" i="34" s="1"/>
  <c r="E87" i="34" s="1"/>
  <c r="G18" i="34"/>
  <c r="E70" i="34" s="1"/>
  <c r="G36" i="34"/>
  <c r="H35" i="34"/>
  <c r="H36" i="34" l="1"/>
  <c r="F80" i="34"/>
  <c r="E80" i="34"/>
  <c r="I35" i="34"/>
  <c r="J35" i="34"/>
  <c r="I36" i="34" l="1"/>
  <c r="E81" i="34" s="1"/>
  <c r="J36" i="34"/>
  <c r="F81" i="34" s="1"/>
  <c r="E88" i="34" s="1"/>
  <c r="E89" i="34" s="1"/>
  <c r="O12" i="23" l="1"/>
  <c r="J15" i="23"/>
  <c r="O15" i="23" s="1"/>
  <c r="J273" i="23" l="1"/>
  <c r="O273" i="23" l="1"/>
  <c r="J8" i="46"/>
  <c r="J11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tc={CF61CED1-DFB2-4E8C-AF69-B4346C9DEC30}</author>
    <author>tc={5ADFE5D8-EF50-4013-8CD2-317C921EAB4A}</author>
    <author>tc={150C0BE0-BC3B-4807-BB19-6BA1785FAE2C}</author>
    <author>tc={4DEA0BA0-A7ED-4A0E-B665-83C9CFFD5CDB}</author>
    <author>tc={BC65F854-6E9B-4605-97F5-E83BBEB1CAC4}</author>
    <author>tc={9B73F784-3144-45EF-A0EE-02F2FEAEF523}</author>
    <author>tc={7756FAC5-A340-42BA-926E-62CE4D6F51F7}</author>
    <author>tc={A7A2DDF9-E036-4D54-A54C-D1C229D10679}</author>
    <author>tc={59EA3B7A-1724-4706-B405-D1BA408500AC}</author>
    <author>tc={EC12D7C2-F13C-4C9B-BCEF-CD55A96C39B7}</author>
    <author>tc={F67BFB43-2D55-49B6-A87D-A25F06CCB49E}</author>
    <author>tc={C4D1E64F-23F4-4B8F-9657-E20ECB3A47D8}</author>
    <author>tc={77976F01-EBF3-4CF4-B227-58730400F57D}</author>
    <author>tc={942941E1-1F08-4C8B-9CA2-853785F6DD87}</author>
    <author>tc={F2C4203D-551E-4AD6-9F2A-A6FCFAB87A26}</author>
    <author>tc={5CC5F5F2-A145-43C8-87BF-E315DFA940A3}</author>
    <author>tc={49565ED2-EAD1-44C7-A591-BAD295B9016E}</author>
    <author>tc={C21D37AC-04A5-4011-A13F-781F7E9B82FC}</author>
    <author>tc={E7FEE614-2D41-4CF3-8058-D7B49BF32807}</author>
    <author>tc={913E656C-0D63-4ED5-AB9F-C9733523E126}</author>
    <author>tc={41DDBFC5-E9C9-48C0-8A10-ED9DFA2D8280}</author>
    <author>tc={384AD2BD-C04B-4D44-8D34-E55CDB81C341}</author>
    <author>tc={7970071E-BFE1-4B68-B1B5-606E0B0B7B33}</author>
    <author>tc={02DC1F1D-31B1-4D33-B08C-21804A4F912C}</author>
    <author>tc={9B3AA747-52B4-4BFC-9B7B-A05B49C00EB5}</author>
    <author>tc={6B334338-1C03-45CB-95F0-C7D0200AF9A8}</author>
    <author>tc={ACB791A1-415A-4A06-BB28-F5E2E6BE0838}</author>
    <author>tc={9427ACC3-5D2F-40B7-9EBA-60A195873A75}</author>
    <author>tc={13FCACBF-2FF3-405E-92E2-649EBCBEB9C1}</author>
    <author>tc={CA46F3AE-18DB-46EB-9CE0-B4EE98F761C9}</author>
    <author>tc={40AC3B4F-F54B-410C-AF6B-8615EE62726C}</author>
    <author>tc={75E46D71-424D-4691-830A-45D61AD17BFF}</author>
    <author>tc={393020D8-7132-48F8-9582-E8ACD45FC5E0}</author>
    <author>tc={8FE97D56-067D-4D3F-BA9C-2ED45104C3C5}</author>
    <author>tc={3405E2CE-995F-4D94-BF8D-4FFD807FF49A}</author>
    <author>tc={6BE071E8-4BFF-4BF0-82D1-B40C83146715}</author>
    <author>tc={75837D1D-0C80-4803-B6DE-0BF0165BF6FC}</author>
    <author>tc={404DDF73-5261-44EA-A8E7-BDD869096F77}</author>
    <author>tc={A62BAD91-A169-4D83-8919-41C0777F5120}</author>
    <author>Igor Vargas</author>
  </authors>
  <commentList>
    <comment ref="C12" authorId="0" shapeId="0" xr:uid="{CF61CED1-DFB2-4E8C-AF69-B4346C9DEC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D12" authorId="1" shapeId="0" xr:uid="{5ADFE5D8-EF50-4013-8CD2-317C921EAB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E12" authorId="2" shapeId="0" xr:uid="{150C0BE0-BC3B-4807-BB19-6BA1785FAE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F12" authorId="3" shapeId="0" xr:uid="{4DEA0BA0-A7ED-4A0E-B665-83C9CFFD5C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- 1140,00
Financeiro - 1.000,00</t>
      </text>
    </comment>
    <comment ref="G12" authorId="4" shapeId="0" xr:uid="{BC65F854-6E9B-4605-97F5-E83BBEB1CA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H12" authorId="5" shapeId="0" xr:uid="{9B73F784-3144-45EF-A0EE-02F2FEAEF5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I12" authorId="6" shapeId="0" xr:uid="{7756FAC5-A340-42BA-926E-62CE4D6F51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J12" authorId="7" shapeId="0" xr:uid="{A7A2DDF9-E036-4D54-A54C-D1C229D106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- 640,00
Financeiro - 1.000,00</t>
      </text>
    </comment>
    <comment ref="K12" authorId="8" shapeId="0" xr:uid="{59EA3B7A-1724-4706-B405-D1BA408500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M12" authorId="9" shapeId="0" xr:uid="{EC12D7C2-F13C-4C9B-BCEF-CD55A96C39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O12" authorId="10" shapeId="0" xr:uid="{F67BFB43-2D55-49B6-A87D-A25F06CCB4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Q12" authorId="11" shapeId="0" xr:uid="{C4D1E64F-23F4-4B8F-9657-E20ECB3A47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S12" authorId="12" shapeId="0" xr:uid="{77976F01-EBF3-4CF4-B227-58730400F5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U12" authorId="13" shapeId="0" xr:uid="{942941E1-1F08-4C8B-9CA2-853785F6DD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W12" authorId="14" shapeId="0" xr:uid="{F2C4203D-551E-4AD6-9F2A-A6FCFAB87A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Y12" authorId="15" shapeId="0" xr:uid="{5CC5F5F2-A145-43C8-87BF-E315DFA940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C14" authorId="16" shapeId="0" xr:uid="{49565ED2-EAD1-44C7-A591-BAD295B901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D14" authorId="17" shapeId="0" xr:uid="{C21D37AC-04A5-4011-A13F-781F7E9B82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E14" authorId="18" shapeId="0" xr:uid="{E7FEE614-2D41-4CF3-8058-D7B49BF328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F14" authorId="19" shapeId="0" xr:uid="{913E656C-0D63-4ED5-AB9F-C9733523E1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G14" authorId="20" shapeId="0" xr:uid="{41DDBFC5-E9C9-48C0-8A10-ED9DFA2D82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H14" authorId="21" shapeId="0" xr:uid="{384AD2BD-C04B-4D44-8D34-E55CDB81C3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I14" authorId="22" shapeId="0" xr:uid="{7970071E-BFE1-4B68-B1B5-606E0B0B7B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J14" authorId="23" shapeId="0" xr:uid="{02DC1F1D-31B1-4D33-B08C-21804A4F91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K14" authorId="24" shapeId="0" xr:uid="{9B3AA747-52B4-4BFC-9B7B-A05B49C00E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L14" authorId="25" shapeId="0" xr:uid="{6B334338-1C03-45CB-95F0-C7D0200AF9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M14" authorId="26" shapeId="0" xr:uid="{ACB791A1-415A-4A06-BB28-F5E2E6BE08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N14" authorId="27" shapeId="0" xr:uid="{9427ACC3-5D2F-40B7-9EBA-60A195873A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O14" authorId="28" shapeId="0" xr:uid="{13FCACBF-2FF3-405E-92E2-649EBCBEB9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P14" authorId="29" shapeId="0" xr:uid="{CA46F3AE-18DB-46EB-9CE0-B4EE98F761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Q14" authorId="30" shapeId="0" xr:uid="{40AC3B4F-F54B-410C-AF6B-8615EE6272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R14" authorId="31" shapeId="0" xr:uid="{75E46D71-424D-4691-830A-45D61AD17B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S14" authorId="32" shapeId="0" xr:uid="{393020D8-7132-48F8-9582-E8ACD45FC5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T14" authorId="33" shapeId="0" xr:uid="{8FE97D56-067D-4D3F-BA9C-2ED45104C3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U14" authorId="34" shapeId="0" xr:uid="{3405E2CE-995F-4D94-BF8D-4FFD807FF4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V14" authorId="35" shapeId="0" xr:uid="{6BE071E8-4BFF-4BF0-82D1-B40C831467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W14" authorId="36" shapeId="0" xr:uid="{75837D1D-0C80-4803-B6DE-0BF0165BF6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X14" authorId="37" shapeId="0" xr:uid="{404DDF73-5261-44EA-A8E7-BDD869096F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Y14" authorId="38" shapeId="0" xr:uid="{A62BAD91-A169-4D83-8919-41C0777F51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C23" authorId="39" shapeId="0" xr:uid="{EC574F08-5DE3-4C21-B9C0-CA5B0FFB4EE1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D23" authorId="39" shapeId="0" xr:uid="{98173789-0227-4D0F-BB4D-C16653B19A81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E23" authorId="39" shapeId="0" xr:uid="{DAA08D72-8A29-4EE8-A5E2-620ADE57E666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F23" authorId="39" shapeId="0" xr:uid="{A91D99F9-1E5D-419F-AFC2-C253D97840D7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G23" authorId="39" shapeId="0" xr:uid="{AF71D7C1-DE83-4CA9-BCF0-CE21921488DA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H23" authorId="39" shapeId="0" xr:uid="{8157D9BB-2C9B-4FB6-9F64-FAAF41F7AD25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I23" authorId="39" shapeId="0" xr:uid="{94FEF5A5-12CC-41AA-AC50-3A1D4EDD73D1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J23" authorId="39" shapeId="0" xr:uid="{EA133486-52FE-4133-8101-7385013232AB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K23" authorId="39" shapeId="0" xr:uid="{220020E5-DF5F-40FA-9E6A-C7EDB431153B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L23" authorId="39" shapeId="0" xr:uid="{55DB70DC-E369-48EC-87C7-BB5D36491B7D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M23" authorId="39" shapeId="0" xr:uid="{0EEB90E4-43A2-4EE0-A0FE-1FC740E798F2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N23" authorId="39" shapeId="0" xr:uid="{6A743B66-8BF7-460B-8B13-6F1B6EB77327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O23" authorId="39" shapeId="0" xr:uid="{B4777D35-FC45-461C-B8E3-E1CB085AA4FE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P23" authorId="39" shapeId="0" xr:uid="{BBF37E42-0142-42A0-AE9A-F19CAEFF5FE1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Q23" authorId="39" shapeId="0" xr:uid="{BDB2BAA8-8AAF-4D19-BDCB-B1E48A06D82B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R23" authorId="39" shapeId="0" xr:uid="{F4DA303B-8FF9-422C-8356-E27176527660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S23" authorId="39" shapeId="0" xr:uid="{850C1763-F2B0-4644-93FE-DE21B50EB156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T23" authorId="39" shapeId="0" xr:uid="{9924B877-49B3-4BE8-A741-F623713A2FFB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U23" authorId="39" shapeId="0" xr:uid="{0DD9BB5C-195F-47A1-B275-EDA616D967E3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V23" authorId="39" shapeId="0" xr:uid="{7574113E-C4D9-4FF8-A3ED-34B039A515D6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W23" authorId="39" shapeId="0" xr:uid="{88492C24-3AA4-43FA-A548-597DA1D908BC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X23" authorId="39" shapeId="0" xr:uid="{6929E2FB-F3B9-49BF-807C-8D8CD9E3B39A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Y23" authorId="39" shapeId="0" xr:uid="{2FB2EF2D-D2C3-4E77-972A-8180062A0026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tc={069A7B9E-C5BF-4269-BA1C-95486F3DEE4D}</author>
    <author>tc={50ED93E1-615C-4BDC-9CE7-64C62743E115}</author>
    <author>tc={21112280-D46B-41E5-9B40-7CCAA5FE13C0}</author>
    <author>tc={DC52C889-8C1D-40E0-8129-780DD206ACDD}</author>
    <author>tc={DCF0A2A2-C166-46DA-9487-CD4D348B66B6}</author>
    <author>tc={45723936-14F1-4DF7-82F2-FE810F18A61C}</author>
    <author>tc={5FB424BF-EFE1-448B-93F1-06E515554343}</author>
    <author>tc={75572DA7-85B1-45D7-ACBE-0C68DAD8D1EB}</author>
    <author>tc={B5CA5306-936B-4110-A03F-29E856F46609}</author>
    <author>tc={C95BF4F4-0ACF-4772-9C11-A58C626327D7}</author>
    <author>tc={29592D5E-B49B-47EF-BCC1-1B8803FE0576}</author>
    <author>tc={C5D3F533-15D3-43B5-9A65-BBE7A23DF673}</author>
    <author>tc={9C31DA49-D282-446C-8E69-A94DDE450D05}</author>
    <author>tc={804921A2-B691-49B4-BCF1-D655EDB45598}</author>
    <author>tc={1537B41C-C53C-488A-B4D2-E6AE41AD1306}</author>
    <author>tc={8E23235F-0023-4C16-9C2F-E20ED64D1519}</author>
    <author>tc={D51E27AC-AEF4-4F82-A7D2-97F7723BC857}</author>
    <author>tc={C3EFA61E-97AE-4902-A1F4-97C3E37B7BD9}</author>
    <author>tc={576C7723-563C-40FC-B493-CF241E094944}</author>
    <author>tc={E9CB25A7-EB5D-45E6-BCD0-99438385F87C}</author>
    <author>tc={C1D3ECE2-95FD-4821-942B-6848C202C5E9}</author>
    <author>tc={02BEF5FC-03D4-48E0-911C-CE60CF8F6C9B}</author>
    <author>tc={2BA3BA78-6213-4B16-9395-32E0212BFEF8}</author>
    <author>tc={2DFC0E6D-7986-461F-B52E-1E173318F280}</author>
    <author>tc={044DE6A3-F932-4AE7-9229-FA314558E048}</author>
    <author>tc={F7F3276A-E3D9-4742-A487-D597BDF0A7E0}</author>
    <author>tc={88F42F36-9E95-4A32-9345-861F4265CD10}</author>
    <author>tc={9281C6CE-A9EB-4A19-B041-490B29FD9AE9}</author>
    <author>tc={8805239C-824B-49C5-9C76-3DB5D0A12C07}</author>
    <author>tc={8B9F1E4B-0675-4AD4-A3CF-494E3D52971E}</author>
    <author>tc={EE452E6C-1A47-4AB8-BC75-12316DDDF884}</author>
    <author>tc={6A5EC7D0-858A-4717-A365-1B9090832B59}</author>
    <author>tc={31C6DE1A-4874-4F1F-8144-EC60075A581B}</author>
    <author>tc={1A002A28-F7A8-48E4-AE76-5F6908CFA8CB}</author>
    <author>tc={04D09ECD-B3A2-4EF2-9D3E-8EE06C843091}</author>
    <author>tc={82D42D27-BFC4-4944-9005-1F275454453C}</author>
    <author>tc={C4335BEB-1B21-4ACF-B0BA-1E5E8709764D}</author>
    <author>tc={A4146F9B-69B6-4317-A5EE-3A0B40A9C0D3}</author>
    <author>tc={308684A2-621B-42A8-9C63-E7BAEF64704E}</author>
    <author>tc={C0437167-42F7-4C43-B951-551DAF8CA93C}</author>
    <author>tc={EAE25DDB-7DF4-4205-A21B-A8E43EA88460}</author>
  </authors>
  <commentList>
    <comment ref="C13" authorId="0" shapeId="0" xr:uid="{069A7B9E-C5BF-4269-BA1C-95486F3DEE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D13" authorId="1" shapeId="0" xr:uid="{50ED93E1-615C-4BDC-9CE7-64C62743E1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- 857,07
Agua - 250,00
Cartão de credito - 2.795,79</t>
      </text>
    </comment>
    <comment ref="E13" authorId="2" shapeId="0" xr:uid="{21112280-D46B-41E5-9B40-7CCAA5FE13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F13" authorId="3" shapeId="0" xr:uid="{DC52C889-8C1D-40E0-8129-780DD206ACD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
Iptu - 1822,82
</t>
      </text>
    </comment>
    <comment ref="G13" authorId="4" shapeId="0" xr:uid="{DCF0A2A2-C166-46DA-9487-CD4D348B66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H13" authorId="5" shapeId="0" xr:uid="{45723936-14F1-4DF7-82F2-FE810F18A6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- 1.100,00
Luz - 826,94
Agua - 250,00
Cartão de credito - 2.844,98</t>
      </text>
    </comment>
    <comment ref="I13" authorId="6" shapeId="0" xr:uid="{5FB424BF-EFE1-448B-93F1-06E5155543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J13" authorId="7" shapeId="0" xr:uid="{75572DA7-85B1-45D7-ACBE-0C68DAD8D1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- 2.100,00
Condomínio - 161,39
Luz - 826,94
Agua - 250,00
Cartão de credito -3393,01</t>
      </text>
    </comment>
    <comment ref="K13" authorId="8" shapeId="0" xr:uid="{B5CA5306-936B-4110-A03F-29E856F466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M13" authorId="9" shapeId="0" xr:uid="{C95BF4F4-0ACF-4772-9C11-A58C626327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O13" authorId="10" shapeId="0" xr:uid="{29592D5E-B49B-47EF-BCC1-1B8803FE05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Q13" authorId="11" shapeId="0" xr:uid="{C5D3F533-15D3-43B5-9A65-BBE7A23DF6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S13" authorId="12" shapeId="0" xr:uid="{9C31DA49-D282-446C-8E69-A94DDE450D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U13" authorId="13" shapeId="0" xr:uid="{804921A2-B691-49B4-BCF1-D655EDB455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W13" authorId="14" shapeId="0" xr:uid="{1537B41C-C53C-488A-B4D2-E6AE41AD13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Y13" authorId="15" shapeId="0" xr:uid="{8E23235F-0023-4C16-9C2F-E20ED64D15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C14" authorId="16" shapeId="0" xr:uid="{D51E27AC-AEF4-4F82-A7D2-97F7723BC8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D14" authorId="17" shapeId="0" xr:uid="{C3EFA61E-97AE-4902-A1F4-97C3E37B7B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E14" authorId="18" shapeId="0" xr:uid="{576C7723-563C-40FC-B493-CF241E0949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F14" authorId="19" shapeId="0" xr:uid="{E9CB25A7-EB5D-45E6-BCD0-99438385F8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G14" authorId="20" shapeId="0" xr:uid="{C1D3ECE2-95FD-4821-942B-6848C202C5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H14" authorId="21" shapeId="0" xr:uid="{02BEF5FC-03D4-48E0-911C-CE60CF8F6C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- 500,00</t>
      </text>
    </comment>
    <comment ref="I14" authorId="22" shapeId="0" xr:uid="{2BA3BA78-6213-4B16-9395-32E0212BFE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- 250,00</t>
      </text>
    </comment>
    <comment ref="J14" authorId="23" shapeId="0" xr:uid="{2DFC0E6D-7986-461F-B52E-1E173318F2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- 250,00
Certificado Digital - 149,00</t>
      </text>
    </comment>
    <comment ref="K14" authorId="24" shapeId="0" xr:uid="{044DE6A3-F932-4AE7-9229-FA314558E0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L14" authorId="25" shapeId="0" xr:uid="{F7F3276A-E3D9-4742-A487-D597BDF0A7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M14" authorId="26" shapeId="0" xr:uid="{88F42F36-9E95-4A32-9345-861F4265CD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N14" authorId="27" shapeId="0" xr:uid="{9281C6CE-A9EB-4A19-B041-490B29FD9A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O14" authorId="28" shapeId="0" xr:uid="{8805239C-824B-49C5-9C76-3DB5D0A12C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P14" authorId="29" shapeId="0" xr:uid="{8B9F1E4B-0675-4AD4-A3CF-494E3D5297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Q14" authorId="30" shapeId="0" xr:uid="{EE452E6C-1A47-4AB8-BC75-12316DDDF8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R14" authorId="31" shapeId="0" xr:uid="{6A5EC7D0-858A-4717-A365-1B9090832B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S14" authorId="32" shapeId="0" xr:uid="{31C6DE1A-4874-4F1F-8144-EC60075A58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T14" authorId="33" shapeId="0" xr:uid="{1A002A28-F7A8-48E4-AE76-5F6908CFA8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U14" authorId="34" shapeId="0" xr:uid="{04D09ECD-B3A2-4EF2-9D3E-8EE06C8430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V14" authorId="35" shapeId="0" xr:uid="{82D42D27-BFC4-4944-9005-1F27545445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W14" authorId="36" shapeId="0" xr:uid="{C4335BEB-1B21-4ACF-B0BA-1E5E870976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X14" authorId="37" shapeId="0" xr:uid="{A4146F9B-69B6-4317-A5EE-3A0B40A9C0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Y14" authorId="38" shapeId="0" xr:uid="{308684A2-621B-42A8-9C63-E7BAEF6470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H17" authorId="39" shapeId="0" xr:uid="{C0437167-42F7-4C43-B951-551DAF8CA9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Registro de marca</t>
      </text>
    </comment>
    <comment ref="J17" authorId="40" shapeId="0" xr:uid="{EAE25DDB-7DF4-4205-A21B-A8E43EA884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patrocínio trilhão Timóteo -500,00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tc={6AEDFE6E-16A6-4CEA-AAE3-3FF3B4B1230C}</author>
    <author>tc={8BD41E3E-60DA-4487-BF04-4AA66D3CE0B8}</author>
    <author>tc={A2B432B4-1880-4220-A6C4-420FA25709CC}</author>
    <author>tc={ED384F58-C9CF-4C6D-8B93-699289DA4AA1}</author>
    <author>tc={4B503845-0C6C-4C57-8E6B-C839FC7C9934}</author>
    <author>tc={F9BFA8B0-09F4-41EF-8F0B-B6CF4DEBFA72}</author>
    <author>tc={7B7293E6-D7DB-483D-A364-5A3296CB04F6}</author>
    <author>tc={2B0676E9-4DF7-4AFB-B9AA-C15D3578E9AC}</author>
    <author>tc={E27F2CB2-7923-4801-A35A-F83552EEFF63}</author>
    <author>tc={D4559C10-B911-489A-8E6F-76B7075A8A84}</author>
    <author>tc={8530BFF5-314F-43D3-90EE-14A2D20C829A}</author>
    <author>tc={D8235502-D0C0-4654-8FBA-BDF45DF05BC2}</author>
    <author>tc={675438E9-D04B-42B2-AB9D-A8C8452B434E}</author>
    <author>tc={229898EC-FBBD-4381-AB7E-74C2F5F134EE}</author>
    <author>tc={3C08E12F-8CE8-4B43-886D-D429763150A0}</author>
    <author>tc={4D4D79B2-C4A8-4774-96E8-82C763A206FD}</author>
    <author>tc={DDD4160D-90B5-4D00-8DB5-30CF1209146B}</author>
    <author>tc={FE2D837F-F30B-4786-9C5C-3CD6D19CECCB}</author>
    <author>tc={172513F7-0A4C-403D-92DE-991ADEFEB66D}</author>
    <author>tc={AF65E02B-346C-49B4-A7AB-6072E100444A}</author>
    <author>tc={6683A06B-28EC-47F4-A3BB-D9ED754474B0}</author>
    <author>tc={21DC26C6-F4B1-423D-856F-03741CE25BB0}</author>
    <author>tc={B6F72479-1CC1-4F97-ABBF-9E075B488A26}</author>
    <author>tc={3841387A-D6B8-49C3-BCF0-BCA7955A2E02}</author>
    <author>tc={4167217B-AD84-422C-96BC-DE9818587633}</author>
    <author>tc={F313E7DB-6811-49CC-9767-94F05AE122F7}</author>
    <author>tc={6F6C8019-4C0C-4905-8C7B-6FC1F16BD924}</author>
    <author>tc={368C796F-CA96-4A92-AB3A-0A813CDA787F}</author>
    <author>tc={08D0E99A-F8FA-4B06-9919-C5954E019D0A}</author>
    <author>tc={482FD12B-A422-4118-BC52-21DF7C8F5A55}</author>
    <author>tc={F1AD84BE-8090-41EB-874B-C5DBADF2A28A}</author>
    <author>tc={0DD072B8-D687-40A4-8B85-B5C9232AB565}</author>
    <author>tc={8D86700C-75C7-4AF6-B4EC-A3D25B24AEA3}</author>
    <author>tc={AB9B0A7E-C2E7-43FB-AA5A-CFCB1F753D4D}</author>
    <author>tc={AB0530F6-225D-4A2A-83D2-5F0C4CAF1018}</author>
    <author>tc={52354BB5-66D7-465F-8A74-CD12073AB031}</author>
    <author>tc={FE08C21F-66EA-4B7B-B13E-89194A3BCA26}</author>
    <author>tc={D5CBE8DF-3638-471F-A578-A6B3D8A0DEFB}</author>
    <author>tc={ED72A646-E2F8-48B3-BB21-E69499F74803}</author>
    <author>Igor Vargas</author>
    <author>tc={D8DF5588-7B8D-4B66-8A58-35B1B7725839}</author>
    <author>tc={AF6BCF62-0668-485B-984C-434313697F51}</author>
    <author>tc={D9CC10A7-A112-4156-892E-8FD86022CA47}</author>
    <author>tc={1FAF1CA9-CBBA-4168-9196-847E8366FC4D}</author>
    <author>tc={8A8083EA-5554-4981-AF7D-2DF87B86E152}</author>
    <author>tc={4E67C580-5A42-44EE-A462-481E47B24334}</author>
    <author>tc={9A1CCADD-8826-4B03-BCD9-9C815585668F}</author>
    <author>tc={BB85C5FF-A32F-43CA-8657-F048B07EA927}</author>
    <author>tc={DE6C6FB0-1686-4D60-AB61-DF851607D796}</author>
    <author>tc={74668D58-07BD-4C41-9DAE-5F079814C3A3}</author>
    <author>tc={C120E275-3816-4106-87EA-30B72DF6A411}</author>
    <author>tc={11DED1B4-A55A-4F9E-8771-D379942B6293}</author>
    <author>tc={850DF2F3-7BA0-41E0-8054-B6F174E72302}</author>
    <author>tc={D8D63043-4760-446B-A11A-45924B727F3F}</author>
    <author>tc={6308C3C8-6F48-4AF6-BFB6-B5465AA2E8F7}</author>
    <author>tc={D3683E6A-A935-4C48-B337-C2F6C3020CAC}</author>
    <author>tc={03D3A89D-9424-4F4B-9F04-141486CE4B66}</author>
    <author>tc={AF0CA560-B6DD-4488-9C08-29CD7B72E949}</author>
    <author>tc={AECE8805-3F37-4BDB-9E62-272EEFC40CEF}</author>
    <author>tc={D5948940-DE37-4C03-BC2E-31BE47420364}</author>
    <author>tc={64EF67F0-5D14-43A6-9970-4C4B2DEBD2BA}</author>
    <author>tc={5DD75784-CAE2-46AE-85C6-C864A1F2F1BF}</author>
    <author>tc={C117DBC1-527F-4D57-A6DE-D12CD88619FF}</author>
    <author>tc={EBB7974A-38EE-4854-BBD6-8B21252BF350}</author>
    <author>tc={156B15E6-C355-4809-B894-4A7C5A4AA69D}</author>
    <author>tc={D1BAFB1F-1A8C-4E7E-ADF5-F2ABB659821E}</author>
    <author>tc={0C094010-3E50-445A-81AA-3EC258A43A99}</author>
    <author>tc={51B224B1-7140-47DF-B1A9-B92316476D97}</author>
    <author>tc={FA130E5B-ED16-49B9-A380-FA39271FC64F}</author>
    <author>tc={8E8AC548-BD9D-460C-A892-654CF111B45D}</author>
    <author>tc={85526092-1DCF-4644-B64E-A5623C8C4AA4}</author>
    <author>tc={8F9FBF61-1179-48D2-BFF9-07D1E40DFB40}</author>
    <author>tc={6E73D87C-27B0-49BB-B423-432D65B7C542}</author>
    <author>tc={A50F8AE3-BE36-4D0D-9F47-B93A9BCC0986}</author>
    <author>tc={24071B26-8442-481E-9D7C-AE2B52D4CF00}</author>
    <author>tc={11DA4AC3-4D19-40F6-B44C-79BBF282C587}</author>
    <author>tc={F5770B65-5559-4705-9387-79AEFAEE1FF5}</author>
    <author>tc={079CB8EF-AF9D-4006-A471-E338E06D568E}</author>
    <author>tc={1E11E3AC-5BEF-4A65-B293-A0781049500C}</author>
    <author>tc={2048AE6D-B5D0-488B-B29B-084B4B2E801B}</author>
    <author>tc={944684A1-D0A2-4D82-ABB1-68AA0413E4F8}</author>
  </authors>
  <commentList>
    <comment ref="C12" authorId="0" shapeId="0" xr:uid="{6AEDFE6E-16A6-4CEA-AAE3-3FF3B4B123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D12" authorId="1" shapeId="0" xr:uid="{8BD41E3E-60DA-4487-BF04-4AA66D3CE0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E12" authorId="2" shapeId="0" xr:uid="{A2B432B4-1880-4220-A6C4-420FA25709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F12" authorId="3" shapeId="0" xr:uid="{ED384F58-C9CF-4C6D-8B93-699289DA4A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- 1140,00
Financeiro - 1.000,00</t>
      </text>
    </comment>
    <comment ref="G12" authorId="4" shapeId="0" xr:uid="{4B503845-0C6C-4C57-8E6B-C839FC7C99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H12" authorId="5" shapeId="0" xr:uid="{F9BFA8B0-09F4-41EF-8F0B-B6CF4DEBFA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I12" authorId="6" shapeId="0" xr:uid="{7B7293E6-D7DB-483D-A364-5A3296CB04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J12" authorId="7" shapeId="0" xr:uid="{2B0676E9-4DF7-4AFB-B9AA-C15D3578E9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- 640,00
Financeiro - 1.000,00</t>
      </text>
    </comment>
    <comment ref="K12" authorId="8" shapeId="0" xr:uid="{E27F2CB2-7923-4801-A35A-F83552EEFF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M12" authorId="9" shapeId="0" xr:uid="{D4559C10-B911-489A-8E6F-76B7075A8A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O12" authorId="10" shapeId="0" xr:uid="{8530BFF5-314F-43D3-90EE-14A2D20C82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Q12" authorId="11" shapeId="0" xr:uid="{D8235502-D0C0-4654-8FBA-BDF45DF05B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S12" authorId="12" shapeId="0" xr:uid="{675438E9-D04B-42B2-AB9D-A8C8452B43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U12" authorId="13" shapeId="0" xr:uid="{229898EC-FBBD-4381-AB7E-74C2F5F134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W12" authorId="14" shapeId="0" xr:uid="{3C08E12F-8CE8-4B43-886D-D429763150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Y12" authorId="15" shapeId="0" xr:uid="{4D4D79B2-C4A8-4774-96E8-82C763A206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Contabilidade - 600,00
Financeiro - 1.000,00</t>
      </text>
    </comment>
    <comment ref="C14" authorId="16" shapeId="0" xr:uid="{DDD4160D-90B5-4D00-8DB5-30CF120914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D14" authorId="17" shapeId="0" xr:uid="{FE2D837F-F30B-4786-9C5C-3CD6D19CEC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E14" authorId="18" shapeId="0" xr:uid="{172513F7-0A4C-403D-92DE-991ADEFEB6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F14" authorId="19" shapeId="0" xr:uid="{AF65E02B-346C-49B4-A7AB-6072E1004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G14" authorId="20" shapeId="0" xr:uid="{6683A06B-28EC-47F4-A3BB-D9ED754474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H14" authorId="21" shapeId="0" xr:uid="{21DC26C6-F4B1-423D-856F-03741CE25B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I14" authorId="22" shapeId="0" xr:uid="{B6F72479-1CC1-4F97-ABBF-9E075B488A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J14" authorId="23" shapeId="0" xr:uid="{3841387A-D6B8-49C3-BCF0-BCA7955A2E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K14" authorId="24" shapeId="0" xr:uid="{4167217B-AD84-422C-96BC-DE98185876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L14" authorId="25" shapeId="0" xr:uid="{F313E7DB-6811-49CC-9767-94F05AE122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M14" authorId="26" shapeId="0" xr:uid="{6F6C8019-4C0C-4905-8C7B-6FC1F16BD9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N14" authorId="27" shapeId="0" xr:uid="{368C796F-CA96-4A92-AB3A-0A813CDA78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O14" authorId="28" shapeId="0" xr:uid="{08D0E99A-F8FA-4B06-9919-C5954E019D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P14" authorId="29" shapeId="0" xr:uid="{482FD12B-A422-4118-BC52-21DF7C8F5A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Q14" authorId="30" shapeId="0" xr:uid="{F1AD84BE-8090-41EB-874B-C5DBADF2A2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R14" authorId="31" shapeId="0" xr:uid="{0DD072B8-D687-40A4-8B85-B5C9232AB5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S14" authorId="32" shapeId="0" xr:uid="{8D86700C-75C7-4AF6-B4EC-A3D25B24AE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T14" authorId="33" shapeId="0" xr:uid="{AB9B0A7E-C2E7-43FB-AA5A-CFCB1F753D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U14" authorId="34" shapeId="0" xr:uid="{AB0530F6-225D-4A2A-83D2-5F0C4CAF10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V14" authorId="35" shapeId="0" xr:uid="{52354BB5-66D7-465F-8A74-CD12073AB0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W14" authorId="36" shapeId="0" xr:uid="{FE08C21F-66EA-4B7B-B13E-89194A3BCA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X14" authorId="37" shapeId="0" xr:uid="{D5CBE8DF-3638-471F-A578-A6B3D8A0DE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Y14" authorId="38" shapeId="0" xr:uid="{ED72A646-E2F8-48B3-BB21-E69499F748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C23" authorId="39" shapeId="0" xr:uid="{2D50DBC4-40BA-427F-B971-713EA9526524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D23" authorId="39" shapeId="0" xr:uid="{A9C73760-6D99-42CC-A070-C5A2BF830475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E23" authorId="39" shapeId="0" xr:uid="{21B2B2B1-7E9E-41EC-9CAB-C544DF8D8D9F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F23" authorId="39" shapeId="0" xr:uid="{09B9A7D1-F426-4CBD-AD18-77BF29E1738E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G23" authorId="39" shapeId="0" xr:uid="{1D1457D4-46E5-4081-AA98-12338EF94C79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H23" authorId="39" shapeId="0" xr:uid="{A4BA867A-AEC3-40B3-9677-59FB49D86C60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I23" authorId="39" shapeId="0" xr:uid="{06827E02-5766-438B-9D9D-0E2EC8A90898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J23" authorId="39" shapeId="0" xr:uid="{3F1E252A-386B-442F-B868-A203CE92A4A3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K23" authorId="39" shapeId="0" xr:uid="{033E736B-6F71-491D-9E56-98D869ACDDEF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L23" authorId="39" shapeId="0" xr:uid="{05142BA3-9D49-4F40-9779-22D0E9CA9006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M23" authorId="39" shapeId="0" xr:uid="{B36430ED-BA21-4EB4-B27D-3D7CACA8C8A8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N23" authorId="39" shapeId="0" xr:uid="{9E15B4EC-5490-4C89-A2DF-D540749F6A08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O23" authorId="39" shapeId="0" xr:uid="{06989EF0-638D-4E8D-895D-43EC1766E530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P23" authorId="39" shapeId="0" xr:uid="{BD50FBA0-845E-4851-B4D6-21FAD265FB56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Q23" authorId="39" shapeId="0" xr:uid="{11D4ECDD-F234-4C53-AB22-E766104B3D59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R23" authorId="39" shapeId="0" xr:uid="{0904CC6C-6B6A-43BA-AFD1-695A8B6DEBEF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S23" authorId="39" shapeId="0" xr:uid="{498869BC-A608-4AB2-9E1E-EFE376D707A6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T23" authorId="39" shapeId="0" xr:uid="{0F7EC0A5-C4A8-4A91-9D2A-005953F69404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U23" authorId="39" shapeId="0" xr:uid="{A3AF03E3-B677-41B2-ADFE-581220D2F344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V23" authorId="39" shapeId="0" xr:uid="{D3B7E23D-FCF1-41BB-8FCD-99FC140DA80B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W23" authorId="39" shapeId="0" xr:uid="{AC7A8CE5-9E81-418A-A527-D16E169C3041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X23" authorId="39" shapeId="0" xr:uid="{7F214911-0282-4426-8319-AD1708419793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Y23" authorId="39" shapeId="0" xr:uid="{CACA4E32-D33B-45E8-B3B2-44665D40FD31}">
      <text>
        <r>
          <rPr>
            <b/>
            <sz val="9"/>
            <color indexed="81"/>
            <rFont val="Segoe UI"/>
            <family val="2"/>
          </rPr>
          <t>Igor Vargas:</t>
        </r>
        <r>
          <rPr>
            <sz val="9"/>
            <color indexed="81"/>
            <rFont val="Segoe UI"/>
            <family val="2"/>
          </rPr>
          <t xml:space="preserve">
Pronamp</t>
        </r>
      </text>
    </comment>
    <comment ref="C39" authorId="40" shapeId="0" xr:uid="{D8DF5588-7B8D-4B66-8A58-35B1B77258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D39" authorId="41" shapeId="0" xr:uid="{AF6BCF62-0668-485B-984C-434313697F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- 857,07
Agua - 250,00
Cartão de credito - 2.795,79</t>
      </text>
    </comment>
    <comment ref="E39" authorId="42" shapeId="0" xr:uid="{D9CC10A7-A112-4156-892E-8FD86022CA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F39" authorId="43" shapeId="0" xr:uid="{1FAF1CA9-CBBA-4168-9196-847E8366FC4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
Iptu - 1822,82
</t>
      </text>
    </comment>
    <comment ref="G39" authorId="44" shapeId="0" xr:uid="{8A8083EA-5554-4981-AF7D-2DF87B86E1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H39" authorId="45" shapeId="0" xr:uid="{4E67C580-5A42-44EE-A462-481E47B243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- 1.100,00
Luz - 826,94
Agua - 250,00
Cartão de credito - 2.844,98</t>
      </text>
    </comment>
    <comment ref="I39" authorId="46" shapeId="0" xr:uid="{9A1CCADD-8826-4B03-BCD9-9C81558566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J39" authorId="47" shapeId="0" xr:uid="{BB85C5FF-A32F-43CA-8657-F048B07EA9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- 2.100,00
Condomínio - 161,39
Luz - 826,94
Agua - 250,00
Cartão de credito -3393,01</t>
      </text>
    </comment>
    <comment ref="K39" authorId="48" shapeId="0" xr:uid="{DE6C6FB0-1686-4D60-AB61-DF851607D7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M39" authorId="49" shapeId="0" xr:uid="{74668D58-07BD-4C41-9DAE-5F079814C3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O39" authorId="50" shapeId="0" xr:uid="{C120E275-3816-4106-87EA-30B72DF6A4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Q39" authorId="51" shapeId="0" xr:uid="{11DED1B4-A55A-4F9E-8771-D379942B62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S39" authorId="52" shapeId="0" xr:uid="{850DF2F3-7BA0-41E0-8054-B6F174E723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U39" authorId="53" shapeId="0" xr:uid="{D8D63043-4760-446B-A11A-45924B727F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W39" authorId="54" shapeId="0" xr:uid="{6308C3C8-6F48-4AF6-BFB6-B5465AA2E8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Y39" authorId="55" shapeId="0" xr:uid="{D3683E6A-A935-4C48-B337-C2F6C3020C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Aluguel - 2.150,00
Luz - 850,00
Agua - 250,00
Cartão de credito - 5.000,00</t>
      </text>
    </comment>
    <comment ref="C40" authorId="56" shapeId="0" xr:uid="{03D3A89D-9424-4F4B-9F04-141486CE4B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D40" authorId="57" shapeId="0" xr:uid="{AF0CA560-B6DD-4488-9C08-29CD7B72E9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E40" authorId="58" shapeId="0" xr:uid="{AECE8805-3F37-4BDB-9E62-272EEFC40C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F40" authorId="59" shapeId="0" xr:uid="{D5948940-DE37-4C03-BC2E-31BE474203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G40" authorId="60" shapeId="0" xr:uid="{64EF67F0-5D14-43A6-9970-4C4B2DEBD2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H40" authorId="61" shapeId="0" xr:uid="{5DD75784-CAE2-46AE-85C6-C864A1F2F1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- 500,00</t>
      </text>
    </comment>
    <comment ref="I40" authorId="62" shapeId="0" xr:uid="{C117DBC1-527F-4D57-A6DE-D12CD88619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- 250,00</t>
      </text>
    </comment>
    <comment ref="J40" authorId="63" shapeId="0" xr:uid="{EBB7974A-38EE-4854-BBD6-8B21252BF3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 - 200
Compra PC - 250,00
Certificado Digital - 149,00</t>
      </text>
    </comment>
    <comment ref="K40" authorId="64" shapeId="0" xr:uid="{156B15E6-C355-4809-B894-4A7C5A4AA6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L40" authorId="65" shapeId="0" xr:uid="{D1BAFB1F-1A8C-4E7E-ADF5-F2ABB65982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M40" authorId="66" shapeId="0" xr:uid="{0C094010-3E50-445A-81AA-3EC258A43A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N40" authorId="67" shapeId="0" xr:uid="{51B224B1-7140-47DF-B1A9-B92316476D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O40" authorId="68" shapeId="0" xr:uid="{FA130E5B-ED16-49B9-A380-FA39271FC6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P40" authorId="69" shapeId="0" xr:uid="{8E8AC548-BD9D-460C-A892-654CF111B4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Q40" authorId="70" shapeId="0" xr:uid="{85526092-1DCF-4644-B64E-A5623C8C4A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R40" authorId="71" shapeId="0" xr:uid="{8F9FBF61-1179-48D2-BFF9-07D1E40DFB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S40" authorId="72" shapeId="0" xr:uid="{6E73D87C-27B0-49BB-B423-432D65B7C5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T40" authorId="73" shapeId="0" xr:uid="{A50F8AE3-BE36-4D0D-9F47-B93A9BCC09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U40" authorId="74" shapeId="0" xr:uid="{24071B26-8442-481E-9D7C-AE2B52D4CF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V40" authorId="75" shapeId="0" xr:uid="{11DA4AC3-4D19-40F6-B44C-79BBF282C5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W40" authorId="76" shapeId="0" xr:uid="{F5770B65-5559-4705-9387-79AEFAEE1F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X40" authorId="77" shapeId="0" xr:uid="{079CB8EF-AF9D-4006-A471-E338E06D56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Y40" authorId="78" shapeId="0" xr:uid="{1E11E3AC-5BEF-4A65-B293-A078104950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Bling</t>
      </text>
    </comment>
    <comment ref="H43" authorId="79" shapeId="0" xr:uid="{2048AE6D-B5D0-488B-B29B-084B4B2E80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Registro de marca</t>
      </text>
    </comment>
    <comment ref="J43" authorId="80" shapeId="0" xr:uid="{944684A1-D0A2-4D82-ABB1-68AA0413E4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patrocínio trilhão Timóteo -500,00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tc={021E1251-E1A8-4207-8EE9-7CB7F341450E}</author>
  </authors>
  <commentList>
    <comment ref="I192" authorId="0" shapeId="0" xr:uid="{021E1251-E1A8-4207-8EE9-7CB7F34145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Despesa ref a Junho paga em Julho  (R$ 12.502,70)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tc={773EE3C3-7B14-44D8-AEE5-C799697D56A7}</author>
  </authors>
  <commentList>
    <comment ref="I192" authorId="0" shapeId="0" xr:uid="{773EE3C3-7B14-44D8-AEE5-C799697D56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Despesa ref a Junho paga em Julho  (R$ 12.502,70)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tc={E0DF2036-E13E-4A58-9137-28FDE533660A}</author>
  </authors>
  <commentList>
    <comment ref="F12" authorId="0" shapeId="0" xr:uid="{E0DF2036-E13E-4A58-9137-28FDE53366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Mesa - 180,00
Cadeira - 230,00
Notebook - 900,00
Kit Teclado + Mouse - 150,00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</author>
  </authors>
  <commentList>
    <comment ref="A8" authorId="0" shapeId="0" xr:uid="{8002069F-4B0A-4D05-918A-23325CAA734E}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23" authorId="0" shapeId="0" xr:uid="{686350AF-EDE2-43BF-A027-FEAE28CF2167}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38" authorId="0" shapeId="0" xr:uid="{45628683-7CA3-4578-AE99-A8D2109B4FED}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53" authorId="0" shapeId="0" xr:uid="{5F042301-C83F-43D9-A5EE-02D3DCD2A74B}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68" authorId="0" shapeId="0" xr:uid="{D61DBF2E-5ADC-40EE-8653-2193539BE272}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83" authorId="0" shapeId="0" xr:uid="{1B0777E8-B41A-4D4E-AC27-EDE23906DAF9}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97" authorId="0" shapeId="0" xr:uid="{D5EE4654-243E-4F23-ADD4-FC6789DF46D9}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11" authorId="0" shapeId="0" xr:uid="{51897395-AF95-4B8B-ABE3-11F4BB00104D}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25" authorId="0" shapeId="0" xr:uid="{1E7FEA59-9F09-4894-9495-BEC527742243}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53" authorId="0" shapeId="0" xr:uid="{0CC5F12C-84EA-4B73-9E3F-DA59192D978C}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68" authorId="0" shapeId="0" xr:uid="{4BB772E1-DDEA-45A6-9C25-69AD507EFCAD}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  <comment ref="A183" authorId="0" shapeId="0" xr:uid="{93C7B833-05AB-4B09-A907-90B5E9738EE8}">
      <text>
        <r>
          <rPr>
            <b/>
            <sz val="9"/>
            <color indexed="81"/>
            <rFont val="Segoe UI"/>
            <family val="2"/>
          </rPr>
          <t>Mauricio:</t>
        </r>
        <r>
          <rPr>
            <sz val="9"/>
            <color indexed="81"/>
            <rFont val="Segoe UI"/>
            <family val="2"/>
          </rPr>
          <t xml:space="preserve">
comportamento do KIM+ em nov/21. Retiradas as vendas pela carteira digital e incluidas em PIX.</t>
        </r>
      </text>
    </comment>
  </commentList>
</comments>
</file>

<file path=xl/sharedStrings.xml><?xml version="1.0" encoding="utf-8"?>
<sst xmlns="http://schemas.openxmlformats.org/spreadsheetml/2006/main" count="2576" uniqueCount="780">
  <si>
    <t>Levantamento das Receitas e Custos Transacionais (Jun a Ago/23)</t>
  </si>
  <si>
    <t>Receitas Médias por Transações</t>
  </si>
  <si>
    <t>Mês</t>
  </si>
  <si>
    <t>Transações</t>
  </si>
  <si>
    <t>Fatur. Bruto</t>
  </si>
  <si>
    <t>Receita Bruta</t>
  </si>
  <si>
    <t>Fat./Trans.</t>
  </si>
  <si>
    <t>Rec./Trans.</t>
  </si>
  <si>
    <t>Rec. %</t>
  </si>
  <si>
    <t>Total</t>
  </si>
  <si>
    <t>Custos Diretos por Transações*</t>
  </si>
  <si>
    <t>Des. Financ.**</t>
  </si>
  <si>
    <t>Impostos Dir.</t>
  </si>
  <si>
    <t>Custo Dir/Trans.</t>
  </si>
  <si>
    <t>Custo %</t>
  </si>
  <si>
    <t>*ISS ajustado para 5% sobre receita bruta</t>
  </si>
  <si>
    <t>** Inclui estornos financeiros e chargeback</t>
  </si>
  <si>
    <t>Custos Indiretos por Transações</t>
  </si>
  <si>
    <t>Infra de Sistemas</t>
  </si>
  <si>
    <t>Chips Tim</t>
  </si>
  <si>
    <t>Delivery</t>
  </si>
  <si>
    <t>Custo Ind./Trans.</t>
  </si>
  <si>
    <t>Custos Administrativos por transação</t>
  </si>
  <si>
    <t>Pessoal*</t>
  </si>
  <si>
    <t>Viagens</t>
  </si>
  <si>
    <t>Marketing</t>
  </si>
  <si>
    <t>Outros</t>
  </si>
  <si>
    <t>Adm/Trans.</t>
  </si>
  <si>
    <t>* Inclui Pjs e Body shop e rateio com BIG</t>
  </si>
  <si>
    <t>Sotwares e Licenças de Uso</t>
  </si>
  <si>
    <t>Ajuste ISS</t>
  </si>
  <si>
    <t>Devido</t>
  </si>
  <si>
    <t>Pago</t>
  </si>
  <si>
    <t>Diferença</t>
  </si>
  <si>
    <t>Resumo das Receitas e Custos Transacionais</t>
  </si>
  <si>
    <t>Por Transação</t>
  </si>
  <si>
    <t>% s/ Fatur.</t>
  </si>
  <si>
    <t>Entradas</t>
  </si>
  <si>
    <t>Faturamento Médio por Transação</t>
  </si>
  <si>
    <t>Receita Média por Transação</t>
  </si>
  <si>
    <t>Saídas</t>
  </si>
  <si>
    <t>Custos Diretos</t>
  </si>
  <si>
    <t>Despesas Financeiras</t>
  </si>
  <si>
    <t>Impostos Diretos</t>
  </si>
  <si>
    <t>Total Custos Diretos</t>
  </si>
  <si>
    <t>Custos Indiretos</t>
  </si>
  <si>
    <t>Infraestrutura de Sistemas</t>
  </si>
  <si>
    <t>Chips TIM</t>
  </si>
  <si>
    <t>Delivery de Cartões</t>
  </si>
  <si>
    <t>Total Custos Indiretos</t>
  </si>
  <si>
    <t>Custos Administrativos</t>
  </si>
  <si>
    <t>Pessoal</t>
  </si>
  <si>
    <t>Total Custos Admnistrativos</t>
  </si>
  <si>
    <t>Receita</t>
  </si>
  <si>
    <t>Sub-Total</t>
  </si>
  <si>
    <t>Realizado</t>
  </si>
  <si>
    <t>Taguatur</t>
  </si>
  <si>
    <t>Camaçari</t>
  </si>
  <si>
    <t>(-) Despesas do Negócio</t>
  </si>
  <si>
    <t>Despesas de pessoal</t>
  </si>
  <si>
    <t>Despesas gerais</t>
  </si>
  <si>
    <t>Tecnologia</t>
  </si>
  <si>
    <t>Despesas de vendas</t>
  </si>
  <si>
    <t>Despesas de marketing</t>
  </si>
  <si>
    <t>Impostos Retido de Terceiro</t>
  </si>
  <si>
    <t>Despesas financeiras</t>
  </si>
  <si>
    <t>Acumulado desde início do projeto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</si>
  <si>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</si>
  <si>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</si>
  <si>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</si>
  <si>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</si>
  <si>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</si>
  <si>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</si>
  <si>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</si>
  <si>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</si>
  <si>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</si>
  <si>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</si>
  <si>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</si>
  <si>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</si>
  <si>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</si>
  <si>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ENTRADAS</t>
  </si>
  <si>
    <t>VIA FEIRA</t>
  </si>
  <si>
    <t>TOTAL DE ENTRADAS</t>
  </si>
  <si>
    <t>2.07.01.01</t>
  </si>
  <si>
    <t>PIS</t>
  </si>
  <si>
    <t>2.07.01.04</t>
  </si>
  <si>
    <t>COFINS</t>
  </si>
  <si>
    <t>2.07.01.07</t>
  </si>
  <si>
    <t>IPI</t>
  </si>
  <si>
    <t>IOF S/INVESTIMENTO</t>
  </si>
  <si>
    <t xml:space="preserve">IR S/INVESTIMENTO </t>
  </si>
  <si>
    <t>2.07.01.19</t>
  </si>
  <si>
    <t>ICMS</t>
  </si>
  <si>
    <t>2.07.01.22</t>
  </si>
  <si>
    <t>ISS</t>
  </si>
  <si>
    <t>2.01</t>
  </si>
  <si>
    <t>DESPESAS COM PESSOAL E ENCARGOS</t>
  </si>
  <si>
    <t>2.01.01</t>
  </si>
  <si>
    <t>Salários diretos</t>
  </si>
  <si>
    <t>2.01.01.01</t>
  </si>
  <si>
    <t>2.01.01.02</t>
  </si>
  <si>
    <t>Adiantamento salarial</t>
  </si>
  <si>
    <t>2.01.01.05</t>
  </si>
  <si>
    <t>Hora extra</t>
  </si>
  <si>
    <t>2.01.01.06</t>
  </si>
  <si>
    <t>Adicional noturno</t>
  </si>
  <si>
    <t>2.01.01.07</t>
  </si>
  <si>
    <t xml:space="preserve">13o.  salário </t>
  </si>
  <si>
    <t>2.01.01.08</t>
  </si>
  <si>
    <t>Férias</t>
  </si>
  <si>
    <t>2.01.01.09</t>
  </si>
  <si>
    <t>Gratificação / prêmio</t>
  </si>
  <si>
    <t>2.01.01.10</t>
  </si>
  <si>
    <t>Comissões</t>
  </si>
  <si>
    <t>2.01.01.11</t>
  </si>
  <si>
    <t>Pensão alimentícia</t>
  </si>
  <si>
    <t>2.01.01.12</t>
  </si>
  <si>
    <t>Transporte de Funcionários</t>
  </si>
  <si>
    <t>2.01.02</t>
  </si>
  <si>
    <t>Encargos trabalhistas</t>
  </si>
  <si>
    <t>2.01.02.01</t>
  </si>
  <si>
    <t>INSS</t>
  </si>
  <si>
    <t>2.01.02.03</t>
  </si>
  <si>
    <t>FGTS</t>
  </si>
  <si>
    <t>2.01.02.04</t>
  </si>
  <si>
    <t>IRRF</t>
  </si>
  <si>
    <t>2.01.02.05</t>
  </si>
  <si>
    <t>Contribuição/taxa sindical - Empregados</t>
  </si>
  <si>
    <t>2.01.02.06</t>
  </si>
  <si>
    <t>Contribuição/taxa sindical - Empresa</t>
  </si>
  <si>
    <t>2.01.02.07</t>
  </si>
  <si>
    <t>Dep. Judicial FGTS</t>
  </si>
  <si>
    <t>2.01.03</t>
  </si>
  <si>
    <t>Verbas rescisórias e causas trabalhistas</t>
  </si>
  <si>
    <t>2.01.03.01</t>
  </si>
  <si>
    <t>Parcelas rescisórias (fgts, inss, etc)</t>
  </si>
  <si>
    <t>2.01.03.02</t>
  </si>
  <si>
    <t>Indenização trabalhista</t>
  </si>
  <si>
    <t>2.01.03.03</t>
  </si>
  <si>
    <t>Depósito recursal trabalhista</t>
  </si>
  <si>
    <t>2.01.03.04</t>
  </si>
  <si>
    <t>FGTS Rescisório</t>
  </si>
  <si>
    <t>2.01.04</t>
  </si>
  <si>
    <t>Benefícios</t>
  </si>
  <si>
    <t>2.01.04.01</t>
  </si>
  <si>
    <t>Vale transporte</t>
  </si>
  <si>
    <t>2.01.04.02</t>
  </si>
  <si>
    <t>Vale transporte para Empresa</t>
  </si>
  <si>
    <t>2.01.04.03</t>
  </si>
  <si>
    <t xml:space="preserve">Previdência privada </t>
  </si>
  <si>
    <t>2.01.04.04</t>
  </si>
  <si>
    <t>Uniformes</t>
  </si>
  <si>
    <t>2.01.04.05</t>
  </si>
  <si>
    <t>Ticket alimentação</t>
  </si>
  <si>
    <t>2.01.04.06</t>
  </si>
  <si>
    <t>Seguro de vida</t>
  </si>
  <si>
    <t>2.01.04.07</t>
  </si>
  <si>
    <t>Convênio médico-hospitalar</t>
  </si>
  <si>
    <t>2.01.04.08</t>
  </si>
  <si>
    <t>Convênio farmácia</t>
  </si>
  <si>
    <t>2.01.04.10</t>
  </si>
  <si>
    <t>Medicamentos e primeiros socorros</t>
  </si>
  <si>
    <t>2.01.04.11</t>
  </si>
  <si>
    <t>Convenio emprestimo consignado p/ funcionario</t>
  </si>
  <si>
    <t>2.02.07</t>
  </si>
  <si>
    <t xml:space="preserve">Gestão </t>
  </si>
  <si>
    <t>2.02.07.01</t>
  </si>
  <si>
    <t>Consultorias administrativas e financeiras</t>
  </si>
  <si>
    <t>2.02.07.99</t>
  </si>
  <si>
    <t>Outras prestações de serviços administrativos e financeiros</t>
  </si>
  <si>
    <t>2.02.01</t>
  </si>
  <si>
    <t>Sistemas, informática e telecomunicações</t>
  </si>
  <si>
    <t>2.02.01.01</t>
  </si>
  <si>
    <t>Assessoria Fcamara</t>
  </si>
  <si>
    <t>Assessoria Base 2</t>
  </si>
  <si>
    <t>Assessoria meta 3</t>
  </si>
  <si>
    <t>Assessoria Contratos PJS</t>
  </si>
  <si>
    <t>Gestão Tecnologia</t>
  </si>
  <si>
    <t>2.02.01.99</t>
  </si>
  <si>
    <t>Outros serviços de sistemas, informática, telecomunicações</t>
  </si>
  <si>
    <t>2.01.05</t>
  </si>
  <si>
    <t>Outras despesas com pessoal</t>
  </si>
  <si>
    <t>2.01.05.01</t>
  </si>
  <si>
    <t>Laudo psicotécnico</t>
  </si>
  <si>
    <t>2.01.05.02</t>
  </si>
  <si>
    <t>Recrutamento e seleção</t>
  </si>
  <si>
    <t>2.01.05.03</t>
  </si>
  <si>
    <t>Treinamentos</t>
  </si>
  <si>
    <t>2.01.05.04</t>
  </si>
  <si>
    <t>Exame médico</t>
  </si>
  <si>
    <t>2.01.05.05</t>
  </si>
  <si>
    <t>Cipa e brigada de incêndio</t>
  </si>
  <si>
    <t>2.01.05.06</t>
  </si>
  <si>
    <t>Estagiários e cooperados</t>
  </si>
  <si>
    <t>2.01.05.07</t>
  </si>
  <si>
    <t>Serviços de portaria, limpeza, jardinagem, etc</t>
  </si>
  <si>
    <t>2.01.05.08</t>
  </si>
  <si>
    <t>Pagamento Autonômos</t>
  </si>
  <si>
    <t>2.02</t>
  </si>
  <si>
    <t>CONSULTORIAS, ASSESSORIAS ETC.</t>
  </si>
  <si>
    <t>2.02.04</t>
  </si>
  <si>
    <t>Comercial Marketing e Comunicação</t>
  </si>
  <si>
    <t>2.02.04.01</t>
  </si>
  <si>
    <t>Consultoria Comercial, Marketing eComunicação</t>
  </si>
  <si>
    <t>2.02.04.99</t>
  </si>
  <si>
    <t>Prestação Serviços de Produção /Manutenção</t>
  </si>
  <si>
    <t>JURÍDICA</t>
  </si>
  <si>
    <t xml:space="preserve">Consultoria Juridica </t>
  </si>
  <si>
    <t>2.02.06</t>
  </si>
  <si>
    <t>Contábil, Fiscal e Tributária</t>
  </si>
  <si>
    <t>2.02.06.01</t>
  </si>
  <si>
    <t>Consultoria contábil, fiscal e tributária</t>
  </si>
  <si>
    <t>2.02.06.02</t>
  </si>
  <si>
    <t>Serviço Contábil (Cont. Filial)</t>
  </si>
  <si>
    <t>2.02.06.99</t>
  </si>
  <si>
    <t>Outras prestações de serviços contábeis, fiscais e tributárias</t>
  </si>
  <si>
    <t>2.02.10</t>
  </si>
  <si>
    <t>Despachantes</t>
  </si>
  <si>
    <t>2.02.10.01</t>
  </si>
  <si>
    <t>2.02.12</t>
  </si>
  <si>
    <t>Consultorias e Assessorias</t>
  </si>
  <si>
    <t>2.02.12.01</t>
  </si>
  <si>
    <t>consultoria/assessoria em gest</t>
  </si>
  <si>
    <t>2.02.13.01</t>
  </si>
  <si>
    <t>consultorias administrativas</t>
  </si>
  <si>
    <t>2.02.13.02</t>
  </si>
  <si>
    <t>consultorias financeiras</t>
  </si>
  <si>
    <t>2.02.13.03</t>
  </si>
  <si>
    <t>consultorias comerciais</t>
  </si>
  <si>
    <t>2.02.13.04</t>
  </si>
  <si>
    <t>consultorias de sistema</t>
  </si>
  <si>
    <t>2.03</t>
  </si>
  <si>
    <t>DESPESAS GERAIS</t>
  </si>
  <si>
    <t>2.03.01</t>
  </si>
  <si>
    <t>Despesas correntes</t>
  </si>
  <si>
    <t>2.03.01.01</t>
  </si>
  <si>
    <t>Água</t>
  </si>
  <si>
    <t>2.03.01.02</t>
  </si>
  <si>
    <t>Energia Elétrica</t>
  </si>
  <si>
    <t>2.03.01.03</t>
  </si>
  <si>
    <t>2.03.01.04</t>
  </si>
  <si>
    <t>Internet, links de comunicação, etc</t>
  </si>
  <si>
    <t>2.03.01.05</t>
  </si>
  <si>
    <t>Correios / malotes / postagens</t>
  </si>
  <si>
    <t>2.03.01.06</t>
  </si>
  <si>
    <t>Lavanderia, toalheiros, etc</t>
  </si>
  <si>
    <t>2.03.01.07</t>
  </si>
  <si>
    <t>Despesas com cartório</t>
  </si>
  <si>
    <t>2.03.01.08</t>
  </si>
  <si>
    <t>Material limpeza e conservação</t>
  </si>
  <si>
    <t>2.03.01.09</t>
  </si>
  <si>
    <t xml:space="preserve">Alimentação e lanches </t>
  </si>
  <si>
    <t>2.03.01.99</t>
  </si>
  <si>
    <t>Outras despesas gerais</t>
  </si>
  <si>
    <t>2.03.02</t>
  </si>
  <si>
    <t>Material de escritório e consumo</t>
  </si>
  <si>
    <t>2.03.02.01</t>
  </si>
  <si>
    <t>Papelaria</t>
  </si>
  <si>
    <t>2.03.02.02</t>
  </si>
  <si>
    <t>Suprimento de informática</t>
  </si>
  <si>
    <t>2.03.02.03</t>
  </si>
  <si>
    <t>Fotocópias</t>
  </si>
  <si>
    <t>2.03.02.04</t>
  </si>
  <si>
    <t>Material gráfico, fotográfico, etc</t>
  </si>
  <si>
    <t>2.03.03</t>
  </si>
  <si>
    <t>Bens de curta duração</t>
  </si>
  <si>
    <t>2.03.03.01</t>
  </si>
  <si>
    <t>2.03.04</t>
  </si>
  <si>
    <t>Publicações, assinaturas e periódicos</t>
  </si>
  <si>
    <t>2.03.04.01</t>
  </si>
  <si>
    <t>Assinat. jornais, revistas, publicações e periódicos</t>
  </si>
  <si>
    <t>2.03.04.02</t>
  </si>
  <si>
    <t>Compra de livros, jornais, revistas e publicações</t>
  </si>
  <si>
    <t>2.03.04.03</t>
  </si>
  <si>
    <t>Compra de Editais/Concorrencias</t>
  </si>
  <si>
    <t>2.03.05</t>
  </si>
  <si>
    <t>Aluguel de máquinas e equipamentos</t>
  </si>
  <si>
    <t>2.03.05.01</t>
  </si>
  <si>
    <t xml:space="preserve">Equipamentos de comunicação </t>
  </si>
  <si>
    <t>2.03.05.02</t>
  </si>
  <si>
    <t xml:space="preserve">Computadores, maquinas e equipamentos </t>
  </si>
  <si>
    <t>2.03.06</t>
  </si>
  <si>
    <t xml:space="preserve">Aluguel de imóveis </t>
  </si>
  <si>
    <t>2.03.06.01</t>
  </si>
  <si>
    <t>2.03.06.02</t>
  </si>
  <si>
    <t>Aluguel de standes, salas eventuais, etc</t>
  </si>
  <si>
    <t>2.03.06.03</t>
  </si>
  <si>
    <t>Condominios</t>
  </si>
  <si>
    <t>2.03.08</t>
  </si>
  <si>
    <t xml:space="preserve">Manutenções </t>
  </si>
  <si>
    <t>2.03.08.01</t>
  </si>
  <si>
    <t>Móveis e utensílios</t>
  </si>
  <si>
    <t>2.03.08.02</t>
  </si>
  <si>
    <t>Máquinas e equipamentos</t>
  </si>
  <si>
    <t>2.03.08.03</t>
  </si>
  <si>
    <t>Ferramentaria</t>
  </si>
  <si>
    <t>2.03.08.04</t>
  </si>
  <si>
    <t>Manut. Imóveis</t>
  </si>
  <si>
    <t>2.03.08.05</t>
  </si>
  <si>
    <t>Veículos</t>
  </si>
  <si>
    <t>2.03.08.07</t>
  </si>
  <si>
    <t>Bens locados</t>
  </si>
  <si>
    <t>2.03.08.08</t>
  </si>
  <si>
    <t>Computadores e periféricos</t>
  </si>
  <si>
    <t>2.03.09</t>
  </si>
  <si>
    <t xml:space="preserve">Seguros </t>
  </si>
  <si>
    <t>2.03.09.01</t>
  </si>
  <si>
    <t>Veículos e aeronaves</t>
  </si>
  <si>
    <t>2.03.09.02</t>
  </si>
  <si>
    <t>Imóveis</t>
  </si>
  <si>
    <t>2.03.09.03</t>
  </si>
  <si>
    <t>2.03.09.04</t>
  </si>
  <si>
    <t>Transportes de cargas - importação</t>
  </si>
  <si>
    <t>2.03.09.05</t>
  </si>
  <si>
    <t>Transportes de cargas - exportação</t>
  </si>
  <si>
    <t>2.03.09.06</t>
  </si>
  <si>
    <t>Transportes de cargas - nacionais</t>
  </si>
  <si>
    <t>2.05.02</t>
  </si>
  <si>
    <t>Despesas com fretes</t>
  </si>
  <si>
    <t>2.05.02.01</t>
  </si>
  <si>
    <t>Fretes de mercadorias de estoque</t>
  </si>
  <si>
    <t>2.05.02.02</t>
  </si>
  <si>
    <t xml:space="preserve">Fretes de importação </t>
  </si>
  <si>
    <t>2.05.02.03</t>
  </si>
  <si>
    <t>Fretes de exportação</t>
  </si>
  <si>
    <t>2.05.02.04</t>
  </si>
  <si>
    <t>Fretes nacionais aéreos</t>
  </si>
  <si>
    <t>2.05.02.05</t>
  </si>
  <si>
    <t>Fretes nacionais rodoviários</t>
  </si>
  <si>
    <t>Serviço de coleta e entrega de cartões</t>
  </si>
  <si>
    <t>2.05.02.12</t>
  </si>
  <si>
    <t>Fretes Nac Rodov-Merc- Clientes</t>
  </si>
  <si>
    <t>2.05.02.99</t>
  </si>
  <si>
    <t xml:space="preserve">Outros fretes </t>
  </si>
  <si>
    <t>2.04</t>
  </si>
  <si>
    <t>TECNOLOGIA</t>
  </si>
  <si>
    <t>2.03.07</t>
  </si>
  <si>
    <t>Aluguel de softwares e licenças de uso</t>
  </si>
  <si>
    <t>2.03.07.01</t>
  </si>
  <si>
    <t>Softwares e licenças de uso (SIGA)</t>
  </si>
  <si>
    <t>TIVIT (Integração SPTtans)</t>
  </si>
  <si>
    <t>Hospedagem em Cloud, Storage, Manutenção Ambiente</t>
  </si>
  <si>
    <t>Despesas (Dock/Fastcah)</t>
  </si>
  <si>
    <t>PAYGO (integração trensurb)</t>
  </si>
  <si>
    <t>Antivirus</t>
  </si>
  <si>
    <t>OCR e Face Match</t>
  </si>
  <si>
    <t>Software Microsoft 365</t>
  </si>
  <si>
    <t>Software Atlassian (Jira)</t>
  </si>
  <si>
    <t>Software SAC</t>
  </si>
  <si>
    <t>DESPESAS DE VIAGEM</t>
  </si>
  <si>
    <t>2.04.01</t>
  </si>
  <si>
    <t>Despesas de viagem</t>
  </si>
  <si>
    <t>2.04.01.01</t>
  </si>
  <si>
    <t xml:space="preserve">Passagens </t>
  </si>
  <si>
    <t>2.04.01.02</t>
  </si>
  <si>
    <t>Hospedagens</t>
  </si>
  <si>
    <t>2.04.01.03</t>
  </si>
  <si>
    <t>Alimentação</t>
  </si>
  <si>
    <t>2.04.01.04</t>
  </si>
  <si>
    <t>Transporte local em viagem (onibus/taxi/etc)</t>
  </si>
  <si>
    <t>2.04.01.05</t>
  </si>
  <si>
    <t xml:space="preserve">Combustível em viagem </t>
  </si>
  <si>
    <t>Viagens de prospecção de novos negócios</t>
  </si>
  <si>
    <t>Viagens de relacionamento com clientes</t>
  </si>
  <si>
    <t>2.04.01.99</t>
  </si>
  <si>
    <t>Outras despesas de viagens</t>
  </si>
  <si>
    <t>2.05.01</t>
  </si>
  <si>
    <t>Despesas com transporte</t>
  </si>
  <si>
    <t>2.05.01.01</t>
  </si>
  <si>
    <t>Combustível e lubrificantes</t>
  </si>
  <si>
    <t>2.05.01.02</t>
  </si>
  <si>
    <t>Estacionamento</t>
  </si>
  <si>
    <t>2.05.01.03</t>
  </si>
  <si>
    <t>Taxi, ônibus e outros deslocamentos urbanos</t>
  </si>
  <si>
    <t>2.05.01.04</t>
  </si>
  <si>
    <t>Aluguel de veículos</t>
  </si>
  <si>
    <t>2.05.01.05</t>
  </si>
  <si>
    <t>Transporte de Valores</t>
  </si>
  <si>
    <t>2.06</t>
  </si>
  <si>
    <t>DESPESAS COMERCIAIS E MARKETING</t>
  </si>
  <si>
    <t>2.06.01</t>
  </si>
  <si>
    <t>Despesas comerciais</t>
  </si>
  <si>
    <t>2.06.01.01</t>
  </si>
  <si>
    <t xml:space="preserve">Feiras, eventos e congressos </t>
  </si>
  <si>
    <t>2.06.01.02</t>
  </si>
  <si>
    <t>Promoções e patrocínios e doações</t>
  </si>
  <si>
    <t>2.06.01.03</t>
  </si>
  <si>
    <t>Doações</t>
  </si>
  <si>
    <t>2.06.01.04</t>
  </si>
  <si>
    <t>Brindes</t>
  </si>
  <si>
    <t>2.06.01.05</t>
  </si>
  <si>
    <t>Amostra gratis</t>
  </si>
  <si>
    <t>2.06.01.99</t>
  </si>
  <si>
    <t>Outras despesas comerciais</t>
  </si>
  <si>
    <t>2.06.02</t>
  </si>
  <si>
    <t>Despesas c/ divulgação mercadológica</t>
  </si>
  <si>
    <t>2.06.02.01</t>
  </si>
  <si>
    <t>Assessoria de Imprensa</t>
  </si>
  <si>
    <t>Agência de Publicidade</t>
  </si>
  <si>
    <t xml:space="preserve">Ferramentas de engajamento </t>
  </si>
  <si>
    <t>Campanhas para crescimento da base</t>
  </si>
  <si>
    <t>Lançamento Novas Praças</t>
  </si>
  <si>
    <t>2.06.02.02</t>
  </si>
  <si>
    <t>Material publicitário (amostras gratis, brindes, folders, etc)</t>
  </si>
  <si>
    <t>2.06.02.99</t>
  </si>
  <si>
    <t>Outras despesas c/ divulgação mercadológica</t>
  </si>
  <si>
    <t>2.07</t>
  </si>
  <si>
    <t>IMPOSTOS E TAXAS</t>
  </si>
  <si>
    <t>2.07.01</t>
  </si>
  <si>
    <t>Impostos diversos</t>
  </si>
  <si>
    <t>2.07.01.03</t>
  </si>
  <si>
    <t>PIS - retido de terceiros</t>
  </si>
  <si>
    <t>2.07.01.06</t>
  </si>
  <si>
    <t>COFINS - retido de terceiros</t>
  </si>
  <si>
    <t>2.07.01.09</t>
  </si>
  <si>
    <t>IRPJ</t>
  </si>
  <si>
    <t>2.07.01.11</t>
  </si>
  <si>
    <t>2.07.01.14</t>
  </si>
  <si>
    <t>IRRF - retido de terceiros</t>
  </si>
  <si>
    <t>2.07.01.15</t>
  </si>
  <si>
    <t>CSPJ</t>
  </si>
  <si>
    <t>2.07.01.17</t>
  </si>
  <si>
    <t>CSPJ - retido de terceiros</t>
  </si>
  <si>
    <t>2.07.01.25</t>
  </si>
  <si>
    <t>ISS - retido de terceiros</t>
  </si>
  <si>
    <t>2.07.01.27</t>
  </si>
  <si>
    <t>IPTU</t>
  </si>
  <si>
    <t>2.07.02</t>
  </si>
  <si>
    <t>Taxas diversas</t>
  </si>
  <si>
    <t>2.07.02.02</t>
  </si>
  <si>
    <t>TFL</t>
  </si>
  <si>
    <t>2.07.02.03</t>
  </si>
  <si>
    <t>Taxa de Corpo de Bombeiros</t>
  </si>
  <si>
    <t>2.07.02.04</t>
  </si>
  <si>
    <t>Taxas de importação/armazenagens</t>
  </si>
  <si>
    <t>2.07.02.05</t>
  </si>
  <si>
    <t>Taxas Diversas/Detran</t>
  </si>
  <si>
    <t>2.07.03</t>
  </si>
  <si>
    <t>Multas diversas</t>
  </si>
  <si>
    <t>2.07.03.02</t>
  </si>
  <si>
    <t>Multas e infrações contábeis/fiscais</t>
  </si>
  <si>
    <t>2.07.04</t>
  </si>
  <si>
    <t>Custas processuais</t>
  </si>
  <si>
    <t>2.07.04.01</t>
  </si>
  <si>
    <t>Custas processuais trabalhistas</t>
  </si>
  <si>
    <t>2.07.04.02</t>
  </si>
  <si>
    <t>Custas processuais tributarias</t>
  </si>
  <si>
    <t>Custas processuais civeis/comerciais</t>
  </si>
  <si>
    <t>2.09</t>
  </si>
  <si>
    <t>DESPESAS FINANCEIRAS</t>
  </si>
  <si>
    <t>2.09.02</t>
  </si>
  <si>
    <t>Despesas bancárias</t>
  </si>
  <si>
    <t>2.09.02.02</t>
  </si>
  <si>
    <t>CPMF</t>
  </si>
  <si>
    <t>2.09.02.03</t>
  </si>
  <si>
    <t>IOF</t>
  </si>
  <si>
    <t>2.09.02.04</t>
  </si>
  <si>
    <t>Comissão bancária s/ carta de fiança</t>
  </si>
  <si>
    <t>2.09.02.05</t>
  </si>
  <si>
    <t xml:space="preserve">Multas e juros </t>
  </si>
  <si>
    <t>2.09.02.06</t>
  </si>
  <si>
    <t>Descontos concedidos a clientes</t>
  </si>
  <si>
    <t>2.09.02.07</t>
  </si>
  <si>
    <t>Cheques devolvidos de terceiros/clientes</t>
  </si>
  <si>
    <t>2.09.02.10</t>
  </si>
  <si>
    <t>tarifa de emissão de ted / doc</t>
  </si>
  <si>
    <t>2.09.02.15</t>
  </si>
  <si>
    <t>extrato conta corrente</t>
  </si>
  <si>
    <t>2.09.02.16</t>
  </si>
  <si>
    <t>extrato de cobrança</t>
  </si>
  <si>
    <t>2.09.02.17</t>
  </si>
  <si>
    <t>manut. titulos vencidos</t>
  </si>
  <si>
    <t>2.09.02.18</t>
  </si>
  <si>
    <t>baixa de títulos</t>
  </si>
  <si>
    <t>2.09.02.19</t>
  </si>
  <si>
    <t>mensalidade de malote</t>
  </si>
  <si>
    <t>2.09.02.24</t>
  </si>
  <si>
    <t>manut. conta corrente</t>
  </si>
  <si>
    <t>2.09.03</t>
  </si>
  <si>
    <t>Depósitos em garantia</t>
  </si>
  <si>
    <t>2.09.03.01</t>
  </si>
  <si>
    <t>Depósitos caução</t>
  </si>
  <si>
    <t>Tarifa emissão de QRCODE (PIX)</t>
  </si>
  <si>
    <t>Tarifa emissão de Boletos</t>
  </si>
  <si>
    <t>Tarifa FastCash</t>
  </si>
  <si>
    <t>2.10.05</t>
  </si>
  <si>
    <t>Estornos</t>
  </si>
  <si>
    <t>2.10.05.01</t>
  </si>
  <si>
    <t>Estorno de receitas</t>
  </si>
  <si>
    <t>Chargeback</t>
  </si>
  <si>
    <t>Devoluçoes PIX</t>
  </si>
  <si>
    <t xml:space="preserve">Penalidade (Descumprimento contrato) </t>
  </si>
  <si>
    <t>2.10.05.02</t>
  </si>
  <si>
    <t>Estorno de crédito indevido</t>
  </si>
  <si>
    <t>2.10.06</t>
  </si>
  <si>
    <t>Suprimento de caixa</t>
  </si>
  <si>
    <t>2.10.06.01</t>
  </si>
  <si>
    <t xml:space="preserve">Suprimento de caixa </t>
  </si>
  <si>
    <t>2.10.07</t>
  </si>
  <si>
    <t>Outras</t>
  </si>
  <si>
    <t>2.10.07.01</t>
  </si>
  <si>
    <t>Perdas</t>
  </si>
  <si>
    <t>2.10.07.02</t>
  </si>
  <si>
    <t>Bloqueio Judicial</t>
  </si>
  <si>
    <t>2.08</t>
  </si>
  <si>
    <t>ESTOQUES E IMOBILIZADOS</t>
  </si>
  <si>
    <t>2.08.01</t>
  </si>
  <si>
    <t>Estoques</t>
  </si>
  <si>
    <t>2.08.01.05</t>
  </si>
  <si>
    <t>Mercadoria para revenda/cartões</t>
  </si>
  <si>
    <t>2.08.01.08</t>
  </si>
  <si>
    <t>Vales Transporte p/ Revenda</t>
  </si>
  <si>
    <t>2.08.02</t>
  </si>
  <si>
    <t>Imobilizados</t>
  </si>
  <si>
    <t>2.08.02.01</t>
  </si>
  <si>
    <t>2.08.02.02</t>
  </si>
  <si>
    <t>2.08.02.03</t>
  </si>
  <si>
    <t>2.08.02.04</t>
  </si>
  <si>
    <t>2.08.02.05</t>
  </si>
  <si>
    <t xml:space="preserve">Licença uso softwares </t>
  </si>
  <si>
    <t>2.08.02.06</t>
  </si>
  <si>
    <t>2.08.02.07</t>
  </si>
  <si>
    <t>Bens de locação/ccits</t>
  </si>
  <si>
    <t>2.08.02.10</t>
  </si>
  <si>
    <t>Marcas e patentes</t>
  </si>
  <si>
    <t>2.08.02.11</t>
  </si>
  <si>
    <t>Livros / biblioteca</t>
  </si>
  <si>
    <t>2.08.02.12</t>
  </si>
  <si>
    <t>Melhorias de imobilizado</t>
  </si>
  <si>
    <t>3.0</t>
  </si>
  <si>
    <t>CONTAS PROVISÓRIAS</t>
  </si>
  <si>
    <t>3.01.02.01</t>
  </si>
  <si>
    <t>Adiantamento de Viagem</t>
  </si>
  <si>
    <t>3.01.04.01</t>
  </si>
  <si>
    <t>Adiantamento a Fornecedores</t>
  </si>
  <si>
    <t>TOTAL DE SAIDAS</t>
  </si>
  <si>
    <t>RESULTADO MENSAL</t>
  </si>
  <si>
    <t>FLUXO DE CAIXA</t>
  </si>
  <si>
    <t>Saldo anterior</t>
  </si>
  <si>
    <t>Total de entradas</t>
  </si>
  <si>
    <t>Total de saidas</t>
  </si>
  <si>
    <t>Saldo atual</t>
  </si>
  <si>
    <t>CAMBIO</t>
  </si>
  <si>
    <t>Administrativos/Financeiros</t>
  </si>
  <si>
    <t>Telefonia Tacom</t>
  </si>
  <si>
    <t xml:space="preserve">Despesas de Vendas </t>
  </si>
  <si>
    <t>Tarifa Adyen</t>
  </si>
  <si>
    <t>Financiamento outros projetos</t>
  </si>
  <si>
    <t>FEIRA DE SANTANA</t>
  </si>
  <si>
    <t>Acumulado até  2017</t>
  </si>
  <si>
    <t>Módulos / Seviços</t>
  </si>
  <si>
    <t>Receita de Venda de cartões</t>
  </si>
  <si>
    <t>Receita de Venda de créditos</t>
  </si>
  <si>
    <t>Repasse VT Direto Dealer</t>
  </si>
  <si>
    <t>Comissionamento Ticket</t>
  </si>
  <si>
    <t>SSA - Estudante</t>
  </si>
  <si>
    <t>SSA - E-commerce</t>
  </si>
  <si>
    <t>Consultorias de sistemas , informática e telecomunicações</t>
  </si>
  <si>
    <t>Telefonia</t>
  </si>
  <si>
    <t>Lanches e alimentação</t>
  </si>
  <si>
    <t>Softwares e licenças de uso</t>
  </si>
  <si>
    <t>2.05</t>
  </si>
  <si>
    <t>DESPESAS COM TRANSPORTE</t>
  </si>
  <si>
    <t xml:space="preserve">Anuncios e veiculações </t>
  </si>
  <si>
    <t>IRRF - PJ   (terceiros)</t>
  </si>
  <si>
    <t>ISS - retido retido de terceiros</t>
  </si>
  <si>
    <t>207.04.03</t>
  </si>
  <si>
    <t>2.09.02.01</t>
  </si>
  <si>
    <t>Tarifas bancárias</t>
  </si>
  <si>
    <t>2.10</t>
  </si>
  <si>
    <t>OUTRAS SAÍDAS DE RECURSOS</t>
  </si>
  <si>
    <t>IMPOSTOS SOBRE FATURAMENTO</t>
  </si>
  <si>
    <t>CSLL</t>
  </si>
  <si>
    <t>Adicional de IR</t>
  </si>
  <si>
    <t>TOTAL DE IMPOSTOS SOBRE FATURAMENTO</t>
  </si>
  <si>
    <t xml:space="preserve">Resultado mensal </t>
  </si>
  <si>
    <t xml:space="preserve">Receitas Projetadas vs realizadas </t>
  </si>
  <si>
    <t>COMPORTAMENTO DE VENDAS E RECEITAS - CRÉDITOS DE TRANSPORTE</t>
  </si>
  <si>
    <t xml:space="preserve">Previsto </t>
  </si>
  <si>
    <t>Mês 20</t>
  </si>
  <si>
    <t>Mês 21</t>
  </si>
  <si>
    <t>Mês 22</t>
  </si>
  <si>
    <t>Mês 23</t>
  </si>
  <si>
    <t>Mês 24</t>
  </si>
  <si>
    <t>Ano 2</t>
  </si>
  <si>
    <t>Mês 25</t>
  </si>
  <si>
    <t>Mês 26</t>
  </si>
  <si>
    <t>Mês 27</t>
  </si>
  <si>
    <t>Mês 28</t>
  </si>
  <si>
    <t>Mês 29</t>
  </si>
  <si>
    <t>Mês 30</t>
  </si>
  <si>
    <t>Mês 31</t>
  </si>
  <si>
    <t>Mês 32</t>
  </si>
  <si>
    <t>Mês 33</t>
  </si>
  <si>
    <t>Mês 34</t>
  </si>
  <si>
    <t>Mês 35</t>
  </si>
  <si>
    <t>Mês 36</t>
  </si>
  <si>
    <t>Ano 3</t>
  </si>
  <si>
    <t>Salvadorcard/SSA</t>
  </si>
  <si>
    <t>Vendas Totais</t>
  </si>
  <si>
    <t>Vendas por meio de Pgto</t>
  </si>
  <si>
    <t>Cartão de Crédito</t>
  </si>
  <si>
    <t>Cartão de Débito</t>
  </si>
  <si>
    <t>Pix</t>
  </si>
  <si>
    <t>Carteira Digital KIM+</t>
  </si>
  <si>
    <t>Transferência</t>
  </si>
  <si>
    <t>Depósito</t>
  </si>
  <si>
    <t>Boleto Bancário</t>
  </si>
  <si>
    <t>Receitas</t>
  </si>
  <si>
    <t>Receita de Usuários</t>
  </si>
  <si>
    <t>Receita de Operadora</t>
  </si>
  <si>
    <t>Receitas Totais</t>
  </si>
  <si>
    <t>Metropasse/SSA</t>
  </si>
  <si>
    <t>GVBus/VIX</t>
  </si>
  <si>
    <t>Teu/POA</t>
  </si>
  <si>
    <t>Transfácil/BHZ</t>
  </si>
  <si>
    <t>Biguaçú-Jotur-Santa Terezinha/Florianopolis</t>
  </si>
  <si>
    <t>Via Ouro/Nova Lima</t>
  </si>
  <si>
    <t>Sptrans</t>
  </si>
  <si>
    <t>Alagoinhas</t>
  </si>
  <si>
    <t>CCR - METRO BAHIA</t>
  </si>
  <si>
    <t>COMPORTAMENTO DE VENDAS E RECEITAS - CRÉDITOS DE CELULAR</t>
  </si>
  <si>
    <t>COMPORTAMENTO DE VENDAS E RECEITAS - CONTEÚDOS DIGITAIS</t>
  </si>
  <si>
    <t>COMPORTAMENTO DE VENDAS E RECEITAS - SHOPPING</t>
  </si>
  <si>
    <t>COMPORTAMENTO DE VENDAS E RECEITAS - NOVOS PRODUTOS (MICRO CRÉDITO | SAÚDE | EAD | OUTROS)</t>
  </si>
  <si>
    <t>COMPORTAMENTO DE VENDAS E RECEITAS - MICRO CRÉDITO</t>
  </si>
  <si>
    <t>COMPORTAMENTO DE VENDAS E RECEITAS - MICRO SEGUROS</t>
  </si>
  <si>
    <t>COMPORTAMENTO DE VENDAS E RECEITAS - SAUDE POPULAR</t>
  </si>
  <si>
    <t>COMPORTAMENTO DE VENDAS E RECEITAS - EAD</t>
  </si>
  <si>
    <t>QUADRO RESUMO DE VENDAS E RECEITAS</t>
  </si>
  <si>
    <t>Créditos de Transporte</t>
  </si>
  <si>
    <t>Vendas</t>
  </si>
  <si>
    <t>Créditos de Celular</t>
  </si>
  <si>
    <t>Conteúdos Digitais</t>
  </si>
  <si>
    <t>Shopping</t>
  </si>
  <si>
    <t>Novos Produtos (Micro Crédito | Saúde | EAD | Outros)</t>
  </si>
  <si>
    <t>Micro Crédito</t>
  </si>
  <si>
    <t>Micro Seguros</t>
  </si>
  <si>
    <t>Saude Popular</t>
  </si>
  <si>
    <t>EAD</t>
  </si>
  <si>
    <t>Venda Totais</t>
  </si>
  <si>
    <t>Receitas Totais de Produtos</t>
  </si>
  <si>
    <t xml:space="preserve">RECEITAS DE SERVIÇOS </t>
  </si>
  <si>
    <t>Entregas</t>
  </si>
  <si>
    <t>Receita Média</t>
  </si>
  <si>
    <t>Revalidações</t>
  </si>
  <si>
    <t>Quantidade</t>
  </si>
  <si>
    <t>1a. E 2a via de cartões</t>
  </si>
  <si>
    <t>Receitas Totais de Servivos</t>
  </si>
  <si>
    <t>Receita Total B2C</t>
  </si>
  <si>
    <t>VIP MX</t>
  </si>
  <si>
    <t>VIDAL</t>
  </si>
  <si>
    <t>V3</t>
  </si>
  <si>
    <t xml:space="preserve">VENDAS LOJA FISICA </t>
  </si>
  <si>
    <t>VENDAS MERCADO LIVRE  - VIP MX</t>
  </si>
  <si>
    <t xml:space="preserve">VENDAS MERCADO LIVRE - VIDAL </t>
  </si>
  <si>
    <t>VENDAS MERCADO LIVRE - V3</t>
  </si>
  <si>
    <t>VENDAS AMAZON - VIP MX</t>
  </si>
  <si>
    <t>VENDAS SHOPEE  - VIP MX</t>
  </si>
  <si>
    <t xml:space="preserve">VENDAS SHOPEE - VIDAL </t>
  </si>
  <si>
    <t>RENDIMENTOS</t>
  </si>
  <si>
    <t>Consultorias e acessorias</t>
  </si>
  <si>
    <t>Despesas de materia prima</t>
  </si>
  <si>
    <t>Impostos</t>
  </si>
  <si>
    <t>Taxas plataforma</t>
  </si>
  <si>
    <t>Cancelamentos e Remmbolso</t>
  </si>
  <si>
    <t xml:space="preserve">Financiamentos </t>
  </si>
  <si>
    <t xml:space="preserve">Resultado </t>
  </si>
  <si>
    <t>MERCADO LIVRE - VIP</t>
  </si>
  <si>
    <t>AMAZON - VIP</t>
  </si>
  <si>
    <t>SHOPEE - VIP</t>
  </si>
  <si>
    <t>LOJA FISICA - VIP</t>
  </si>
  <si>
    <t>MERCADO LIVRE - VIDAL</t>
  </si>
  <si>
    <t>AMAZON - VIDAL</t>
  </si>
  <si>
    <t>SHOPEE - VIDAL</t>
  </si>
  <si>
    <t>LOJA FISICA - VIDAL</t>
  </si>
  <si>
    <t>MERCADO LIVRE - V3</t>
  </si>
  <si>
    <t>AMAZON - V3</t>
  </si>
  <si>
    <t>SHOPEE - V3</t>
  </si>
  <si>
    <t>LOJA FISICA - V3</t>
  </si>
  <si>
    <t>Mercadoria para revenda</t>
  </si>
  <si>
    <t>Softwares e licenças de uso (Bling)</t>
  </si>
  <si>
    <t>Financiamentos</t>
  </si>
  <si>
    <t>Cancelamentos e Reembolsos</t>
  </si>
  <si>
    <t>Taxa plataforma digitais</t>
  </si>
  <si>
    <t>DAS</t>
  </si>
  <si>
    <t xml:space="preserve">Empresa </t>
  </si>
  <si>
    <t>Vip</t>
  </si>
  <si>
    <t>Vidal</t>
  </si>
  <si>
    <t>RESULTADO GRUPO VIP 01-2026 A 12-2026</t>
  </si>
  <si>
    <t>Previsto</t>
  </si>
  <si>
    <t>VARIAVEL</t>
  </si>
  <si>
    <t xml:space="preserve">ORIGEM </t>
  </si>
  <si>
    <t>VALOR</t>
  </si>
  <si>
    <t xml:space="preserve">Despesas Pessoal </t>
  </si>
  <si>
    <t>Retirada (prolabore)</t>
  </si>
  <si>
    <t xml:space="preserve">Consultoria Financeira </t>
  </si>
  <si>
    <t>Consultoria Contabil</t>
  </si>
  <si>
    <t>Aluguel + Condominio</t>
  </si>
  <si>
    <t>Luz</t>
  </si>
  <si>
    <t>Agua</t>
  </si>
  <si>
    <t xml:space="preserve">Cartão de credito </t>
  </si>
  <si>
    <t>Bling</t>
  </si>
  <si>
    <t>Materia prima</t>
  </si>
  <si>
    <t>Despesas de venda</t>
  </si>
  <si>
    <t xml:space="preserve">Impostos </t>
  </si>
  <si>
    <t>Taxas das plataformas</t>
  </si>
  <si>
    <t>Cancelamentos e reembolsos</t>
  </si>
  <si>
    <t>Financiamento Pronamp</t>
  </si>
  <si>
    <t>DIA VENCIMENTO</t>
  </si>
  <si>
    <t>FIXO</t>
  </si>
  <si>
    <t>Dia 30</t>
  </si>
  <si>
    <t>Dia 10</t>
  </si>
  <si>
    <t>Dia 20</t>
  </si>
  <si>
    <t>Dia 15</t>
  </si>
  <si>
    <t>Dia 5</t>
  </si>
  <si>
    <t>DATA</t>
  </si>
  <si>
    <t>Entradas Realizadas</t>
  </si>
  <si>
    <t>Resgate apl</t>
  </si>
  <si>
    <t>Despesas realizadas</t>
  </si>
  <si>
    <t>Aplicação</t>
  </si>
  <si>
    <t>Saldo do dia</t>
  </si>
  <si>
    <t/>
  </si>
  <si>
    <t>JANEIRO-26</t>
  </si>
  <si>
    <t>Fevereiro-26</t>
  </si>
  <si>
    <t>Março-26</t>
  </si>
  <si>
    <t>Abril-26</t>
  </si>
  <si>
    <t>Maio-26</t>
  </si>
  <si>
    <t>Junho-26</t>
  </si>
  <si>
    <t>Julho-26</t>
  </si>
  <si>
    <t>Agosto-26</t>
  </si>
  <si>
    <t>Setembro-26</t>
  </si>
  <si>
    <t>Outubro-26</t>
  </si>
  <si>
    <t>Novembro-26</t>
  </si>
  <si>
    <t>Dezembro-26</t>
  </si>
  <si>
    <t>Aporte Propietario</t>
  </si>
  <si>
    <t>Shareholder Remuneration</t>
  </si>
  <si>
    <t>Diariamente</t>
  </si>
  <si>
    <t>Fornecedores</t>
  </si>
  <si>
    <t xml:space="preserve">Nome </t>
  </si>
  <si>
    <t xml:space="preserve">Contato </t>
  </si>
  <si>
    <t>Telefone</t>
  </si>
  <si>
    <t>Email</t>
  </si>
  <si>
    <t>DEZEMBRO-2025</t>
  </si>
  <si>
    <t>AÇÕES IMPORTANTES</t>
  </si>
  <si>
    <t xml:space="preserve">Ação </t>
  </si>
  <si>
    <t xml:space="preserve">Status </t>
  </si>
  <si>
    <t xml:space="preserve">Definição </t>
  </si>
  <si>
    <t xml:space="preserve">Definição da contabilidade </t>
  </si>
  <si>
    <t>Abertura de Conta VIP</t>
  </si>
  <si>
    <t xml:space="preserve">Abertura de Conta Vidal </t>
  </si>
  <si>
    <t xml:space="preserve">Gasto Previsto </t>
  </si>
  <si>
    <t>Gasto Realizado</t>
  </si>
  <si>
    <t>Definição de empresa de alavancagem de vendas ML</t>
  </si>
  <si>
    <t xml:space="preserve">Preparação novo colaborador </t>
  </si>
  <si>
    <t>Criação e Validação do Relatorio de vendas</t>
  </si>
  <si>
    <t>Fechamento Caixa LF</t>
  </si>
  <si>
    <t>Alteração ponto Fisico de Vip para Vidal</t>
  </si>
  <si>
    <t>Não Iniciado</t>
  </si>
  <si>
    <t>Definição de instituição bancaria para o Grupo</t>
  </si>
  <si>
    <t>Criação perfil vaga de Auxiliar administrativo</t>
  </si>
  <si>
    <t xml:space="preserve">Processo Seletivo Novo Colaborador </t>
  </si>
  <si>
    <t xml:space="preserve">Contratação </t>
  </si>
  <si>
    <t>Validação com o Bling processo de estoque</t>
  </si>
  <si>
    <t>Inventario Estoque</t>
  </si>
  <si>
    <t>Separação Estoque VIP e VIDAL</t>
  </si>
  <si>
    <t xml:space="preserve">Definição de Metas - Equipe </t>
  </si>
  <si>
    <t>Implementar Registro de Ponto</t>
  </si>
  <si>
    <t xml:space="preserve">Finalizado </t>
  </si>
  <si>
    <t>Manter a contabilidade atual até o fim de Junho.</t>
  </si>
  <si>
    <t>Banco Brasil</t>
  </si>
  <si>
    <t>Banco Sicoob</t>
  </si>
  <si>
    <t>Brasil e Sicoob</t>
  </si>
  <si>
    <t>Vidal para Dolomita5</t>
  </si>
  <si>
    <t>Valor</t>
  </si>
  <si>
    <t xml:space="preserve">Total: </t>
  </si>
  <si>
    <t>DIVIDA FORNECEDORES</t>
  </si>
  <si>
    <t>VIP</t>
  </si>
  <si>
    <t xml:space="preserve">CONTAS PAGAS </t>
  </si>
  <si>
    <t>CONTAS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</si>
</sst>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€]* #,##0.00_);_([$€]* \(#,##0.00\);_([$€]* \-??_);_(@_)"/>
    <numFmt numFmtId="165" formatCode="_(&quot;R$ &quot;* #,##0.00_);_(&quot;R$ &quot;* \(#,##0.00\);_(&quot;R$ &quot;* \-??_);_(@_)"/>
    <numFmt numFmtId="166" formatCode="_(* #,##0.00_);_(* \(#,##0.00\);_(* \-??_);_(@_)"/>
    <numFmt numFmtId="167" formatCode="_(* #,##0_);_(* \(#,##0\);_(* \-??_);_(@_)"/>
    <numFmt numFmtId="168" formatCode="0.0%"/>
    <numFmt numFmtId="169" formatCode="#,##0_ ;\-#,##0\ "/>
    <numFmt numFmtId="170" formatCode="#,##0_ ;[Red]\-#,##0\ "/>
    <numFmt numFmtId="171" formatCode="&quot;R$&quot;\ #,##0"/>
    <numFmt numFmtId="172" formatCode="&quot;R$&quot;\ #,##0.00"/>
    <numFmt numFmtId="173" formatCode="_-* #,##0_-;\-* #,##0_-;_-* &quot;-&quot;??_-;_-@_-"/>
    <numFmt numFmtId="174" formatCode="0.000%"/>
    <numFmt numFmtId="175" formatCode="[$-416]mmm/yy"/>
    <numFmt numFmtId="176" formatCode="_-&quot;R$&quot;\ * #,##0_-;\-&quot;R$&quot;\ * #,##0_-;_-&quot;R$&quot;\ * &quot;-&quot;??_-;_-@_-"/>
    <numFmt numFmtId="177" formatCode="_-* #,##0.00_-;\-* #,##0.00_-;_-* \-??_-;_-@_-"/>
    <numFmt numFmtId="178" formatCode="d/mmm"/>
    <numFmt numFmtId="179" formatCode="#,##0.00_ ;[Red]\-#,##0.00\ "/>
    <numFmt numFmtId="180" formatCode="[$-F800]dddd\,\ mmmm\ dd\,\ yyyy"/>
  </numFmts>
  <fonts count="7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9"/>
      <name val="Arial"/>
      <family val="2"/>
      <charset val="1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indexed="12"/>
      <name val="Calibri"/>
      <family val="2"/>
      <scheme val="minor"/>
    </font>
    <font>
      <b/>
      <sz val="9"/>
      <color indexed="30"/>
      <name val="Calibri"/>
      <family val="2"/>
      <scheme val="minor"/>
    </font>
    <font>
      <sz val="9"/>
      <color indexed="12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10"/>
      <name val="Calibri"/>
      <family val="2"/>
      <scheme val="minor"/>
    </font>
    <font>
      <b/>
      <sz val="9"/>
      <color indexed="1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rgb="FF00B05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8"/>
      <name val="Arial"/>
      <family val="2"/>
    </font>
    <font>
      <b/>
      <sz val="9"/>
      <color rgb="FF00206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481C7E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Calibri"/>
      <family val="2"/>
    </font>
    <font>
      <sz val="28"/>
      <color theme="0"/>
      <name val="Calibri"/>
      <family val="2"/>
      <scheme val="minor"/>
    </font>
    <font>
      <b/>
      <sz val="11"/>
      <name val="Arial"/>
      <family val="2"/>
    </font>
    <font>
      <b/>
      <i/>
      <sz val="10"/>
      <color theme="0"/>
      <name val="Arial"/>
      <family val="2"/>
    </font>
    <font>
      <b/>
      <i/>
      <sz val="10"/>
      <name val="Arial"/>
      <family val="2"/>
    </font>
    <font>
      <sz val="2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70C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70C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rgb="FF0070C0"/>
      <name val="Calibri"/>
      <family val="2"/>
    </font>
    <font>
      <b/>
      <sz val="11"/>
      <color theme="6" tint="-0.249977111117893"/>
      <name val="Calibri"/>
      <family val="2"/>
      <charset val="1"/>
    </font>
    <font>
      <b/>
      <sz val="10"/>
      <color theme="0"/>
      <name val="Arial"/>
      <family val="2"/>
    </font>
    <font>
      <u/>
      <sz val="10"/>
      <color theme="10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50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42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51"/>
        <bgColor indexed="52"/>
      </patternFill>
    </fill>
    <fill>
      <patternFill patternType="solid">
        <fgColor indexed="46"/>
        <bgColor indexed="24"/>
      </patternFill>
    </fill>
    <fill>
      <patternFill patternType="solid">
        <fgColor indexed="29"/>
        <bgColor indexed="45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C99FF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24"/>
      </patternFill>
    </fill>
    <fill>
      <patternFill patternType="solid">
        <fgColor rgb="FFCC99FF"/>
        <bgColor indexed="64"/>
      </patternFill>
    </fill>
    <fill>
      <patternFill patternType="solid">
        <fgColor rgb="FFCC99FF"/>
        <bgColor indexed="26"/>
      </patternFill>
    </fill>
    <fill>
      <patternFill patternType="solid">
        <fgColor rgb="FFFFC000"/>
        <bgColor indexed="26"/>
      </patternFill>
    </fill>
    <fill>
      <patternFill patternType="solid">
        <fgColor rgb="FFFFFF99"/>
        <bgColor indexed="26"/>
      </patternFill>
    </fill>
    <fill>
      <patternFill patternType="solid">
        <fgColor theme="8" tint="0.39997558519241921"/>
        <bgColor indexed="26"/>
      </patternFill>
    </fill>
    <fill>
      <patternFill patternType="solid">
        <fgColor rgb="FFFFCC00"/>
        <bgColor indexed="26"/>
      </patternFill>
    </fill>
    <fill>
      <patternFill patternType="solid">
        <fgColor rgb="FFFF8080"/>
        <bgColor indexed="45"/>
      </patternFill>
    </fill>
    <fill>
      <patternFill patternType="solid">
        <fgColor rgb="FF063E9A"/>
        <bgColor indexed="64"/>
      </patternFill>
    </fill>
    <fill>
      <patternFill patternType="solid">
        <fgColor rgb="FFCC99FF"/>
        <bgColor indexed="52"/>
      </patternFill>
    </fill>
    <fill>
      <patternFill patternType="solid">
        <fgColor rgb="FFE4DFEC"/>
        <bgColor indexed="24"/>
      </patternFill>
    </fill>
    <fill>
      <patternFill patternType="solid">
        <fgColor rgb="FFE4DFEC"/>
        <bgColor indexed="64"/>
      </patternFill>
    </fill>
    <fill>
      <patternFill patternType="solid">
        <fgColor rgb="FFE4DFEC"/>
        <bgColor indexed="26"/>
      </patternFill>
    </fill>
    <fill>
      <patternFill patternType="solid">
        <fgColor rgb="FFFFFF66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rgb="FFDBDBDB"/>
      </patternFill>
    </fill>
    <fill>
      <patternFill patternType="solid">
        <fgColor rgb="FF481C7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DDDDDD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double">
        <color rgb="FFFF0000"/>
      </left>
      <right style="double">
        <color rgb="FFFF0000"/>
      </right>
      <top style="medium">
        <color indexed="64"/>
      </top>
      <bottom style="medium">
        <color indexed="64"/>
      </bottom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thin">
        <color indexed="8"/>
      </left>
      <right/>
      <top style="double">
        <color rgb="FFFF0000"/>
      </top>
      <bottom/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 style="double">
        <color rgb="FFFF0000"/>
      </left>
      <right/>
      <top style="thin">
        <color indexed="64"/>
      </top>
      <bottom style="double">
        <color rgb="FFFF0000"/>
      </bottom>
      <diagonal/>
    </border>
    <border>
      <left style="double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FF0000"/>
      </right>
      <top style="hair">
        <color auto="1"/>
      </top>
      <bottom style="hair">
        <color auto="1"/>
      </bottom>
      <diagonal/>
    </border>
    <border>
      <left style="double">
        <color rgb="FFFF0000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rgb="FFFF0000"/>
      </right>
      <top style="double">
        <color rgb="FFFF0000"/>
      </top>
      <bottom style="thin">
        <color indexed="64"/>
      </bottom>
      <diagonal/>
    </border>
    <border>
      <left style="double">
        <color rgb="FFFF0000"/>
      </left>
      <right/>
      <top style="double">
        <color rgb="FFFF0000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rgb="FFFF0000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FF0000"/>
      </left>
      <right style="double">
        <color rgb="FFFF000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double">
        <color rgb="FFFF0000"/>
      </left>
      <right style="double">
        <color rgb="FFFF0000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double">
        <color rgb="FFFF0000"/>
      </right>
      <top style="medium">
        <color indexed="8"/>
      </top>
      <bottom style="medium">
        <color indexed="8"/>
      </bottom>
      <diagonal/>
    </border>
    <border>
      <left/>
      <right style="double">
        <color rgb="FFFF0000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rgb="FFFF0000"/>
      </right>
      <top style="thin">
        <color rgb="FFFF0000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rgb="FFFF0000"/>
      </left>
      <right style="double">
        <color rgb="FFFF000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rgb="FFFF0000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5">
    <xf numFmtId="0" fontId="0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0" fontId="4" fillId="0" borderId="0"/>
    <xf numFmtId="0" fontId="4" fillId="0" borderId="0"/>
    <xf numFmtId="0" fontId="5" fillId="0" borderId="0"/>
    <xf numFmtId="0" fontId="6" fillId="0" borderId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0" fontId="6" fillId="0" borderId="0"/>
    <xf numFmtId="166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1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2" fillId="0" borderId="0" applyNumberFormat="0" applyFill="0" applyBorder="0" applyAlignment="0" applyProtection="0"/>
  </cellStyleXfs>
  <cellXfs count="533">
    <xf numFmtId="0" fontId="0" fillId="0" borderId="0" xfId="0"/>
    <xf numFmtId="0" fontId="15" fillId="0" borderId="0" xfId="0" applyFont="1"/>
    <xf numFmtId="167" fontId="15" fillId="0" borderId="0" xfId="0" applyNumberFormat="1" applyFont="1"/>
    <xf numFmtId="0" fontId="16" fillId="0" borderId="0" xfId="0" applyFont="1"/>
    <xf numFmtId="167" fontId="15" fillId="0" borderId="0" xfId="13" applyNumberFormat="1" applyFont="1" applyFill="1" applyBorder="1" applyAlignment="1" applyProtection="1"/>
    <xf numFmtId="0" fontId="17" fillId="0" borderId="4" xfId="0" applyFont="1" applyBorder="1" applyAlignment="1" applyProtection="1">
      <alignment horizontal="center" vertical="center" wrapText="1"/>
      <protection locked="0"/>
    </xf>
    <xf numFmtId="0" fontId="14" fillId="0" borderId="0" xfId="0" applyFont="1"/>
    <xf numFmtId="0" fontId="22" fillId="0" borderId="0" xfId="0" applyFont="1"/>
    <xf numFmtId="49" fontId="15" fillId="0" borderId="5" xfId="0" applyNumberFormat="1" applyFont="1" applyBorder="1" applyAlignment="1">
      <alignment horizontal="left"/>
    </xf>
    <xf numFmtId="0" fontId="15" fillId="0" borderId="4" xfId="0" applyFont="1" applyBorder="1"/>
    <xf numFmtId="167" fontId="15" fillId="0" borderId="4" xfId="13" applyNumberFormat="1" applyFont="1" applyFill="1" applyBorder="1" applyAlignment="1" applyProtection="1"/>
    <xf numFmtId="167" fontId="15" fillId="4" borderId="4" xfId="0" applyNumberFormat="1" applyFont="1" applyFill="1" applyBorder="1"/>
    <xf numFmtId="0" fontId="15" fillId="0" borderId="0" xfId="0" applyFont="1" applyAlignment="1">
      <alignment horizontal="center"/>
    </xf>
    <xf numFmtId="38" fontId="15" fillId="0" borderId="0" xfId="0" applyNumberFormat="1" applyFont="1"/>
    <xf numFmtId="38" fontId="15" fillId="0" borderId="0" xfId="13" applyNumberFormat="1" applyFont="1" applyFill="1" applyBorder="1" applyAlignment="1" applyProtection="1"/>
    <xf numFmtId="167" fontId="15" fillId="19" borderId="4" xfId="13" applyNumberFormat="1" applyFont="1" applyFill="1" applyBorder="1" applyAlignment="1" applyProtection="1"/>
    <xf numFmtId="166" fontId="15" fillId="0" borderId="0" xfId="13" applyFont="1"/>
    <xf numFmtId="166" fontId="15" fillId="0" borderId="0" xfId="13" applyFont="1" applyFill="1"/>
    <xf numFmtId="166" fontId="14" fillId="0" borderId="0" xfId="13" applyFont="1"/>
    <xf numFmtId="167" fontId="14" fillId="0" borderId="0" xfId="0" applyNumberFormat="1" applyFont="1"/>
    <xf numFmtId="0" fontId="8" fillId="0" borderId="0" xfId="0" applyFont="1"/>
    <xf numFmtId="167" fontId="24" fillId="0" borderId="0" xfId="13" applyNumberFormat="1" applyFont="1" applyFill="1" applyBorder="1" applyAlignment="1" applyProtection="1"/>
    <xf numFmtId="170" fontId="14" fillId="0" borderId="0" xfId="0" applyNumberFormat="1" applyFont="1"/>
    <xf numFmtId="170" fontId="14" fillId="28" borderId="10" xfId="13" applyNumberFormat="1" applyFont="1" applyFill="1" applyBorder="1" applyAlignment="1" applyProtection="1"/>
    <xf numFmtId="0" fontId="14" fillId="28" borderId="11" xfId="0" applyFont="1" applyFill="1" applyBorder="1"/>
    <xf numFmtId="170" fontId="14" fillId="28" borderId="11" xfId="13" applyNumberFormat="1" applyFont="1" applyFill="1" applyBorder="1" applyAlignment="1" applyProtection="1"/>
    <xf numFmtId="167" fontId="15" fillId="27" borderId="9" xfId="13" applyNumberFormat="1" applyFont="1" applyFill="1" applyBorder="1" applyAlignment="1" applyProtection="1"/>
    <xf numFmtId="170" fontId="14" fillId="28" borderId="12" xfId="13" applyNumberFormat="1" applyFont="1" applyFill="1" applyBorder="1" applyAlignment="1" applyProtection="1">
      <alignment horizontal="center" vertical="center"/>
    </xf>
    <xf numFmtId="0" fontId="15" fillId="0" borderId="7" xfId="0" applyFont="1" applyBorder="1"/>
    <xf numFmtId="0" fontId="17" fillId="27" borderId="8" xfId="13" applyNumberFormat="1" applyFont="1" applyFill="1" applyBorder="1" applyAlignment="1" applyProtection="1">
      <alignment horizontal="center" vertical="center"/>
    </xf>
    <xf numFmtId="167" fontId="24" fillId="0" borderId="0" xfId="0" applyNumberFormat="1" applyFont="1"/>
    <xf numFmtId="169" fontId="9" fillId="0" borderId="0" xfId="17" applyNumberFormat="1" applyFont="1"/>
    <xf numFmtId="0" fontId="12" fillId="0" borderId="1" xfId="17" applyFont="1" applyBorder="1" applyAlignment="1">
      <alignment horizontal="left" indent="1"/>
    </xf>
    <xf numFmtId="168" fontId="9" fillId="0" borderId="0" xfId="17" applyNumberFormat="1" applyFont="1"/>
    <xf numFmtId="9" fontId="15" fillId="0" borderId="0" xfId="19" applyFont="1"/>
    <xf numFmtId="10" fontId="15" fillId="0" borderId="0" xfId="0" applyNumberFormat="1" applyFont="1"/>
    <xf numFmtId="0" fontId="31" fillId="0" borderId="0" xfId="0" applyFont="1"/>
    <xf numFmtId="0" fontId="29" fillId="23" borderId="0" xfId="0" applyFont="1" applyFill="1"/>
    <xf numFmtId="17" fontId="15" fillId="0" borderId="0" xfId="0" applyNumberFormat="1" applyFont="1"/>
    <xf numFmtId="167" fontId="15" fillId="0" borderId="0" xfId="13" applyNumberFormat="1" applyFont="1"/>
    <xf numFmtId="167" fontId="29" fillId="23" borderId="0" xfId="0" applyNumberFormat="1" applyFont="1" applyFill="1"/>
    <xf numFmtId="17" fontId="15" fillId="0" borderId="0" xfId="0" applyNumberFormat="1" applyFont="1" applyAlignment="1">
      <alignment horizontal="center"/>
    </xf>
    <xf numFmtId="0" fontId="29" fillId="23" borderId="0" xfId="0" applyFont="1" applyFill="1" applyAlignment="1">
      <alignment horizontal="center"/>
    </xf>
    <xf numFmtId="10" fontId="15" fillId="0" borderId="0" xfId="19" applyNumberFormat="1" applyFont="1"/>
    <xf numFmtId="10" fontId="15" fillId="0" borderId="0" xfId="19" applyNumberFormat="1" applyFont="1" applyAlignment="1">
      <alignment horizontal="center"/>
    </xf>
    <xf numFmtId="10" fontId="29" fillId="23" borderId="0" xfId="19" applyNumberFormat="1" applyFont="1" applyFill="1" applyAlignment="1">
      <alignment horizontal="center"/>
    </xf>
    <xf numFmtId="0" fontId="32" fillId="0" borderId="0" xfId="0" applyFont="1"/>
    <xf numFmtId="0" fontId="29" fillId="30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quotePrefix="1" applyFont="1"/>
    <xf numFmtId="17" fontId="14" fillId="0" borderId="0" xfId="0" applyNumberFormat="1" applyFont="1" applyAlignment="1">
      <alignment horizontal="center"/>
    </xf>
    <xf numFmtId="171" fontId="15" fillId="0" borderId="0" xfId="13" applyNumberFormat="1" applyFont="1"/>
    <xf numFmtId="171" fontId="29" fillId="23" borderId="0" xfId="0" applyNumberFormat="1" applyFont="1" applyFill="1"/>
    <xf numFmtId="172" fontId="15" fillId="0" borderId="0" xfId="13" applyNumberFormat="1" applyFont="1"/>
    <xf numFmtId="172" fontId="15" fillId="0" borderId="0" xfId="13" applyNumberFormat="1" applyFont="1" applyAlignment="1">
      <alignment horizontal="center"/>
    </xf>
    <xf numFmtId="172" fontId="29" fillId="23" borderId="0" xfId="13" applyNumberFormat="1" applyFont="1" applyFill="1"/>
    <xf numFmtId="172" fontId="29" fillId="23" borderId="0" xfId="13" applyNumberFormat="1" applyFont="1" applyFill="1" applyAlignment="1">
      <alignment horizontal="center"/>
    </xf>
    <xf numFmtId="171" fontId="15" fillId="0" borderId="0" xfId="0" applyNumberFormat="1" applyFont="1"/>
    <xf numFmtId="172" fontId="15" fillId="0" borderId="0" xfId="0" applyNumberFormat="1" applyFont="1"/>
    <xf numFmtId="0" fontId="34" fillId="0" borderId="0" xfId="0" applyFont="1"/>
    <xf numFmtId="0" fontId="15" fillId="0" borderId="0" xfId="0" applyFont="1" applyAlignment="1">
      <alignment horizontal="left" indent="1"/>
    </xf>
    <xf numFmtId="0" fontId="35" fillId="0" borderId="0" xfId="0" applyFont="1"/>
    <xf numFmtId="0" fontId="14" fillId="0" borderId="0" xfId="0" applyFont="1" applyAlignment="1">
      <alignment horizontal="left" indent="1"/>
    </xf>
    <xf numFmtId="0" fontId="15" fillId="0" borderId="0" xfId="0" applyFont="1" applyAlignment="1">
      <alignment horizontal="left" indent="2"/>
    </xf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0" fontId="15" fillId="0" borderId="0" xfId="19" applyNumberFormat="1" applyFont="1" applyFill="1"/>
    <xf numFmtId="10" fontId="29" fillId="0" borderId="0" xfId="19" applyNumberFormat="1" applyFont="1" applyFill="1"/>
    <xf numFmtId="0" fontId="30" fillId="0" borderId="0" xfId="0" applyFont="1" applyAlignment="1">
      <alignment horizontal="center" vertical="center"/>
    </xf>
    <xf numFmtId="0" fontId="15" fillId="0" borderId="16" xfId="0" applyFont="1" applyBorder="1"/>
    <xf numFmtId="0" fontId="37" fillId="0" borderId="0" xfId="0" applyFont="1" applyAlignment="1">
      <alignment vertical="center"/>
    </xf>
    <xf numFmtId="167" fontId="29" fillId="30" borderId="0" xfId="0" applyNumberFormat="1" applyFont="1" applyFill="1" applyAlignment="1">
      <alignment horizontal="center"/>
    </xf>
    <xf numFmtId="171" fontId="29" fillId="30" borderId="0" xfId="0" applyNumberFormat="1" applyFont="1" applyFill="1" applyAlignment="1">
      <alignment horizontal="center"/>
    </xf>
    <xf numFmtId="172" fontId="29" fillId="30" borderId="0" xfId="0" applyNumberFormat="1" applyFont="1" applyFill="1" applyAlignment="1">
      <alignment horizontal="center"/>
    </xf>
    <xf numFmtId="10" fontId="29" fillId="30" borderId="0" xfId="19" applyNumberFormat="1" applyFont="1" applyFill="1" applyAlignment="1">
      <alignment horizontal="center"/>
    </xf>
    <xf numFmtId="171" fontId="29" fillId="30" borderId="0" xfId="13" applyNumberFormat="1" applyFont="1" applyFill="1" applyAlignment="1">
      <alignment horizontal="center"/>
    </xf>
    <xf numFmtId="167" fontId="14" fillId="0" borderId="0" xfId="13" applyNumberFormat="1" applyFont="1"/>
    <xf numFmtId="0" fontId="14" fillId="0" borderId="0" xfId="17" applyFont="1"/>
    <xf numFmtId="167" fontId="14" fillId="0" borderId="0" xfId="17" applyNumberFormat="1" applyFont="1"/>
    <xf numFmtId="0" fontId="3" fillId="0" borderId="0" xfId="21"/>
    <xf numFmtId="173" fontId="43" fillId="33" borderId="17" xfId="21" applyNumberFormat="1" applyFont="1" applyFill="1" applyBorder="1" applyAlignment="1">
      <alignment horizontal="left" indent="1"/>
    </xf>
    <xf numFmtId="173" fontId="43" fillId="33" borderId="18" xfId="21" applyNumberFormat="1" applyFont="1" applyFill="1" applyBorder="1" applyAlignment="1">
      <alignment horizontal="left" indent="1"/>
    </xf>
    <xf numFmtId="0" fontId="3" fillId="0" borderId="7" xfId="21" applyBorder="1"/>
    <xf numFmtId="0" fontId="3" fillId="0" borderId="6" xfId="21" applyBorder="1"/>
    <xf numFmtId="173" fontId="43" fillId="33" borderId="19" xfId="21" applyNumberFormat="1" applyFont="1" applyFill="1" applyBorder="1" applyAlignment="1">
      <alignment horizontal="left" indent="1"/>
    </xf>
    <xf numFmtId="173" fontId="44" fillId="33" borderId="20" xfId="22" applyNumberFormat="1" applyFont="1" applyFill="1" applyBorder="1"/>
    <xf numFmtId="173" fontId="44" fillId="33" borderId="21" xfId="22" applyNumberFormat="1" applyFont="1" applyFill="1" applyBorder="1"/>
    <xf numFmtId="0" fontId="44" fillId="33" borderId="22" xfId="21" applyFont="1" applyFill="1" applyBorder="1" applyAlignment="1">
      <alignment horizontal="left" indent="1"/>
    </xf>
    <xf numFmtId="43" fontId="45" fillId="0" borderId="0" xfId="22" applyFont="1"/>
    <xf numFmtId="173" fontId="44" fillId="0" borderId="20" xfId="22" applyNumberFormat="1" applyFont="1" applyBorder="1"/>
    <xf numFmtId="173" fontId="44" fillId="0" borderId="21" xfId="22" applyNumberFormat="1" applyFont="1" applyBorder="1"/>
    <xf numFmtId="0" fontId="44" fillId="0" borderId="22" xfId="21" applyFont="1" applyBorder="1" applyAlignment="1">
      <alignment horizontal="left" indent="1"/>
    </xf>
    <xf numFmtId="0" fontId="46" fillId="0" borderId="0" xfId="21" applyFont="1"/>
    <xf numFmtId="173" fontId="44" fillId="0" borderId="22" xfId="21" applyNumberFormat="1" applyFont="1" applyBorder="1"/>
    <xf numFmtId="173" fontId="44" fillId="33" borderId="20" xfId="21" applyNumberFormat="1" applyFont="1" applyFill="1" applyBorder="1"/>
    <xf numFmtId="173" fontId="44" fillId="33" borderId="21" xfId="21" applyNumberFormat="1" applyFont="1" applyFill="1" applyBorder="1"/>
    <xf numFmtId="173" fontId="44" fillId="0" borderId="22" xfId="22" applyNumberFormat="1" applyFont="1" applyBorder="1"/>
    <xf numFmtId="0" fontId="3" fillId="0" borderId="22" xfId="21" applyBorder="1"/>
    <xf numFmtId="0" fontId="3" fillId="0" borderId="20" xfId="21" applyBorder="1"/>
    <xf numFmtId="0" fontId="3" fillId="0" borderId="21" xfId="21" applyBorder="1"/>
    <xf numFmtId="0" fontId="46" fillId="0" borderId="22" xfId="21" applyFont="1" applyBorder="1"/>
    <xf numFmtId="17" fontId="41" fillId="10" borderId="19" xfId="21" applyNumberFormat="1" applyFont="1" applyFill="1" applyBorder="1" applyAlignment="1">
      <alignment horizontal="center"/>
    </xf>
    <xf numFmtId="0" fontId="47" fillId="0" borderId="0" xfId="21" applyFont="1"/>
    <xf numFmtId="10" fontId="43" fillId="0" borderId="0" xfId="23" applyNumberFormat="1" applyFont="1"/>
    <xf numFmtId="10" fontId="44" fillId="0" borderId="0" xfId="23" applyNumberFormat="1" applyFont="1"/>
    <xf numFmtId="10" fontId="0" fillId="0" borderId="7" xfId="23" applyNumberFormat="1" applyFont="1" applyBorder="1"/>
    <xf numFmtId="10" fontId="43" fillId="0" borderId="6" xfId="23" applyNumberFormat="1" applyFont="1" applyBorder="1"/>
    <xf numFmtId="173" fontId="43" fillId="35" borderId="19" xfId="21" applyNumberFormat="1" applyFont="1" applyFill="1" applyBorder="1" applyAlignment="1">
      <alignment horizontal="left" indent="1"/>
    </xf>
    <xf numFmtId="0" fontId="44" fillId="0" borderId="0" xfId="21" applyFont="1"/>
    <xf numFmtId="173" fontId="44" fillId="0" borderId="0" xfId="21" applyNumberFormat="1" applyFont="1"/>
    <xf numFmtId="173" fontId="43" fillId="0" borderId="1" xfId="21" applyNumberFormat="1" applyFont="1" applyBorder="1"/>
    <xf numFmtId="173" fontId="44" fillId="0" borderId="7" xfId="21" applyNumberFormat="1" applyFont="1" applyBorder="1"/>
    <xf numFmtId="173" fontId="44" fillId="0" borderId="6" xfId="21" applyNumberFormat="1" applyFont="1" applyBorder="1"/>
    <xf numFmtId="0" fontId="44" fillId="0" borderId="0" xfId="21" applyFont="1" applyAlignment="1">
      <alignment horizontal="left" indent="1"/>
    </xf>
    <xf numFmtId="173" fontId="43" fillId="0" borderId="2" xfId="21" applyNumberFormat="1" applyFont="1" applyBorder="1"/>
    <xf numFmtId="173" fontId="44" fillId="0" borderId="20" xfId="21" applyNumberFormat="1" applyFont="1" applyBorder="1"/>
    <xf numFmtId="173" fontId="44" fillId="0" borderId="21" xfId="21" applyNumberFormat="1" applyFont="1" applyBorder="1"/>
    <xf numFmtId="0" fontId="42" fillId="0" borderId="2" xfId="21" applyFont="1" applyBorder="1"/>
    <xf numFmtId="0" fontId="48" fillId="0" borderId="22" xfId="21" applyFont="1" applyBorder="1" applyAlignment="1">
      <alignment horizontal="left"/>
    </xf>
    <xf numFmtId="173" fontId="44" fillId="33" borderId="22" xfId="21" applyNumberFormat="1" applyFont="1" applyFill="1" applyBorder="1"/>
    <xf numFmtId="0" fontId="46" fillId="0" borderId="22" xfId="21" applyFont="1" applyBorder="1" applyAlignment="1">
      <alignment horizontal="left"/>
    </xf>
    <xf numFmtId="0" fontId="49" fillId="0" borderId="7" xfId="21" applyFont="1" applyBorder="1"/>
    <xf numFmtId="0" fontId="49" fillId="0" borderId="6" xfId="21" applyFont="1" applyBorder="1"/>
    <xf numFmtId="173" fontId="43" fillId="35" borderId="19" xfId="21" applyNumberFormat="1" applyFont="1" applyFill="1" applyBorder="1"/>
    <xf numFmtId="0" fontId="44" fillId="0" borderId="0" xfId="21" applyFont="1" applyAlignment="1">
      <alignment horizontal="left" indent="2"/>
    </xf>
    <xf numFmtId="10" fontId="45" fillId="0" borderId="0" xfId="21" applyNumberFormat="1" applyFont="1"/>
    <xf numFmtId="43" fontId="44" fillId="0" borderId="22" xfId="21" applyNumberFormat="1" applyFont="1" applyBorder="1"/>
    <xf numFmtId="173" fontId="43" fillId="0" borderId="23" xfId="21" applyNumberFormat="1" applyFont="1" applyBorder="1"/>
    <xf numFmtId="173" fontId="43" fillId="0" borderId="24" xfId="21" applyNumberFormat="1" applyFont="1" applyBorder="1"/>
    <xf numFmtId="43" fontId="44" fillId="0" borderId="20" xfId="21" applyNumberFormat="1" applyFont="1" applyBorder="1"/>
    <xf numFmtId="43" fontId="44" fillId="0" borderId="21" xfId="21" applyNumberFormat="1" applyFont="1" applyBorder="1"/>
    <xf numFmtId="0" fontId="44" fillId="0" borderId="22" xfId="21" applyFont="1" applyBorder="1" applyAlignment="1">
      <alignment horizontal="left" indent="2"/>
    </xf>
    <xf numFmtId="0" fontId="44" fillId="0" borderId="22" xfId="21" applyFont="1" applyBorder="1"/>
    <xf numFmtId="0" fontId="44" fillId="0" borderId="23" xfId="21" applyFont="1" applyBorder="1"/>
    <xf numFmtId="0" fontId="44" fillId="0" borderId="24" xfId="21" applyFont="1" applyBorder="1"/>
    <xf numFmtId="0" fontId="44" fillId="0" borderId="20" xfId="21" applyFont="1" applyBorder="1"/>
    <xf numFmtId="0" fontId="44" fillId="0" borderId="21" xfId="21" applyFont="1" applyBorder="1"/>
    <xf numFmtId="0" fontId="43" fillId="0" borderId="22" xfId="21" applyFont="1" applyBorder="1" applyAlignment="1">
      <alignment horizontal="left" indent="1"/>
    </xf>
    <xf numFmtId="0" fontId="44" fillId="0" borderId="22" xfId="21" applyFont="1" applyBorder="1" applyAlignment="1">
      <alignment horizontal="left" indent="3"/>
    </xf>
    <xf numFmtId="0" fontId="44" fillId="0" borderId="1" xfId="21" applyFont="1" applyBorder="1"/>
    <xf numFmtId="0" fontId="44" fillId="0" borderId="7" xfId="21" applyFont="1" applyBorder="1"/>
    <xf numFmtId="0" fontId="44" fillId="0" borderId="6" xfId="21" applyFont="1" applyBorder="1"/>
    <xf numFmtId="0" fontId="43" fillId="0" borderId="0" xfId="21" applyFont="1" applyAlignment="1">
      <alignment horizontal="left" indent="2"/>
    </xf>
    <xf numFmtId="173" fontId="43" fillId="35" borderId="19" xfId="22" applyNumberFormat="1" applyFont="1" applyFill="1" applyBorder="1"/>
    <xf numFmtId="173" fontId="44" fillId="0" borderId="0" xfId="22" applyNumberFormat="1" applyFont="1"/>
    <xf numFmtId="173" fontId="44" fillId="0" borderId="7" xfId="22" applyNumberFormat="1" applyFont="1" applyBorder="1"/>
    <xf numFmtId="173" fontId="44" fillId="0" borderId="6" xfId="22" applyNumberFormat="1" applyFont="1" applyBorder="1"/>
    <xf numFmtId="173" fontId="43" fillId="0" borderId="2" xfId="22" applyNumberFormat="1" applyFont="1" applyBorder="1"/>
    <xf numFmtId="17" fontId="42" fillId="36" borderId="25" xfId="21" applyNumberFormat="1" applyFont="1" applyFill="1" applyBorder="1" applyAlignment="1">
      <alignment horizontal="center"/>
    </xf>
    <xf numFmtId="17" fontId="42" fillId="36" borderId="26" xfId="21" applyNumberFormat="1" applyFont="1" applyFill="1" applyBorder="1" applyAlignment="1">
      <alignment horizontal="center"/>
    </xf>
    <xf numFmtId="0" fontId="50" fillId="0" borderId="7" xfId="21" applyFont="1" applyBorder="1"/>
    <xf numFmtId="0" fontId="50" fillId="0" borderId="6" xfId="21" applyFont="1" applyBorder="1"/>
    <xf numFmtId="173" fontId="43" fillId="0" borderId="27" xfId="21" applyNumberFormat="1" applyFont="1" applyBorder="1"/>
    <xf numFmtId="173" fontId="43" fillId="0" borderId="22" xfId="21" applyNumberFormat="1" applyFont="1" applyBorder="1"/>
    <xf numFmtId="0" fontId="44" fillId="0" borderId="27" xfId="21" applyFont="1" applyBorder="1"/>
    <xf numFmtId="0" fontId="44" fillId="0" borderId="2" xfId="21" applyFont="1" applyBorder="1"/>
    <xf numFmtId="174" fontId="45" fillId="0" borderId="0" xfId="21" applyNumberFormat="1" applyFont="1"/>
    <xf numFmtId="0" fontId="36" fillId="0" borderId="0" xfId="21" applyFont="1"/>
    <xf numFmtId="173" fontId="43" fillId="35" borderId="0" xfId="21" applyNumberFormat="1" applyFont="1" applyFill="1"/>
    <xf numFmtId="173" fontId="43" fillId="35" borderId="7" xfId="21" applyNumberFormat="1" applyFont="1" applyFill="1" applyBorder="1"/>
    <xf numFmtId="173" fontId="43" fillId="35" borderId="6" xfId="21" applyNumberFormat="1" applyFont="1" applyFill="1" applyBorder="1"/>
    <xf numFmtId="0" fontId="43" fillId="35" borderId="0" xfId="21" applyFont="1" applyFill="1" applyAlignment="1">
      <alignment horizontal="left" indent="1"/>
    </xf>
    <xf numFmtId="173" fontId="44" fillId="0" borderId="20" xfId="21" quotePrefix="1" applyNumberFormat="1" applyFont="1" applyBorder="1"/>
    <xf numFmtId="173" fontId="3" fillId="0" borderId="0" xfId="21" applyNumberFormat="1"/>
    <xf numFmtId="173" fontId="43" fillId="0" borderId="0" xfId="21" applyNumberFormat="1" applyFont="1"/>
    <xf numFmtId="173" fontId="43" fillId="0" borderId="7" xfId="21" applyNumberFormat="1" applyFont="1" applyBorder="1"/>
    <xf numFmtId="173" fontId="43" fillId="0" borderId="6" xfId="21" applyNumberFormat="1" applyFont="1" applyBorder="1"/>
    <xf numFmtId="0" fontId="43" fillId="0" borderId="0" xfId="21" applyFont="1" applyAlignment="1">
      <alignment horizontal="left" indent="1"/>
    </xf>
    <xf numFmtId="10" fontId="44" fillId="0" borderId="20" xfId="23" applyNumberFormat="1" applyFont="1" applyBorder="1"/>
    <xf numFmtId="174" fontId="44" fillId="0" borderId="0" xfId="21" applyNumberFormat="1" applyFont="1"/>
    <xf numFmtId="175" fontId="52" fillId="37" borderId="28" xfId="24" applyNumberFormat="1" applyFont="1" applyFill="1" applyBorder="1" applyAlignment="1">
      <alignment horizontal="center" vertical="center"/>
    </xf>
    <xf numFmtId="0" fontId="43" fillId="35" borderId="29" xfId="21" applyFont="1" applyFill="1" applyBorder="1" applyAlignment="1">
      <alignment horizontal="left" indent="1"/>
    </xf>
    <xf numFmtId="0" fontId="50" fillId="0" borderId="0" xfId="21" applyFont="1"/>
    <xf numFmtId="0" fontId="3" fillId="38" borderId="0" xfId="21" applyFill="1"/>
    <xf numFmtId="0" fontId="42" fillId="38" borderId="0" xfId="21" applyFont="1" applyFill="1"/>
    <xf numFmtId="0" fontId="15" fillId="0" borderId="31" xfId="0" applyFont="1" applyBorder="1"/>
    <xf numFmtId="167" fontId="17" fillId="0" borderId="31" xfId="13" applyNumberFormat="1" applyFont="1" applyFill="1" applyBorder="1" applyAlignment="1" applyProtection="1">
      <alignment horizontal="center" vertical="center"/>
    </xf>
    <xf numFmtId="167" fontId="17" fillId="3" borderId="31" xfId="13" applyNumberFormat="1" applyFont="1" applyFill="1" applyBorder="1" applyAlignment="1" applyProtection="1">
      <alignment horizontal="center" vertical="center"/>
    </xf>
    <xf numFmtId="0" fontId="15" fillId="4" borderId="31" xfId="0" applyFont="1" applyFill="1" applyBorder="1" applyAlignment="1">
      <alignment wrapText="1"/>
    </xf>
    <xf numFmtId="0" fontId="15" fillId="7" borderId="31" xfId="0" applyFont="1" applyFill="1" applyBorder="1"/>
    <xf numFmtId="167" fontId="15" fillId="2" borderId="31" xfId="0" applyNumberFormat="1" applyFont="1" applyFill="1" applyBorder="1"/>
    <xf numFmtId="167" fontId="17" fillId="0" borderId="33" xfId="13" applyNumberFormat="1" applyFont="1" applyFill="1" applyBorder="1" applyAlignment="1" applyProtection="1">
      <alignment horizontal="center" vertical="center"/>
    </xf>
    <xf numFmtId="167" fontId="17" fillId="0" borderId="32" xfId="13" applyNumberFormat="1" applyFont="1" applyFill="1" applyBorder="1" applyAlignment="1" applyProtection="1">
      <alignment horizontal="center" vertical="center"/>
    </xf>
    <xf numFmtId="167" fontId="17" fillId="27" borderId="30" xfId="13" applyNumberFormat="1" applyFont="1" applyFill="1" applyBorder="1" applyAlignment="1" applyProtection="1">
      <alignment horizontal="center" vertical="center"/>
    </xf>
    <xf numFmtId="167" fontId="15" fillId="0" borderId="31" xfId="13" applyNumberFormat="1" applyFont="1" applyFill="1" applyBorder="1" applyAlignment="1" applyProtection="1">
      <alignment horizontal="center" vertical="center"/>
    </xf>
    <xf numFmtId="9" fontId="44" fillId="0" borderId="0" xfId="21" applyNumberFormat="1" applyFont="1"/>
    <xf numFmtId="0" fontId="15" fillId="7" borderId="37" xfId="0" applyFont="1" applyFill="1" applyBorder="1" applyAlignment="1">
      <alignment horizontal="center"/>
    </xf>
    <xf numFmtId="0" fontId="15" fillId="7" borderId="38" xfId="0" applyFont="1" applyFill="1" applyBorder="1" applyAlignment="1">
      <alignment horizontal="center"/>
    </xf>
    <xf numFmtId="167" fontId="15" fillId="21" borderId="38" xfId="13" applyNumberFormat="1" applyFont="1" applyFill="1" applyBorder="1" applyAlignment="1" applyProtection="1">
      <alignment horizontal="center"/>
    </xf>
    <xf numFmtId="167" fontId="15" fillId="7" borderId="38" xfId="13" applyNumberFormat="1" applyFont="1" applyFill="1" applyBorder="1" applyAlignment="1" applyProtection="1">
      <alignment horizontal="center"/>
    </xf>
    <xf numFmtId="166" fontId="15" fillId="7" borderId="38" xfId="13" applyFont="1" applyFill="1" applyBorder="1" applyAlignment="1" applyProtection="1">
      <alignment horizontal="center"/>
    </xf>
    <xf numFmtId="167" fontId="15" fillId="19" borderId="38" xfId="13" applyNumberFormat="1" applyFont="1" applyFill="1" applyBorder="1" applyAlignment="1" applyProtection="1">
      <alignment horizontal="center"/>
    </xf>
    <xf numFmtId="38" fontId="15" fillId="2" borderId="37" xfId="0" applyNumberFormat="1" applyFont="1" applyFill="1" applyBorder="1"/>
    <xf numFmtId="38" fontId="15" fillId="2" borderId="38" xfId="0" applyNumberFormat="1" applyFont="1" applyFill="1" applyBorder="1"/>
    <xf numFmtId="38" fontId="15" fillId="2" borderId="38" xfId="13" applyNumberFormat="1" applyFont="1" applyFill="1" applyBorder="1" applyAlignment="1" applyProtection="1"/>
    <xf numFmtId="167" fontId="15" fillId="19" borderId="39" xfId="13" applyNumberFormat="1" applyFont="1" applyFill="1" applyBorder="1" applyAlignment="1" applyProtection="1"/>
    <xf numFmtId="0" fontId="14" fillId="24" borderId="34" xfId="0" applyFont="1" applyFill="1" applyBorder="1"/>
    <xf numFmtId="0" fontId="14" fillId="24" borderId="40" xfId="0" applyFont="1" applyFill="1" applyBorder="1"/>
    <xf numFmtId="167" fontId="14" fillId="24" borderId="36" xfId="13" applyNumberFormat="1" applyFont="1" applyFill="1" applyBorder="1" applyAlignment="1" applyProtection="1"/>
    <xf numFmtId="167" fontId="14" fillId="24" borderId="38" xfId="13" applyNumberFormat="1" applyFont="1" applyFill="1" applyBorder="1" applyAlignment="1" applyProtection="1"/>
    <xf numFmtId="167" fontId="14" fillId="24" borderId="34" xfId="13" applyNumberFormat="1" applyFont="1" applyFill="1" applyBorder="1" applyAlignment="1" applyProtection="1"/>
    <xf numFmtId="167" fontId="14" fillId="24" borderId="35" xfId="13" applyNumberFormat="1" applyFont="1" applyFill="1" applyBorder="1" applyAlignment="1" applyProtection="1"/>
    <xf numFmtId="0" fontId="14" fillId="28" borderId="41" xfId="0" applyFont="1" applyFill="1" applyBorder="1"/>
    <xf numFmtId="170" fontId="14" fillId="28" borderId="42" xfId="13" applyNumberFormat="1" applyFont="1" applyFill="1" applyBorder="1" applyAlignment="1" applyProtection="1"/>
    <xf numFmtId="0" fontId="10" fillId="0" borderId="43" xfId="17" applyFont="1" applyBorder="1" applyAlignment="1">
      <alignment horizontal="center"/>
    </xf>
    <xf numFmtId="166" fontId="14" fillId="0" borderId="0" xfId="18" applyFont="1"/>
    <xf numFmtId="173" fontId="43" fillId="0" borderId="3" xfId="22" applyNumberFormat="1" applyFont="1" applyBorder="1"/>
    <xf numFmtId="9" fontId="9" fillId="0" borderId="0" xfId="19" applyFont="1"/>
    <xf numFmtId="0" fontId="14" fillId="32" borderId="44" xfId="0" applyFont="1" applyFill="1" applyBorder="1" applyAlignment="1">
      <alignment horizontal="left" indent="1"/>
    </xf>
    <xf numFmtId="0" fontId="14" fillId="32" borderId="44" xfId="0" applyFont="1" applyFill="1" applyBorder="1"/>
    <xf numFmtId="172" fontId="14" fillId="32" borderId="44" xfId="0" applyNumberFormat="1" applyFont="1" applyFill="1" applyBorder="1"/>
    <xf numFmtId="10" fontId="14" fillId="32" borderId="44" xfId="0" applyNumberFormat="1" applyFont="1" applyFill="1" applyBorder="1"/>
    <xf numFmtId="0" fontId="14" fillId="31" borderId="44" xfId="0" applyFont="1" applyFill="1" applyBorder="1" applyAlignment="1">
      <alignment horizontal="left" indent="2"/>
    </xf>
    <xf numFmtId="0" fontId="15" fillId="31" borderId="44" xfId="0" applyFont="1" applyFill="1" applyBorder="1"/>
    <xf numFmtId="172" fontId="14" fillId="31" borderId="44" xfId="0" applyNumberFormat="1" applyFont="1" applyFill="1" applyBorder="1"/>
    <xf numFmtId="10" fontId="14" fillId="31" borderId="44" xfId="0" applyNumberFormat="1" applyFont="1" applyFill="1" applyBorder="1"/>
    <xf numFmtId="0" fontId="14" fillId="0" borderId="44" xfId="0" applyFont="1" applyBorder="1"/>
    <xf numFmtId="0" fontId="15" fillId="0" borderId="44" xfId="0" applyFont="1" applyBorder="1"/>
    <xf numFmtId="10" fontId="14" fillId="0" borderId="44" xfId="0" applyNumberFormat="1" applyFont="1" applyBorder="1"/>
    <xf numFmtId="0" fontId="15" fillId="0" borderId="50" xfId="0" applyFont="1" applyBorder="1" applyAlignment="1">
      <alignment horizontal="left" vertical="center" wrapText="1"/>
    </xf>
    <xf numFmtId="0" fontId="14" fillId="24" borderId="50" xfId="17" applyFont="1" applyFill="1" applyBorder="1"/>
    <xf numFmtId="167" fontId="14" fillId="24" borderId="52" xfId="18" applyNumberFormat="1" applyFont="1" applyFill="1" applyBorder="1" applyAlignment="1" applyProtection="1"/>
    <xf numFmtId="0" fontId="15" fillId="0" borderId="50" xfId="17" applyFont="1" applyBorder="1"/>
    <xf numFmtId="0" fontId="14" fillId="24" borderId="50" xfId="0" applyFont="1" applyFill="1" applyBorder="1"/>
    <xf numFmtId="0" fontId="17" fillId="0" borderId="46" xfId="13" applyNumberFormat="1" applyFont="1" applyFill="1" applyBorder="1" applyAlignment="1" applyProtection="1">
      <alignment horizontal="center" vertical="center"/>
    </xf>
    <xf numFmtId="0" fontId="18" fillId="29" borderId="50" xfId="0" applyFont="1" applyFill="1" applyBorder="1" applyAlignment="1">
      <alignment horizontal="left" vertical="center" wrapText="1"/>
    </xf>
    <xf numFmtId="0" fontId="18" fillId="29" borderId="55" xfId="0" applyFont="1" applyFill="1" applyBorder="1" applyAlignment="1">
      <alignment horizontal="left" vertical="center" wrapText="1"/>
    </xf>
    <xf numFmtId="167" fontId="15" fillId="29" borderId="54" xfId="13" applyNumberFormat="1" applyFont="1" applyFill="1" applyBorder="1" applyAlignment="1" applyProtection="1">
      <alignment horizontal="center" vertical="center"/>
    </xf>
    <xf numFmtId="167" fontId="15" fillId="29" borderId="53" xfId="13" applyNumberFormat="1" applyFont="1" applyFill="1" applyBorder="1" applyAlignment="1" applyProtection="1">
      <alignment horizontal="center" vertical="center"/>
    </xf>
    <xf numFmtId="166" fontId="15" fillId="29" borderId="53" xfId="13" applyFont="1" applyFill="1" applyBorder="1" applyAlignment="1" applyProtection="1">
      <alignment horizontal="center" vertical="center"/>
    </xf>
    <xf numFmtId="167" fontId="19" fillId="29" borderId="53" xfId="13" applyNumberFormat="1" applyFont="1" applyFill="1" applyBorder="1" applyAlignment="1" applyProtection="1">
      <alignment horizontal="center" vertical="center"/>
    </xf>
    <xf numFmtId="167" fontId="15" fillId="29" borderId="50" xfId="13" applyNumberFormat="1" applyFont="1" applyFill="1" applyBorder="1" applyAlignment="1" applyProtection="1">
      <alignment horizontal="center" vertical="center"/>
    </xf>
    <xf numFmtId="167" fontId="19" fillId="29" borderId="52" xfId="13" applyNumberFormat="1" applyFont="1" applyFill="1" applyBorder="1" applyAlignment="1" applyProtection="1">
      <alignment horizontal="center" vertical="center"/>
    </xf>
    <xf numFmtId="0" fontId="15" fillId="0" borderId="55" xfId="0" applyFont="1" applyBorder="1" applyAlignment="1">
      <alignment horizontal="left" vertical="center" wrapText="1"/>
    </xf>
    <xf numFmtId="167" fontId="15" fillId="0" borderId="54" xfId="13" applyNumberFormat="1" applyFont="1" applyFill="1" applyBorder="1" applyAlignment="1" applyProtection="1">
      <alignment horizontal="center" vertical="center"/>
    </xf>
    <xf numFmtId="167" fontId="15" fillId="0" borderId="46" xfId="13" applyNumberFormat="1" applyFont="1" applyFill="1" applyBorder="1" applyAlignment="1" applyProtection="1">
      <alignment horizontal="center" vertical="center"/>
    </xf>
    <xf numFmtId="167" fontId="15" fillId="26" borderId="52" xfId="13" applyNumberFormat="1" applyFont="1" applyFill="1" applyBorder="1" applyAlignment="1" applyProtection="1">
      <alignment horizontal="center" vertical="center"/>
    </xf>
    <xf numFmtId="167" fontId="15" fillId="0" borderId="54" xfId="13" applyNumberFormat="1" applyFont="1" applyFill="1" applyBorder="1" applyAlignment="1" applyProtection="1">
      <alignment horizontal="center" vertical="center" wrapText="1"/>
    </xf>
    <xf numFmtId="167" fontId="15" fillId="0" borderId="53" xfId="13" applyNumberFormat="1" applyFont="1" applyFill="1" applyBorder="1" applyAlignment="1" applyProtection="1">
      <alignment horizontal="center" vertical="center" wrapText="1"/>
    </xf>
    <xf numFmtId="167" fontId="15" fillId="0" borderId="53" xfId="13" applyNumberFormat="1" applyFont="1" applyFill="1" applyBorder="1" applyAlignment="1" applyProtection="1">
      <alignment horizontal="center" vertical="center"/>
    </xf>
    <xf numFmtId="167" fontId="15" fillId="0" borderId="56" xfId="13" applyNumberFormat="1" applyFont="1" applyFill="1" applyBorder="1" applyAlignment="1" applyProtection="1"/>
    <xf numFmtId="167" fontId="15" fillId="0" borderId="53" xfId="13" applyNumberFormat="1" applyFont="1" applyBorder="1" applyAlignment="1">
      <alignment horizontal="center" vertical="center"/>
    </xf>
    <xf numFmtId="0" fontId="17" fillId="29" borderId="50" xfId="0" applyFont="1" applyFill="1" applyBorder="1" applyAlignment="1">
      <alignment horizontal="left" vertical="center" wrapText="1"/>
    </xf>
    <xf numFmtId="0" fontId="17" fillId="29" borderId="55" xfId="0" applyFont="1" applyFill="1" applyBorder="1" applyAlignment="1">
      <alignment horizontal="left" vertical="center" wrapText="1"/>
    </xf>
    <xf numFmtId="167" fontId="17" fillId="29" borderId="54" xfId="13" applyNumberFormat="1" applyFont="1" applyFill="1" applyBorder="1" applyAlignment="1" applyProtection="1">
      <alignment horizontal="center" vertical="center" wrapText="1"/>
    </xf>
    <xf numFmtId="167" fontId="17" fillId="29" borderId="53" xfId="13" applyNumberFormat="1" applyFont="1" applyFill="1" applyBorder="1" applyAlignment="1" applyProtection="1">
      <alignment horizontal="center" vertical="center" wrapText="1"/>
    </xf>
    <xf numFmtId="167" fontId="17" fillId="29" borderId="50" xfId="13" applyNumberFormat="1" applyFont="1" applyFill="1" applyBorder="1" applyAlignment="1" applyProtection="1">
      <alignment horizontal="center" vertical="center" wrapText="1"/>
    </xf>
    <xf numFmtId="167" fontId="17" fillId="29" borderId="52" xfId="13" applyNumberFormat="1" applyFont="1" applyFill="1" applyBorder="1" applyAlignment="1" applyProtection="1">
      <alignment horizontal="center" vertical="center"/>
    </xf>
    <xf numFmtId="0" fontId="15" fillId="0" borderId="51" xfId="0" applyFont="1" applyBorder="1"/>
    <xf numFmtId="0" fontId="15" fillId="0" borderId="55" xfId="0" applyFont="1" applyBorder="1"/>
    <xf numFmtId="167" fontId="15" fillId="0" borderId="51" xfId="13" applyNumberFormat="1" applyFont="1" applyFill="1" applyBorder="1" applyAlignment="1" applyProtection="1"/>
    <xf numFmtId="9" fontId="15" fillId="0" borderId="51" xfId="19" applyFont="1" applyFill="1" applyBorder="1" applyAlignment="1" applyProtection="1"/>
    <xf numFmtId="167" fontId="15" fillId="0" borderId="52" xfId="13" applyNumberFormat="1" applyFont="1" applyFill="1" applyBorder="1" applyAlignment="1" applyProtection="1"/>
    <xf numFmtId="0" fontId="14" fillId="24" borderId="55" xfId="0" applyFont="1" applyFill="1" applyBorder="1"/>
    <xf numFmtId="167" fontId="14" fillId="24" borderId="54" xfId="13" applyNumberFormat="1" applyFont="1" applyFill="1" applyBorder="1" applyAlignment="1" applyProtection="1"/>
    <xf numFmtId="167" fontId="14" fillId="24" borderId="53" xfId="13" applyNumberFormat="1" applyFont="1" applyFill="1" applyBorder="1" applyAlignment="1" applyProtection="1"/>
    <xf numFmtId="167" fontId="14" fillId="24" borderId="50" xfId="13" applyNumberFormat="1" applyFont="1" applyFill="1" applyBorder="1" applyAlignment="1" applyProtection="1"/>
    <xf numFmtId="167" fontId="14" fillId="24" borderId="52" xfId="13" applyNumberFormat="1" applyFont="1" applyFill="1" applyBorder="1" applyAlignment="1" applyProtection="1"/>
    <xf numFmtId="0" fontId="15" fillId="0" borderId="50" xfId="0" applyFont="1" applyBorder="1"/>
    <xf numFmtId="167" fontId="15" fillId="0" borderId="53" xfId="13" applyNumberFormat="1" applyFont="1" applyFill="1" applyBorder="1" applyAlignment="1" applyProtection="1"/>
    <xf numFmtId="167" fontId="15" fillId="14" borderId="53" xfId="13" applyNumberFormat="1" applyFont="1" applyFill="1" applyBorder="1" applyAlignment="1" applyProtection="1"/>
    <xf numFmtId="167" fontId="15" fillId="14" borderId="53" xfId="16" applyNumberFormat="1" applyFont="1" applyFill="1" applyBorder="1" applyAlignment="1" applyProtection="1"/>
    <xf numFmtId="167" fontId="15" fillId="0" borderId="54" xfId="13" applyNumberFormat="1" applyFont="1" applyFill="1" applyBorder="1" applyAlignment="1" applyProtection="1"/>
    <xf numFmtId="167" fontId="15" fillId="14" borderId="54" xfId="13" applyNumberFormat="1" applyFont="1" applyFill="1" applyBorder="1" applyAlignment="1" applyProtection="1"/>
    <xf numFmtId="167" fontId="15" fillId="14" borderId="54" xfId="16" applyNumberFormat="1" applyFont="1" applyFill="1" applyBorder="1" applyAlignment="1" applyProtection="1"/>
    <xf numFmtId="0" fontId="15" fillId="25" borderId="50" xfId="0" applyFont="1" applyFill="1" applyBorder="1"/>
    <xf numFmtId="0" fontId="14" fillId="25" borderId="55" xfId="0" applyFont="1" applyFill="1" applyBorder="1"/>
    <xf numFmtId="167" fontId="15" fillId="25" borderId="54" xfId="13" applyNumberFormat="1" applyFont="1" applyFill="1" applyBorder="1" applyAlignment="1" applyProtection="1"/>
    <xf numFmtId="167" fontId="15" fillId="25" borderId="53" xfId="13" applyNumberFormat="1" applyFont="1" applyFill="1" applyBorder="1" applyAlignment="1" applyProtection="1"/>
    <xf numFmtId="167" fontId="15" fillId="25" borderId="50" xfId="13" applyNumberFormat="1" applyFont="1" applyFill="1" applyBorder="1" applyAlignment="1" applyProtection="1"/>
    <xf numFmtId="167" fontId="15" fillId="26" borderId="52" xfId="13" applyNumberFormat="1" applyFont="1" applyFill="1" applyBorder="1" applyAlignment="1" applyProtection="1"/>
    <xf numFmtId="167" fontId="28" fillId="0" borderId="54" xfId="13" applyNumberFormat="1" applyFont="1" applyFill="1" applyBorder="1" applyAlignment="1" applyProtection="1">
      <alignment horizontal="center" vertical="center"/>
    </xf>
    <xf numFmtId="167" fontId="15" fillId="0" borderId="54" xfId="16" applyNumberFormat="1" applyFont="1" applyFill="1" applyBorder="1" applyAlignment="1" applyProtection="1"/>
    <xf numFmtId="0" fontId="14" fillId="24" borderId="55" xfId="17" applyFont="1" applyFill="1" applyBorder="1"/>
    <xf numFmtId="167" fontId="14" fillId="24" borderId="54" xfId="18" applyNumberFormat="1" applyFont="1" applyFill="1" applyBorder="1" applyAlignment="1" applyProtection="1"/>
    <xf numFmtId="167" fontId="15" fillId="0" borderId="50" xfId="13" applyNumberFormat="1" applyFont="1" applyFill="1" applyBorder="1" applyAlignment="1" applyProtection="1"/>
    <xf numFmtId="9" fontId="15" fillId="14" borderId="53" xfId="19" applyFont="1" applyFill="1" applyBorder="1" applyAlignment="1" applyProtection="1"/>
    <xf numFmtId="38" fontId="14" fillId="0" borderId="49" xfId="0" applyNumberFormat="1" applyFont="1" applyBorder="1" applyAlignment="1">
      <alignment horizontal="left" vertical="center" wrapText="1"/>
    </xf>
    <xf numFmtId="38" fontId="15" fillId="0" borderId="49" xfId="13" applyNumberFormat="1" applyFont="1" applyFill="1" applyBorder="1" applyAlignment="1" applyProtection="1">
      <alignment horizontal="center" vertical="center"/>
    </xf>
    <xf numFmtId="38" fontId="19" fillId="0" borderId="49" xfId="13" applyNumberFormat="1" applyFont="1" applyFill="1" applyBorder="1" applyAlignment="1" applyProtection="1">
      <alignment horizontal="center" vertical="center"/>
    </xf>
    <xf numFmtId="0" fontId="15" fillId="0" borderId="47" xfId="0" applyFont="1" applyBorder="1"/>
    <xf numFmtId="0" fontId="17" fillId="0" borderId="47" xfId="0" applyFont="1" applyBorder="1" applyAlignment="1" applyProtection="1">
      <alignment horizontal="center" vertical="center" wrapText="1"/>
      <protection locked="0"/>
    </xf>
    <xf numFmtId="1" fontId="17" fillId="0" borderId="47" xfId="13" applyNumberFormat="1" applyFont="1" applyFill="1" applyBorder="1" applyAlignment="1" applyProtection="1">
      <alignment horizontal="center" vertical="center"/>
    </xf>
    <xf numFmtId="0" fontId="17" fillId="3" borderId="47" xfId="13" applyNumberFormat="1" applyFont="1" applyFill="1" applyBorder="1" applyAlignment="1" applyProtection="1">
      <alignment horizontal="center" vertical="center"/>
    </xf>
    <xf numFmtId="0" fontId="15" fillId="0" borderId="53" xfId="0" applyFont="1" applyBorder="1"/>
    <xf numFmtId="0" fontId="18" fillId="0" borderId="53" xfId="0" applyFont="1" applyBorder="1" applyAlignment="1">
      <alignment horizontal="left" vertical="center" wrapText="1"/>
    </xf>
    <xf numFmtId="167" fontId="15" fillId="19" borderId="53" xfId="13" applyNumberFormat="1" applyFont="1" applyFill="1" applyBorder="1" applyAlignment="1" applyProtection="1">
      <alignment horizontal="center" vertical="center" wrapText="1"/>
    </xf>
    <xf numFmtId="167" fontId="19" fillId="0" borderId="53" xfId="13" applyNumberFormat="1" applyFont="1" applyFill="1" applyBorder="1" applyAlignment="1" applyProtection="1">
      <alignment horizontal="center" vertical="center"/>
    </xf>
    <xf numFmtId="167" fontId="19" fillId="3" borderId="53" xfId="13" applyNumberFormat="1" applyFont="1" applyFill="1" applyBorder="1" applyAlignment="1" applyProtection="1">
      <alignment horizontal="center" vertical="center"/>
    </xf>
    <xf numFmtId="0" fontId="15" fillId="0" borderId="53" xfId="0" applyFont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7" fontId="15" fillId="3" borderId="53" xfId="13" applyNumberFormat="1" applyFont="1" applyFill="1" applyBorder="1" applyAlignment="1" applyProtection="1">
      <alignment horizontal="center" vertical="center" wrapText="1"/>
    </xf>
    <xf numFmtId="167" fontId="15" fillId="3" borderId="53" xfId="13" applyNumberFormat="1" applyFont="1" applyFill="1" applyBorder="1" applyAlignment="1" applyProtection="1">
      <alignment horizontal="center" vertical="center"/>
    </xf>
    <xf numFmtId="167" fontId="15" fillId="4" borderId="53" xfId="0" applyNumberFormat="1" applyFont="1" applyFill="1" applyBorder="1"/>
    <xf numFmtId="167" fontId="15" fillId="0" borderId="53" xfId="0" applyNumberFormat="1" applyFont="1" applyBorder="1"/>
    <xf numFmtId="167" fontId="15" fillId="4" borderId="47" xfId="0" applyNumberFormat="1" applyFont="1" applyFill="1" applyBorder="1"/>
    <xf numFmtId="0" fontId="15" fillId="5" borderId="53" xfId="0" applyFont="1" applyFill="1" applyBorder="1"/>
    <xf numFmtId="0" fontId="17" fillId="5" borderId="53" xfId="0" applyFont="1" applyFill="1" applyBorder="1" applyAlignment="1">
      <alignment horizontal="left" vertical="center" wrapText="1"/>
    </xf>
    <xf numFmtId="167" fontId="17" fillId="20" borderId="53" xfId="13" applyNumberFormat="1" applyFont="1" applyFill="1" applyBorder="1" applyAlignment="1" applyProtection="1">
      <alignment horizontal="center" vertical="center" wrapText="1"/>
    </xf>
    <xf numFmtId="167" fontId="17" fillId="5" borderId="53" xfId="13" applyNumberFormat="1" applyFont="1" applyFill="1" applyBorder="1" applyAlignment="1" applyProtection="1">
      <alignment horizontal="center" vertical="center" wrapText="1"/>
    </xf>
    <xf numFmtId="167" fontId="17" fillId="19" borderId="53" xfId="13" applyNumberFormat="1" applyFont="1" applyFill="1" applyBorder="1" applyAlignment="1" applyProtection="1">
      <alignment horizontal="center" vertical="center"/>
    </xf>
    <xf numFmtId="167" fontId="15" fillId="6" borderId="47" xfId="0" applyNumberFormat="1" applyFont="1" applyFill="1" applyBorder="1"/>
    <xf numFmtId="167" fontId="15" fillId="0" borderId="51" xfId="0" applyNumberFormat="1" applyFont="1" applyBorder="1"/>
    <xf numFmtId="49" fontId="15" fillId="7" borderId="53" xfId="0" applyNumberFormat="1" applyFont="1" applyFill="1" applyBorder="1" applyAlignment="1">
      <alignment horizontal="left"/>
    </xf>
    <xf numFmtId="0" fontId="15" fillId="7" borderId="53" xfId="0" applyFont="1" applyFill="1" applyBorder="1"/>
    <xf numFmtId="0" fontId="14" fillId="7" borderId="53" xfId="0" applyFont="1" applyFill="1" applyBorder="1"/>
    <xf numFmtId="167" fontId="15" fillId="21" borderId="53" xfId="13" applyNumberFormat="1" applyFont="1" applyFill="1" applyBorder="1" applyAlignment="1" applyProtection="1"/>
    <xf numFmtId="167" fontId="15" fillId="7" borderId="53" xfId="13" applyNumberFormat="1" applyFont="1" applyFill="1" applyBorder="1" applyAlignment="1" applyProtection="1"/>
    <xf numFmtId="167" fontId="15" fillId="19" borderId="53" xfId="13" applyNumberFormat="1" applyFont="1" applyFill="1" applyBorder="1" applyAlignment="1" applyProtection="1"/>
    <xf numFmtId="49" fontId="15" fillId="8" borderId="53" xfId="0" applyNumberFormat="1" applyFont="1" applyFill="1" applyBorder="1" applyAlignment="1">
      <alignment horizontal="left"/>
    </xf>
    <xf numFmtId="0" fontId="15" fillId="8" borderId="53" xfId="0" applyFont="1" applyFill="1" applyBorder="1"/>
    <xf numFmtId="0" fontId="14" fillId="8" borderId="53" xfId="0" applyFont="1" applyFill="1" applyBorder="1"/>
    <xf numFmtId="167" fontId="15" fillId="17" borderId="53" xfId="13" applyNumberFormat="1" applyFont="1" applyFill="1" applyBorder="1" applyAlignment="1" applyProtection="1"/>
    <xf numFmtId="167" fontId="15" fillId="8" borderId="53" xfId="13" applyNumberFormat="1" applyFont="1" applyFill="1" applyBorder="1" applyAlignment="1" applyProtection="1"/>
    <xf numFmtId="49" fontId="15" fillId="0" borderId="53" xfId="0" applyNumberFormat="1" applyFont="1" applyBorder="1" applyAlignment="1">
      <alignment horizontal="left"/>
    </xf>
    <xf numFmtId="167" fontId="15" fillId="0" borderId="53" xfId="16" applyNumberFormat="1" applyFont="1" applyFill="1" applyBorder="1" applyAlignment="1" applyProtection="1"/>
    <xf numFmtId="49" fontId="15" fillId="16" borderId="53" xfId="0" applyNumberFormat="1" applyFont="1" applyFill="1" applyBorder="1" applyAlignment="1">
      <alignment horizontal="left"/>
    </xf>
    <xf numFmtId="0" fontId="15" fillId="16" borderId="53" xfId="0" applyFont="1" applyFill="1" applyBorder="1"/>
    <xf numFmtId="167" fontId="15" fillId="16" borderId="53" xfId="13" applyNumberFormat="1" applyFont="1" applyFill="1" applyBorder="1" applyAlignment="1" applyProtection="1">
      <alignment horizontal="center" vertical="center"/>
    </xf>
    <xf numFmtId="49" fontId="15" fillId="13" borderId="53" xfId="0" applyNumberFormat="1" applyFont="1" applyFill="1" applyBorder="1" applyAlignment="1">
      <alignment horizontal="left"/>
    </xf>
    <xf numFmtId="0" fontId="15" fillId="16" borderId="47" xfId="0" applyFont="1" applyFill="1" applyBorder="1"/>
    <xf numFmtId="167" fontId="15" fillId="16" borderId="53" xfId="13" applyNumberFormat="1" applyFont="1" applyFill="1" applyBorder="1" applyAlignment="1" applyProtection="1"/>
    <xf numFmtId="0" fontId="15" fillId="0" borderId="54" xfId="0" applyFont="1" applyBorder="1"/>
    <xf numFmtId="167" fontId="15" fillId="14" borderId="53" xfId="13" applyNumberFormat="1" applyFont="1" applyFill="1" applyBorder="1" applyAlignment="1" applyProtection="1">
      <alignment horizontal="center" vertical="center"/>
    </xf>
    <xf numFmtId="49" fontId="21" fillId="8" borderId="53" xfId="0" applyNumberFormat="1" applyFont="1" applyFill="1" applyBorder="1" applyAlignment="1">
      <alignment horizontal="left"/>
    </xf>
    <xf numFmtId="0" fontId="21" fillId="8" borderId="53" xfId="0" applyFont="1" applyFill="1" applyBorder="1"/>
    <xf numFmtId="0" fontId="20" fillId="8" borderId="53" xfId="0" applyFont="1" applyFill="1" applyBorder="1"/>
    <xf numFmtId="167" fontId="21" fillId="17" borderId="53" xfId="13" applyNumberFormat="1" applyFont="1" applyFill="1" applyBorder="1" applyAlignment="1" applyProtection="1"/>
    <xf numFmtId="167" fontId="21" fillId="8" borderId="53" xfId="13" applyNumberFormat="1" applyFont="1" applyFill="1" applyBorder="1" applyAlignment="1" applyProtection="1"/>
    <xf numFmtId="167" fontId="21" fillId="19" borderId="53" xfId="13" applyNumberFormat="1" applyFont="1" applyFill="1" applyBorder="1" applyAlignment="1" applyProtection="1"/>
    <xf numFmtId="10" fontId="15" fillId="0" borderId="53" xfId="0" applyNumberFormat="1" applyFont="1" applyBorder="1"/>
    <xf numFmtId="167" fontId="7" fillId="0" borderId="53" xfId="13" applyNumberFormat="1" applyFont="1" applyFill="1" applyBorder="1" applyAlignment="1" applyProtection="1"/>
    <xf numFmtId="49" fontId="14" fillId="8" borderId="53" xfId="0" applyNumberFormat="1" applyFont="1" applyFill="1" applyBorder="1" applyAlignment="1">
      <alignment horizontal="left"/>
    </xf>
    <xf numFmtId="49" fontId="14" fillId="7" borderId="53" xfId="0" applyNumberFormat="1" applyFont="1" applyFill="1" applyBorder="1" applyAlignment="1">
      <alignment horizontal="left"/>
    </xf>
    <xf numFmtId="167" fontId="14" fillId="19" borderId="53" xfId="13" applyNumberFormat="1" applyFont="1" applyFill="1" applyBorder="1" applyAlignment="1" applyProtection="1"/>
    <xf numFmtId="167" fontId="20" fillId="8" borderId="53" xfId="13" applyNumberFormat="1" applyFont="1" applyFill="1" applyBorder="1" applyAlignment="1" applyProtection="1"/>
    <xf numFmtId="167" fontId="20" fillId="19" borderId="53" xfId="13" applyNumberFormat="1" applyFont="1" applyFill="1" applyBorder="1" applyAlignment="1" applyProtection="1"/>
    <xf numFmtId="49" fontId="20" fillId="15" borderId="53" xfId="0" applyNumberFormat="1" applyFont="1" applyFill="1" applyBorder="1" applyAlignment="1">
      <alignment horizontal="left"/>
    </xf>
    <xf numFmtId="0" fontId="20" fillId="15" borderId="53" xfId="0" applyFont="1" applyFill="1" applyBorder="1"/>
    <xf numFmtId="167" fontId="21" fillId="18" borderId="47" xfId="13" applyNumberFormat="1" applyFont="1" applyFill="1" applyBorder="1" applyAlignment="1" applyProtection="1"/>
    <xf numFmtId="167" fontId="20" fillId="15" borderId="53" xfId="13" applyNumberFormat="1" applyFont="1" applyFill="1" applyBorder="1" applyAlignment="1" applyProtection="1"/>
    <xf numFmtId="167" fontId="20" fillId="19" borderId="47" xfId="13" applyNumberFormat="1" applyFont="1" applyFill="1" applyBorder="1" applyAlignment="1" applyProtection="1"/>
    <xf numFmtId="167" fontId="20" fillId="15" borderId="47" xfId="13" applyNumberFormat="1" applyFont="1" applyFill="1" applyBorder="1" applyAlignment="1" applyProtection="1"/>
    <xf numFmtId="0" fontId="15" fillId="16" borderId="50" xfId="0" applyFont="1" applyFill="1" applyBorder="1"/>
    <xf numFmtId="167" fontId="15" fillId="17" borderId="56" xfId="13" applyNumberFormat="1" applyFont="1" applyFill="1" applyBorder="1" applyAlignment="1" applyProtection="1"/>
    <xf numFmtId="167" fontId="15" fillId="19" borderId="56" xfId="13" applyNumberFormat="1" applyFont="1" applyFill="1" applyBorder="1" applyAlignment="1" applyProtection="1"/>
    <xf numFmtId="167" fontId="15" fillId="16" borderId="56" xfId="0" applyNumberFormat="1" applyFont="1" applyFill="1" applyBorder="1"/>
    <xf numFmtId="0" fontId="8" fillId="9" borderId="53" xfId="0" applyFont="1" applyFill="1" applyBorder="1"/>
    <xf numFmtId="0" fontId="8" fillId="22" borderId="53" xfId="0" applyFont="1" applyFill="1" applyBorder="1"/>
    <xf numFmtId="167" fontId="8" fillId="22" borderId="53" xfId="13" applyNumberFormat="1" applyFont="1" applyFill="1" applyBorder="1" applyAlignment="1" applyProtection="1"/>
    <xf numFmtId="167" fontId="8" fillId="9" borderId="53" xfId="13" applyNumberFormat="1" applyFont="1" applyFill="1" applyBorder="1" applyAlignment="1" applyProtection="1"/>
    <xf numFmtId="167" fontId="8" fillId="3" borderId="53" xfId="13" applyNumberFormat="1" applyFont="1" applyFill="1" applyBorder="1" applyAlignment="1" applyProtection="1"/>
    <xf numFmtId="167" fontId="8" fillId="4" borderId="53" xfId="0" applyNumberFormat="1" applyFont="1" applyFill="1" applyBorder="1"/>
    <xf numFmtId="0" fontId="8" fillId="0" borderId="53" xfId="0" applyFont="1" applyBorder="1"/>
    <xf numFmtId="10" fontId="8" fillId="0" borderId="53" xfId="0" applyNumberFormat="1" applyFont="1" applyBorder="1"/>
    <xf numFmtId="167" fontId="8" fillId="3" borderId="53" xfId="13" applyNumberFormat="1" applyFont="1" applyFill="1" applyBorder="1" applyAlignment="1" applyProtection="1">
      <alignment horizontal="center" vertical="center" wrapText="1"/>
    </xf>
    <xf numFmtId="167" fontId="8" fillId="0" borderId="53" xfId="13" applyNumberFormat="1" applyFont="1" applyFill="1" applyBorder="1" applyAlignment="1" applyProtection="1">
      <alignment horizontal="center" vertical="center"/>
    </xf>
    <xf numFmtId="168" fontId="8" fillId="0" borderId="53" xfId="0" applyNumberFormat="1" applyFont="1" applyBorder="1"/>
    <xf numFmtId="167" fontId="8" fillId="0" borderId="53" xfId="13" applyNumberFormat="1" applyFont="1" applyFill="1" applyBorder="1" applyAlignment="1" applyProtection="1"/>
    <xf numFmtId="0" fontId="14" fillId="9" borderId="50" xfId="9" applyFont="1" applyFill="1" applyBorder="1"/>
    <xf numFmtId="0" fontId="17" fillId="9" borderId="54" xfId="9" applyFont="1" applyFill="1" applyBorder="1" applyAlignment="1">
      <alignment horizontal="left" vertical="center" wrapText="1"/>
    </xf>
    <xf numFmtId="167" fontId="17" fillId="9" borderId="53" xfId="15" applyNumberFormat="1" applyFont="1" applyFill="1" applyBorder="1" applyAlignment="1" applyProtection="1">
      <alignment horizontal="center" vertical="center" wrapText="1"/>
    </xf>
    <xf numFmtId="38" fontId="17" fillId="22" borderId="53" xfId="15" applyNumberFormat="1" applyFont="1" applyFill="1" applyBorder="1" applyAlignment="1" applyProtection="1">
      <alignment horizontal="right" vertical="center"/>
    </xf>
    <xf numFmtId="38" fontId="23" fillId="3" borderId="53" xfId="13" applyNumberFormat="1" applyFont="1" applyFill="1" applyBorder="1" applyAlignment="1" applyProtection="1">
      <alignment horizontal="center" vertical="center"/>
    </xf>
    <xf numFmtId="38" fontId="14" fillId="4" borderId="53" xfId="0" applyNumberFormat="1" applyFont="1" applyFill="1" applyBorder="1"/>
    <xf numFmtId="0" fontId="14" fillId="0" borderId="53" xfId="0" applyFont="1" applyBorder="1" applyAlignment="1">
      <alignment horizontal="left" vertical="center" wrapText="1"/>
    </xf>
    <xf numFmtId="167" fontId="19" fillId="3" borderId="53" xfId="13" applyNumberFormat="1" applyFont="1" applyFill="1" applyBorder="1" applyAlignment="1" applyProtection="1">
      <alignment horizontal="center" vertical="center" wrapText="1"/>
    </xf>
    <xf numFmtId="0" fontId="19" fillId="0" borderId="53" xfId="0" applyFont="1" applyBorder="1" applyAlignment="1">
      <alignment horizontal="left" vertical="center" wrapText="1"/>
    </xf>
    <xf numFmtId="38" fontId="19" fillId="0" borderId="53" xfId="13" applyNumberFormat="1" applyFont="1" applyFill="1" applyBorder="1" applyAlignment="1" applyProtection="1">
      <alignment horizontal="right" vertical="center"/>
    </xf>
    <xf numFmtId="38" fontId="19" fillId="3" borderId="53" xfId="13" applyNumberFormat="1" applyFont="1" applyFill="1" applyBorder="1" applyAlignment="1" applyProtection="1">
      <alignment horizontal="right" vertical="center"/>
    </xf>
    <xf numFmtId="38" fontId="15" fillId="0" borderId="53" xfId="13" applyNumberFormat="1" applyFont="1" applyFill="1" applyBorder="1" applyAlignment="1" applyProtection="1">
      <alignment horizontal="right" vertical="center" wrapText="1"/>
    </xf>
    <xf numFmtId="0" fontId="22" fillId="0" borderId="53" xfId="0" applyFont="1" applyBorder="1" applyAlignment="1">
      <alignment horizontal="left" vertical="center" wrapText="1"/>
    </xf>
    <xf numFmtId="167" fontId="22" fillId="3" borderId="53" xfId="13" applyNumberFormat="1" applyFont="1" applyFill="1" applyBorder="1" applyAlignment="1" applyProtection="1">
      <alignment horizontal="center" vertical="center" wrapText="1"/>
    </xf>
    <xf numFmtId="38" fontId="22" fillId="3" borderId="53" xfId="13" applyNumberFormat="1" applyFont="1" applyFill="1" applyBorder="1" applyAlignment="1" applyProtection="1">
      <alignment horizontal="right" vertical="center"/>
    </xf>
    <xf numFmtId="167" fontId="14" fillId="4" borderId="53" xfId="0" applyNumberFormat="1" applyFont="1" applyFill="1" applyBorder="1"/>
    <xf numFmtId="0" fontId="15" fillId="0" borderId="49" xfId="0" applyFont="1" applyBorder="1"/>
    <xf numFmtId="0" fontId="14" fillId="0" borderId="49" xfId="0" applyFont="1" applyBorder="1" applyAlignment="1">
      <alignment horizontal="left" vertical="center" wrapText="1"/>
    </xf>
    <xf numFmtId="167" fontId="19" fillId="0" borderId="49" xfId="13" applyNumberFormat="1" applyFont="1" applyFill="1" applyBorder="1" applyAlignment="1" applyProtection="1">
      <alignment horizontal="center" vertical="center" wrapText="1"/>
    </xf>
    <xf numFmtId="38" fontId="17" fillId="0" borderId="49" xfId="13" applyNumberFormat="1" applyFont="1" applyFill="1" applyBorder="1" applyAlignment="1" applyProtection="1">
      <alignment horizontal="center" vertical="center"/>
    </xf>
    <xf numFmtId="167" fontId="17" fillId="0" borderId="49" xfId="13" applyNumberFormat="1" applyFont="1" applyFill="1" applyBorder="1" applyAlignment="1" applyProtection="1">
      <alignment horizontal="center" vertical="center"/>
    </xf>
    <xf numFmtId="0" fontId="43" fillId="35" borderId="44" xfId="21" applyFont="1" applyFill="1" applyBorder="1" applyAlignment="1">
      <alignment horizontal="left" indent="1"/>
    </xf>
    <xf numFmtId="0" fontId="42" fillId="36" borderId="44" xfId="21" applyFont="1" applyFill="1" applyBorder="1" applyAlignment="1">
      <alignment horizontal="center"/>
    </xf>
    <xf numFmtId="17" fontId="42" fillId="36" borderId="44" xfId="21" applyNumberFormat="1" applyFont="1" applyFill="1" applyBorder="1" applyAlignment="1">
      <alignment horizontal="center"/>
    </xf>
    <xf numFmtId="0" fontId="42" fillId="36" borderId="56" xfId="21" applyFont="1" applyFill="1" applyBorder="1" applyAlignment="1">
      <alignment horizontal="center"/>
    </xf>
    <xf numFmtId="0" fontId="3" fillId="0" borderId="45" xfId="21" applyBorder="1"/>
    <xf numFmtId="173" fontId="43" fillId="35" borderId="57" xfId="22" applyNumberFormat="1" applyFont="1" applyFill="1" applyBorder="1"/>
    <xf numFmtId="173" fontId="43" fillId="35" borderId="56" xfId="22" applyNumberFormat="1" applyFont="1" applyFill="1" applyBorder="1"/>
    <xf numFmtId="173" fontId="43" fillId="35" borderId="44" xfId="22" applyNumberFormat="1" applyFont="1" applyFill="1" applyBorder="1"/>
    <xf numFmtId="173" fontId="43" fillId="35" borderId="57" xfId="21" applyNumberFormat="1" applyFont="1" applyFill="1" applyBorder="1"/>
    <xf numFmtId="173" fontId="43" fillId="35" borderId="44" xfId="21" applyNumberFormat="1" applyFont="1" applyFill="1" applyBorder="1"/>
    <xf numFmtId="173" fontId="43" fillId="35" borderId="56" xfId="21" applyNumberFormat="1" applyFont="1" applyFill="1" applyBorder="1"/>
    <xf numFmtId="173" fontId="43" fillId="0" borderId="45" xfId="22" applyNumberFormat="1" applyFont="1" applyBorder="1"/>
    <xf numFmtId="0" fontId="41" fillId="10" borderId="44" xfId="21" applyFont="1" applyFill="1" applyBorder="1" applyAlignment="1">
      <alignment horizontal="center"/>
    </xf>
    <xf numFmtId="17" fontId="41" fillId="10" borderId="57" xfId="21" applyNumberFormat="1" applyFont="1" applyFill="1" applyBorder="1" applyAlignment="1">
      <alignment horizontal="center"/>
    </xf>
    <xf numFmtId="17" fontId="41" fillId="10" borderId="44" xfId="21" applyNumberFormat="1" applyFont="1" applyFill="1" applyBorder="1" applyAlignment="1">
      <alignment horizontal="center"/>
    </xf>
    <xf numFmtId="0" fontId="42" fillId="0" borderId="45" xfId="21" applyFont="1" applyBorder="1"/>
    <xf numFmtId="173" fontId="43" fillId="35" borderId="57" xfId="21" applyNumberFormat="1" applyFont="1" applyFill="1" applyBorder="1" applyAlignment="1">
      <alignment horizontal="left" indent="1"/>
    </xf>
    <xf numFmtId="173" fontId="43" fillId="35" borderId="44" xfId="21" applyNumberFormat="1" applyFont="1" applyFill="1" applyBorder="1" applyAlignment="1">
      <alignment horizontal="left" indent="1"/>
    </xf>
    <xf numFmtId="173" fontId="43" fillId="35" borderId="56" xfId="21" applyNumberFormat="1" applyFont="1" applyFill="1" applyBorder="1" applyAlignment="1">
      <alignment horizontal="left" indent="1"/>
    </xf>
    <xf numFmtId="0" fontId="43" fillId="33" borderId="44" xfId="21" applyFont="1" applyFill="1" applyBorder="1" applyAlignment="1">
      <alignment horizontal="left" indent="1"/>
    </xf>
    <xf numFmtId="173" fontId="43" fillId="33" borderId="57" xfId="21" applyNumberFormat="1" applyFont="1" applyFill="1" applyBorder="1" applyAlignment="1">
      <alignment horizontal="left" indent="1"/>
    </xf>
    <xf numFmtId="173" fontId="43" fillId="34" borderId="44" xfId="21" applyNumberFormat="1" applyFont="1" applyFill="1" applyBorder="1" applyAlignment="1">
      <alignment horizontal="left" indent="1"/>
    </xf>
    <xf numFmtId="173" fontId="43" fillId="34" borderId="56" xfId="21" applyNumberFormat="1" applyFont="1" applyFill="1" applyBorder="1" applyAlignment="1">
      <alignment horizontal="left" indent="1"/>
    </xf>
    <xf numFmtId="173" fontId="43" fillId="33" borderId="44" xfId="21" applyNumberFormat="1" applyFont="1" applyFill="1" applyBorder="1" applyAlignment="1">
      <alignment horizontal="left" indent="1"/>
    </xf>
    <xf numFmtId="167" fontId="15" fillId="14" borderId="54" xfId="13" applyNumberFormat="1" applyFont="1" applyFill="1" applyBorder="1" applyAlignment="1" applyProtection="1">
      <alignment horizontal="center" vertical="center"/>
    </xf>
    <xf numFmtId="167" fontId="28" fillId="14" borderId="54" xfId="13" applyNumberFormat="1" applyFont="1" applyFill="1" applyBorder="1" applyAlignment="1" applyProtection="1">
      <alignment horizontal="center" vertical="center"/>
    </xf>
    <xf numFmtId="167" fontId="15" fillId="14" borderId="50" xfId="13" applyNumberFormat="1" applyFont="1" applyFill="1" applyBorder="1" applyAlignment="1" applyProtection="1"/>
    <xf numFmtId="0" fontId="0" fillId="0" borderId="0" xfId="0" applyAlignment="1">
      <alignment horizontal="center" vertical="center"/>
    </xf>
    <xf numFmtId="17" fontId="10" fillId="0" borderId="56" xfId="17" applyNumberFormat="1" applyFont="1" applyBorder="1" applyAlignment="1">
      <alignment horizontal="center"/>
    </xf>
    <xf numFmtId="17" fontId="10" fillId="0" borderId="58" xfId="17" applyNumberFormat="1" applyFont="1" applyBorder="1" applyAlignment="1">
      <alignment horizontal="center"/>
    </xf>
    <xf numFmtId="0" fontId="0" fillId="14" borderId="0" xfId="0" applyFill="1"/>
    <xf numFmtId="0" fontId="11" fillId="10" borderId="56" xfId="17" applyFont="1" applyFill="1" applyBorder="1"/>
    <xf numFmtId="173" fontId="11" fillId="10" borderId="56" xfId="13" applyNumberFormat="1" applyFont="1" applyFill="1" applyBorder="1"/>
    <xf numFmtId="169" fontId="11" fillId="10" borderId="59" xfId="17" applyNumberFormat="1" applyFont="1" applyFill="1" applyBorder="1"/>
    <xf numFmtId="0" fontId="13" fillId="11" borderId="60" xfId="17" applyFont="1" applyFill="1" applyBorder="1"/>
    <xf numFmtId="0" fontId="12" fillId="0" borderId="61" xfId="17" applyFont="1" applyBorder="1" applyAlignment="1">
      <alignment horizontal="left" indent="1"/>
    </xf>
    <xf numFmtId="0" fontId="12" fillId="0" borderId="62" xfId="17" applyFont="1" applyBorder="1" applyAlignment="1">
      <alignment horizontal="left" indent="1"/>
    </xf>
    <xf numFmtId="0" fontId="11" fillId="12" borderId="63" xfId="17" applyFont="1" applyFill="1" applyBorder="1" applyAlignment="1">
      <alignment horizontal="center" vertical="center"/>
    </xf>
    <xf numFmtId="173" fontId="11" fillId="12" borderId="56" xfId="13" applyNumberFormat="1" applyFont="1" applyFill="1" applyBorder="1"/>
    <xf numFmtId="9" fontId="0" fillId="0" borderId="0" xfId="19" applyFont="1"/>
    <xf numFmtId="44" fontId="0" fillId="0" borderId="0" xfId="0" applyNumberFormat="1"/>
    <xf numFmtId="176" fontId="0" fillId="0" borderId="0" xfId="0" applyNumberFormat="1"/>
    <xf numFmtId="10" fontId="0" fillId="0" borderId="0" xfId="19" applyNumberFormat="1" applyFont="1"/>
    <xf numFmtId="173" fontId="0" fillId="0" borderId="0" xfId="0" applyNumberFormat="1"/>
    <xf numFmtId="44" fontId="0" fillId="0" borderId="0" xfId="33" applyFont="1"/>
    <xf numFmtId="0" fontId="14" fillId="39" borderId="11" xfId="0" applyFont="1" applyFill="1" applyBorder="1"/>
    <xf numFmtId="0" fontId="14" fillId="39" borderId="41" xfId="0" applyFont="1" applyFill="1" applyBorder="1"/>
    <xf numFmtId="166" fontId="40" fillId="39" borderId="42" xfId="13" applyFont="1" applyFill="1" applyBorder="1" applyAlignment="1" applyProtection="1"/>
    <xf numFmtId="166" fontId="40" fillId="39" borderId="10" xfId="13" applyFont="1" applyFill="1" applyBorder="1" applyAlignment="1" applyProtection="1"/>
    <xf numFmtId="166" fontId="40" fillId="39" borderId="11" xfId="13" applyFont="1" applyFill="1" applyBorder="1" applyAlignment="1" applyProtection="1"/>
    <xf numFmtId="166" fontId="40" fillId="39" borderId="12" xfId="13" applyFont="1" applyFill="1" applyBorder="1" applyAlignment="1" applyProtection="1"/>
    <xf numFmtId="166" fontId="6" fillId="0" borderId="54" xfId="13" applyFill="1" applyBorder="1" applyAlignment="1" applyProtection="1">
      <alignment horizontal="center" vertical="center"/>
    </xf>
    <xf numFmtId="166" fontId="6" fillId="0" borderId="56" xfId="13" applyBorder="1"/>
    <xf numFmtId="166" fontId="6" fillId="0" borderId="56" xfId="13" applyFill="1" applyBorder="1"/>
    <xf numFmtId="166" fontId="6" fillId="0" borderId="0" xfId="13"/>
    <xf numFmtId="44" fontId="6" fillId="0" borderId="0" xfId="33"/>
    <xf numFmtId="0" fontId="54" fillId="41" borderId="0" xfId="0" applyFont="1" applyFill="1" applyAlignment="1">
      <alignment horizontal="center"/>
    </xf>
    <xf numFmtId="17" fontId="54" fillId="41" borderId="0" xfId="0" applyNumberFormat="1" applyFont="1" applyFill="1" applyAlignment="1">
      <alignment horizontal="center"/>
    </xf>
    <xf numFmtId="0" fontId="54" fillId="41" borderId="0" xfId="0" applyFont="1" applyFill="1"/>
    <xf numFmtId="44" fontId="54" fillId="41" borderId="0" xfId="0" applyNumberFormat="1" applyFont="1" applyFill="1"/>
    <xf numFmtId="44" fontId="6" fillId="0" borderId="0" xfId="33" applyFont="1"/>
    <xf numFmtId="166" fontId="6" fillId="11" borderId="56" xfId="13" applyFill="1" applyBorder="1"/>
    <xf numFmtId="176" fontId="9" fillId="0" borderId="56" xfId="33" applyNumberFormat="1" applyFont="1" applyFill="1" applyBorder="1"/>
    <xf numFmtId="166" fontId="40" fillId="11" borderId="56" xfId="13" applyFont="1" applyFill="1" applyBorder="1"/>
    <xf numFmtId="0" fontId="55" fillId="14" borderId="0" xfId="0" applyFont="1" applyFill="1" applyAlignment="1">
      <alignment horizontal="center"/>
    </xf>
    <xf numFmtId="0" fontId="56" fillId="14" borderId="0" xfId="0" applyFont="1" applyFill="1" applyAlignment="1">
      <alignment horizontal="center"/>
    </xf>
    <xf numFmtId="0" fontId="56" fillId="33" borderId="56" xfId="0" applyFont="1" applyFill="1" applyBorder="1" applyAlignment="1">
      <alignment horizontal="center"/>
    </xf>
    <xf numFmtId="0" fontId="40" fillId="33" borderId="0" xfId="0" applyFont="1" applyFill="1"/>
    <xf numFmtId="166" fontId="40" fillId="33" borderId="0" xfId="0" applyNumberFormat="1" applyFont="1" applyFill="1"/>
    <xf numFmtId="0" fontId="56" fillId="44" borderId="56" xfId="0" applyFont="1" applyFill="1" applyBorder="1" applyAlignment="1">
      <alignment horizontal="center"/>
    </xf>
    <xf numFmtId="0" fontId="0" fillId="44" borderId="0" xfId="0" applyFill="1"/>
    <xf numFmtId="166" fontId="40" fillId="44" borderId="0" xfId="0" applyNumberFormat="1" applyFont="1" applyFill="1"/>
    <xf numFmtId="177" fontId="57" fillId="44" borderId="64" xfId="0" quotePrefix="1" applyNumberFormat="1" applyFont="1" applyFill="1" applyBorder="1" applyAlignment="1">
      <alignment horizontal="center"/>
    </xf>
    <xf numFmtId="177" fontId="57" fillId="44" borderId="65" xfId="0" quotePrefix="1" applyNumberFormat="1" applyFont="1" applyFill="1" applyBorder="1"/>
    <xf numFmtId="0" fontId="58" fillId="0" borderId="65" xfId="0" applyFont="1" applyBorder="1"/>
    <xf numFmtId="0" fontId="58" fillId="0" borderId="67" xfId="0" applyFont="1" applyBorder="1"/>
    <xf numFmtId="4" fontId="59" fillId="0" borderId="69" xfId="0" applyNumberFormat="1" applyFont="1" applyBorder="1" applyAlignment="1">
      <alignment horizontal="center"/>
    </xf>
    <xf numFmtId="4" fontId="60" fillId="0" borderId="70" xfId="0" applyNumberFormat="1" applyFont="1" applyBorder="1" applyAlignment="1">
      <alignment horizontal="center"/>
    </xf>
    <xf numFmtId="4" fontId="61" fillId="0" borderId="70" xfId="0" applyNumberFormat="1" applyFont="1" applyBorder="1" applyAlignment="1">
      <alignment horizontal="center"/>
    </xf>
    <xf numFmtId="4" fontId="58" fillId="45" borderId="71" xfId="0" applyNumberFormat="1" applyFont="1" applyFill="1" applyBorder="1" applyAlignment="1">
      <alignment horizontal="center"/>
    </xf>
    <xf numFmtId="0" fontId="62" fillId="0" borderId="0" xfId="0" applyFont="1"/>
    <xf numFmtId="178" fontId="63" fillId="0" borderId="61" xfId="0" applyNumberFormat="1" applyFont="1" applyBorder="1" applyAlignment="1">
      <alignment horizontal="center"/>
    </xf>
    <xf numFmtId="179" fontId="51" fillId="45" borderId="75" xfId="13" applyNumberFormat="1" applyFont="1" applyFill="1" applyBorder="1" applyAlignment="1" applyProtection="1">
      <alignment horizontal="center"/>
    </xf>
    <xf numFmtId="14" fontId="64" fillId="0" borderId="61" xfId="0" applyNumberFormat="1" applyFont="1" applyBorder="1" applyAlignment="1">
      <alignment horizontal="center"/>
    </xf>
    <xf numFmtId="177" fontId="65" fillId="0" borderId="58" xfId="0" applyNumberFormat="1" applyFont="1" applyBorder="1"/>
    <xf numFmtId="177" fontId="64" fillId="14" borderId="56" xfId="0" applyNumberFormat="1" applyFont="1" applyFill="1" applyBorder="1"/>
    <xf numFmtId="177" fontId="66" fillId="0" borderId="56" xfId="0" applyNumberFormat="1" applyFont="1" applyBorder="1"/>
    <xf numFmtId="177" fontId="64" fillId="0" borderId="56" xfId="0" applyNumberFormat="1" applyFont="1" applyBorder="1"/>
    <xf numFmtId="177" fontId="62" fillId="14" borderId="0" xfId="0" applyNumberFormat="1" applyFont="1" applyFill="1"/>
    <xf numFmtId="0" fontId="58" fillId="46" borderId="64" xfId="0" applyFont="1" applyFill="1" applyBorder="1" applyAlignment="1">
      <alignment horizontal="center"/>
    </xf>
    <xf numFmtId="177" fontId="59" fillId="46" borderId="76" xfId="0" applyNumberFormat="1" applyFont="1" applyFill="1" applyBorder="1"/>
    <xf numFmtId="177" fontId="60" fillId="46" borderId="76" xfId="0" applyNumberFormat="1" applyFont="1" applyFill="1" applyBorder="1"/>
    <xf numFmtId="177" fontId="61" fillId="46" borderId="76" xfId="0" applyNumberFormat="1" applyFont="1" applyFill="1" applyBorder="1"/>
    <xf numFmtId="177" fontId="58" fillId="45" borderId="77" xfId="0" applyNumberFormat="1" applyFont="1" applyFill="1" applyBorder="1"/>
    <xf numFmtId="0" fontId="0" fillId="0" borderId="0" xfId="0" applyAlignment="1">
      <alignment horizontal="center"/>
    </xf>
    <xf numFmtId="177" fontId="67" fillId="47" borderId="0" xfId="0" applyNumberFormat="1" applyFont="1" applyFill="1" applyAlignment="1">
      <alignment horizontal="center"/>
    </xf>
    <xf numFmtId="177" fontId="62" fillId="47" borderId="0" xfId="0" applyNumberFormat="1" applyFont="1" applyFill="1" applyAlignment="1">
      <alignment horizontal="center"/>
    </xf>
    <xf numFmtId="177" fontId="68" fillId="47" borderId="0" xfId="0" applyNumberFormat="1" applyFont="1" applyFill="1" applyAlignment="1">
      <alignment horizontal="center"/>
    </xf>
    <xf numFmtId="179" fontId="0" fillId="47" borderId="0" xfId="0" applyNumberFormat="1" applyFill="1"/>
    <xf numFmtId="0" fontId="67" fillId="0" borderId="0" xfId="0" applyFont="1"/>
    <xf numFmtId="0" fontId="68" fillId="0" borderId="0" xfId="0" applyFont="1"/>
    <xf numFmtId="177" fontId="69" fillId="0" borderId="58" xfId="0" applyNumberFormat="1" applyFont="1" applyBorder="1"/>
    <xf numFmtId="177" fontId="66" fillId="0" borderId="0" xfId="0" applyNumberFormat="1" applyFont="1"/>
    <xf numFmtId="0" fontId="0" fillId="0" borderId="0" xfId="0" quotePrefix="1"/>
    <xf numFmtId="4" fontId="70" fillId="0" borderId="70" xfId="0" applyNumberFormat="1" applyFont="1" applyBorder="1" applyAlignment="1">
      <alignment horizontal="center"/>
    </xf>
    <xf numFmtId="177" fontId="64" fillId="0" borderId="78" xfId="0" applyNumberFormat="1" applyFont="1" applyBorder="1"/>
    <xf numFmtId="177" fontId="60" fillId="46" borderId="64" xfId="0" applyNumberFormat="1" applyFont="1" applyFill="1" applyBorder="1"/>
    <xf numFmtId="4" fontId="58" fillId="45" borderId="79" xfId="0" applyNumberFormat="1" applyFont="1" applyFill="1" applyBorder="1" applyAlignment="1">
      <alignment horizontal="center"/>
    </xf>
    <xf numFmtId="179" fontId="51" fillId="45" borderId="80" xfId="13" applyNumberFormat="1" applyFont="1" applyFill="1" applyBorder="1" applyAlignment="1" applyProtection="1">
      <alignment horizontal="center"/>
    </xf>
    <xf numFmtId="179" fontId="51" fillId="45" borderId="81" xfId="13" applyNumberFormat="1" applyFont="1" applyFill="1" applyBorder="1" applyAlignment="1" applyProtection="1">
      <alignment horizontal="center"/>
    </xf>
    <xf numFmtId="177" fontId="58" fillId="45" borderId="72" xfId="0" applyNumberFormat="1" applyFont="1" applyFill="1" applyBorder="1"/>
    <xf numFmtId="0" fontId="0" fillId="48" borderId="0" xfId="0" applyFill="1"/>
    <xf numFmtId="166" fontId="6" fillId="48" borderId="0" xfId="13" applyFill="1" applyBorder="1"/>
    <xf numFmtId="166" fontId="6" fillId="48" borderId="0" xfId="13" applyFill="1"/>
    <xf numFmtId="43" fontId="0" fillId="0" borderId="0" xfId="0" applyNumberFormat="1"/>
    <xf numFmtId="166" fontId="6" fillId="14" borderId="56" xfId="13" applyFill="1" applyBorder="1"/>
    <xf numFmtId="0" fontId="0" fillId="31" borderId="56" xfId="0" applyFill="1" applyBorder="1" applyAlignment="1">
      <alignment horizontal="center"/>
    </xf>
    <xf numFmtId="0" fontId="40" fillId="50" borderId="0" xfId="0" applyFont="1" applyFill="1" applyAlignment="1">
      <alignment horizontal="center"/>
    </xf>
    <xf numFmtId="17" fontId="0" fillId="0" borderId="0" xfId="0" applyNumberFormat="1" applyAlignment="1">
      <alignment horizontal="center"/>
    </xf>
    <xf numFmtId="166" fontId="6" fillId="0" borderId="0" xfId="13" applyAlignment="1"/>
    <xf numFmtId="0" fontId="40" fillId="44" borderId="0" xfId="0" applyFont="1" applyFill="1"/>
    <xf numFmtId="0" fontId="72" fillId="0" borderId="0" xfId="34"/>
    <xf numFmtId="180" fontId="0" fillId="0" borderId="0" xfId="33" applyNumberFormat="1" applyFont="1"/>
    <xf numFmtId="17" fontId="0" fillId="0" borderId="56" xfId="0" applyNumberFormat="1" applyBorder="1"/>
    <xf numFmtId="0" fontId="56" fillId="33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166" fontId="56" fillId="0" borderId="0" xfId="0" applyNumberFormat="1" applyFont="1" applyAlignment="1">
      <alignment horizontal="center"/>
    </xf>
    <xf numFmtId="0" fontId="71" fillId="51" borderId="0" xfId="0" applyFont="1" applyFill="1" applyAlignment="1">
      <alignment horizontal="center"/>
    </xf>
    <xf numFmtId="0" fontId="38" fillId="0" borderId="0" xfId="0" applyFont="1" applyAlignment="1">
      <alignment horizontal="left" vertical="center" wrapText="1"/>
    </xf>
    <xf numFmtId="171" fontId="39" fillId="0" borderId="0" xfId="0" applyNumberFormat="1" applyFont="1" applyAlignment="1">
      <alignment horizontal="center" vertical="center"/>
    </xf>
    <xf numFmtId="0" fontId="36" fillId="0" borderId="15" xfId="0" applyFont="1" applyBorder="1" applyAlignment="1">
      <alignment horizontal="center"/>
    </xf>
    <xf numFmtId="0" fontId="37" fillId="0" borderId="16" xfId="0" applyFont="1" applyBorder="1" applyAlignment="1">
      <alignment horizontal="center" vertical="center"/>
    </xf>
    <xf numFmtId="0" fontId="55" fillId="42" borderId="0" xfId="0" applyFont="1" applyFill="1" applyAlignment="1">
      <alignment horizontal="center"/>
    </xf>
    <xf numFmtId="0" fontId="56" fillId="43" borderId="0" xfId="0" applyFont="1" applyFill="1" applyAlignment="1">
      <alignment horizontal="center"/>
    </xf>
    <xf numFmtId="0" fontId="71" fillId="11" borderId="0" xfId="0" applyFont="1" applyFill="1" applyAlignment="1">
      <alignment horizontal="center"/>
    </xf>
    <xf numFmtId="0" fontId="40" fillId="40" borderId="0" xfId="0" applyFont="1" applyFill="1" applyAlignment="1">
      <alignment horizontal="center"/>
    </xf>
    <xf numFmtId="0" fontId="58" fillId="0" borderId="66" xfId="0" applyFont="1" applyBorder="1" applyAlignment="1">
      <alignment horizontal="center" vertical="center"/>
    </xf>
    <xf numFmtId="0" fontId="58" fillId="0" borderId="68" xfId="0" applyFont="1" applyBorder="1" applyAlignment="1">
      <alignment horizontal="center" vertical="center"/>
    </xf>
    <xf numFmtId="4" fontId="63" fillId="0" borderId="73" xfId="0" applyNumberFormat="1" applyFont="1" applyBorder="1" applyAlignment="1">
      <alignment horizontal="center"/>
    </xf>
    <xf numFmtId="4" fontId="63" fillId="0" borderId="74" xfId="0" applyNumberFormat="1" applyFont="1" applyBorder="1" applyAlignment="1">
      <alignment horizontal="center"/>
    </xf>
    <xf numFmtId="0" fontId="29" fillId="23" borderId="14" xfId="0" applyFont="1" applyFill="1" applyBorder="1" applyAlignment="1" applyProtection="1">
      <alignment horizontal="center" vertical="center" wrapText="1"/>
      <protection locked="0"/>
    </xf>
    <xf numFmtId="0" fontId="29" fillId="23" borderId="48" xfId="0" applyFont="1" applyFill="1" applyBorder="1" applyAlignment="1" applyProtection="1">
      <alignment horizontal="center" vertical="center" wrapText="1"/>
      <protection locked="0"/>
    </xf>
    <xf numFmtId="0" fontId="29" fillId="23" borderId="13" xfId="0" applyFont="1" applyFill="1" applyBorder="1" applyAlignment="1" applyProtection="1">
      <alignment horizontal="center" vertical="center" wrapText="1"/>
      <protection locked="0"/>
    </xf>
    <xf numFmtId="0" fontId="29" fillId="23" borderId="55" xfId="0" applyFont="1" applyFill="1" applyBorder="1" applyAlignment="1" applyProtection="1">
      <alignment horizontal="center" vertical="center" wrapText="1"/>
      <protection locked="0"/>
    </xf>
    <xf numFmtId="0" fontId="71" fillId="49" borderId="0" xfId="0" applyFont="1" applyFill="1" applyAlignment="1">
      <alignment horizontal="center"/>
    </xf>
    <xf numFmtId="0" fontId="17" fillId="0" borderId="47" xfId="0" applyFont="1" applyBorder="1" applyAlignment="1" applyProtection="1">
      <alignment horizontal="center" vertical="center" wrapText="1"/>
      <protection locked="0"/>
    </xf>
    <xf numFmtId="0" fontId="17" fillId="0" borderId="31" xfId="0" applyFont="1" applyBorder="1" applyAlignment="1" applyProtection="1">
      <alignment horizontal="center" vertical="center" wrapText="1"/>
      <protection locked="0"/>
    </xf>
    <xf numFmtId="167" fontId="17" fillId="19" borderId="47" xfId="13" applyNumberFormat="1" applyFont="1" applyFill="1" applyBorder="1" applyAlignment="1" applyProtection="1">
      <alignment horizontal="center" vertical="center" wrapText="1"/>
    </xf>
    <xf numFmtId="167" fontId="17" fillId="19" borderId="31" xfId="13" applyNumberFormat="1" applyFont="1" applyFill="1" applyBorder="1" applyAlignment="1" applyProtection="1">
      <alignment horizontal="center" vertical="center" wrapText="1"/>
    </xf>
    <xf numFmtId="0" fontId="25" fillId="4" borderId="47" xfId="0" applyFont="1" applyFill="1" applyBorder="1" applyAlignment="1">
      <alignment horizontal="center" wrapText="1"/>
    </xf>
    <xf numFmtId="0" fontId="25" fillId="4" borderId="4" xfId="0" applyFont="1" applyFill="1" applyBorder="1" applyAlignment="1">
      <alignment horizontal="center" wrapText="1"/>
    </xf>
    <xf numFmtId="0" fontId="53" fillId="38" borderId="0" xfId="21" applyFont="1" applyFill="1" applyAlignment="1">
      <alignment horizontal="center" vertical="center"/>
    </xf>
    <xf numFmtId="0" fontId="40" fillId="39" borderId="0" xfId="0" applyFont="1" applyFill="1" applyAlignment="1">
      <alignment horizontal="center"/>
    </xf>
  </cellXfs>
  <cellStyles count="35">
    <cellStyle name="Euro" xfId="1" xr:uid="{00000000-0005-0000-0000-000000000000}"/>
    <cellStyle name="Euro 2" xfId="2" xr:uid="{00000000-0005-0000-0000-000001000000}"/>
    <cellStyle name="Hiperlink" xfId="34" builtinId="8"/>
    <cellStyle name="Moeda" xfId="33" builtinId="4"/>
    <cellStyle name="Moeda 2" xfId="3" xr:uid="{00000000-0005-0000-0000-000002000000}"/>
    <cellStyle name="Moeda 2 2" xfId="4" xr:uid="{00000000-0005-0000-0000-000003000000}"/>
    <cellStyle name="Moeda 3" xfId="5" xr:uid="{00000000-0005-0000-0000-000004000000}"/>
    <cellStyle name="Moeda 4" xfId="28" xr:uid="{8158547C-6D33-4770-BC0A-F4BE3D34BE81}"/>
    <cellStyle name="Moeda 5" xfId="32" xr:uid="{CAF3C8EC-417D-492F-BEE7-EBA5052D56FB}"/>
    <cellStyle name="Normal" xfId="0" builtinId="0"/>
    <cellStyle name="Normal 2" xfId="6" xr:uid="{00000000-0005-0000-0000-000006000000}"/>
    <cellStyle name="Normal 2 2" xfId="7" xr:uid="{00000000-0005-0000-0000-000007000000}"/>
    <cellStyle name="Normal 2 3" xfId="17" xr:uid="{33601D6B-ACCF-4421-8222-D4DE9EC6F680}"/>
    <cellStyle name="Normal 2 9" xfId="24" xr:uid="{785E0B55-1CC7-4911-8A04-077D084C0904}"/>
    <cellStyle name="Normal 3" xfId="8" xr:uid="{00000000-0005-0000-0000-000008000000}"/>
    <cellStyle name="Normal 4" xfId="9" xr:uid="{00000000-0005-0000-0000-000009000000}"/>
    <cellStyle name="Normal 5" xfId="21" xr:uid="{7626BA90-E504-4D9F-8898-9E8C0770A640}"/>
    <cellStyle name="Normal 6" xfId="25" xr:uid="{D5577184-8D77-433C-AC65-C5EEAADE6400}"/>
    <cellStyle name="Normal 7" xfId="29" xr:uid="{6C526479-F3EF-4FE1-9DCA-561A466E4297}"/>
    <cellStyle name="Porcentagem" xfId="19" builtinId="5"/>
    <cellStyle name="Porcentagem 2" xfId="10" xr:uid="{00000000-0005-0000-0000-00000B000000}"/>
    <cellStyle name="Porcentagem 2 2" xfId="11" xr:uid="{00000000-0005-0000-0000-00000C000000}"/>
    <cellStyle name="Porcentagem 2 3" xfId="20" xr:uid="{1FAEBA53-1600-43F8-A89F-BC8F8AC8914D}"/>
    <cellStyle name="Porcentagem 3" xfId="12" xr:uid="{00000000-0005-0000-0000-00000D000000}"/>
    <cellStyle name="Porcentagem 4" xfId="23" xr:uid="{4E2866EE-9B6D-42A7-9709-BB62588171D9}"/>
    <cellStyle name="Porcentagem 5" xfId="27" xr:uid="{C22B5E34-3BD5-4498-843C-9AE0723B7788}"/>
    <cellStyle name="Porcentagem 6" xfId="31" xr:uid="{98F76F42-E04F-4EF5-8E32-0356CF172318}"/>
    <cellStyle name="Separador de milhares 2" xfId="14" xr:uid="{00000000-0005-0000-0000-00000E000000}"/>
    <cellStyle name="Separador de milhares 2 2" xfId="15" xr:uid="{00000000-0005-0000-0000-00000F000000}"/>
    <cellStyle name="Separador de milhares 3" xfId="16" xr:uid="{00000000-0005-0000-0000-000010000000}"/>
    <cellStyle name="Vírgula" xfId="13" builtinId="3"/>
    <cellStyle name="Vírgula 2" xfId="18" xr:uid="{2AFDBA96-6832-450F-92F3-13C3D078DAA9}"/>
    <cellStyle name="Vírgula 3" xfId="22" xr:uid="{95901B02-FB75-4DFC-BC54-5D42E50AF799}"/>
    <cellStyle name="Vírgula 4" xfId="26" xr:uid="{01E857B8-1E6A-4806-8A5E-AFCEC4E31090}"/>
    <cellStyle name="Vírgula 5" xfId="30" xr:uid="{51ED0D97-0F2F-4A06-B2C8-FBE7E7CB96C9}"/>
  </cellStyles>
  <dxfs count="3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9FFB3"/>
      <rgbColor rgb="00CCFFFF"/>
      <rgbColor rgb="00660066"/>
      <rgbColor rgb="00FF8080"/>
      <rgbColor rgb="000066CC"/>
      <rgbColor rgb="00CCCCFF"/>
      <rgbColor rgb="00000080"/>
      <rgbColor rgb="00FF00FF"/>
      <rgbColor rgb="00FFDD4B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558ED5"/>
      <rgbColor rgb="0033CCCC"/>
      <rgbColor rgb="0099CC00"/>
      <rgbColor rgb="00FFCC00"/>
      <rgbColor rgb="00FFC000"/>
      <rgbColor rgb="00FF6600"/>
      <rgbColor rgb="004F81BD"/>
      <rgbColor rgb="00BFBFBF"/>
      <rgbColor rgb="00003366"/>
      <rgbColor rgb="0000B050"/>
      <rgbColor rgb="00003300"/>
      <rgbColor rgb="00333300"/>
      <rgbColor rgb="00993300"/>
      <rgbColor rgb="00993366"/>
      <rgbColor rgb="00333399"/>
      <rgbColor rgb="00333333"/>
    </indexedColors>
    <mruColors>
      <color rgb="FF92CDDC"/>
      <color rgb="FFFF8080"/>
      <color rgb="FF063E9A"/>
      <color rgb="FFD7D7D7"/>
      <color rgb="FFE4DFEC"/>
      <color rgb="FFCC99FF"/>
      <color rgb="FFFFFF66"/>
      <color rgb="FFF2F2F2"/>
      <color rgb="FF0000FF"/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1</xdr:row>
      <xdr:rowOff>60960</xdr:rowOff>
    </xdr:from>
    <xdr:to>
      <xdr:col>1</xdr:col>
      <xdr:colOff>365760</xdr:colOff>
      <xdr:row>1</xdr:row>
      <xdr:rowOff>426720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879BE436-325D-4FE6-B121-78DC78C5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60960"/>
          <a:ext cx="36576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100520</xdr:colOff>
      <xdr:row>2</xdr:row>
      <xdr:rowOff>38100</xdr:rowOff>
    </xdr:from>
    <xdr:to>
      <xdr:col>1</xdr:col>
      <xdr:colOff>1203303</xdr:colOff>
      <xdr:row>3</xdr:row>
      <xdr:rowOff>104775</xdr:rowOff>
    </xdr:to>
    <xdr:pic>
      <xdr:nvPicPr>
        <xdr:cNvPr id="9112" name="Imagem 4">
          <a:extLst>
            <a:ext uri="{FF2B5EF4-FFF2-40B4-BE49-F238E27FC236}">
              <a16:creationId xmlns:a16="http://schemas.microsoft.com/office/drawing/2014/main" id="{00000000-0008-0000-0200-00009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6103" y="334433"/>
          <a:ext cx="1102783" cy="236009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47625</xdr:rowOff>
    </xdr:from>
    <xdr:ext cx="746759" cy="680887"/>
    <xdr:pic>
      <xdr:nvPicPr>
        <xdr:cNvPr id="2" name="Picture 1">
          <a:extLst>
            <a:ext uri="{FF2B5EF4-FFF2-40B4-BE49-F238E27FC236}">
              <a16:creationId xmlns:a16="http://schemas.microsoft.com/office/drawing/2014/main" id="{5AE99D39-4067-4023-9261-9BF60662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47625"/>
          <a:ext cx="746759" cy="6808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Igor%20-%20Pessoal/Cenarios/VIPMX/Projeto%20Fluxo%20de%20caixa.xlsx" TargetMode="External"/><Relationship Id="rId2" Type="http://schemas.openxmlformats.org/officeDocument/2006/relationships/externalLinkPath" Target="https://beneficiosmotiva-my.sharepoint.com/personal/igor_motivabeneficios_com_br/Documents/&#193;rea%20de%20Trabalho/Igor%20-%20Pessoal/Cenarios/VIPMX/Projeto%20Fluxo%20de%20caixa.xlsx" TargetMode="External"/><Relationship Id="rId1" Type="http://schemas.openxmlformats.org/officeDocument/2006/relationships/externalLinkPath" Target="/personal/igor_motivabeneficios_com_br/Documents/&#193;rea%20de%20Trabalho/Igor%20-%20Pessoal/Cenarios/VIPMX/Projeto%20Fluxo%20de%20caix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 Despesa Total "/>
      <sheetName val="Orçado vs Previsto "/>
      <sheetName val="Fluxo BIG"/>
      <sheetName val="Fluxo VTBSB"/>
      <sheetName val="Fluxo KIM"/>
      <sheetName val="Dash"/>
      <sheetName val="Fluxo caixa KIM-BIG"/>
      <sheetName val="Orçamento v4"/>
      <sheetName val="Despesas VTBSB"/>
      <sheetName val="Receitas VTBSB"/>
      <sheetName val="Receitas KIM "/>
      <sheetName val="Despesas"/>
      <sheetName val="Receita Motiva"/>
      <sheetName val="Motiva"/>
      <sheetName val="Natureza Tacom"/>
      <sheetName val="TB-Dinamica"/>
      <sheetName val="Receitas BIG"/>
      <sheetName val="Folha Cenário 2 (2)"/>
      <sheetName val="Base material PPT"/>
      <sheetName val="Fluxo caixa"/>
      <sheetName val="Projeto Fluxo de caix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 t="str">
            <v>KIM</v>
          </cell>
        </row>
        <row r="189">
          <cell r="B189">
            <v>45474</v>
          </cell>
        </row>
        <row r="190">
          <cell r="B190">
            <v>45475</v>
          </cell>
        </row>
        <row r="191">
          <cell r="B191">
            <v>45476</v>
          </cell>
        </row>
        <row r="192">
          <cell r="B192">
            <v>45477</v>
          </cell>
        </row>
        <row r="193">
          <cell r="B193">
            <v>45478</v>
          </cell>
        </row>
        <row r="194">
          <cell r="B194">
            <v>45481</v>
          </cell>
        </row>
        <row r="195">
          <cell r="B195">
            <v>45482</v>
          </cell>
        </row>
        <row r="196">
          <cell r="B196">
            <v>45483</v>
          </cell>
        </row>
        <row r="197">
          <cell r="B197">
            <v>45484</v>
          </cell>
        </row>
        <row r="198">
          <cell r="B198">
            <v>45485</v>
          </cell>
        </row>
        <row r="199">
          <cell r="B199">
            <v>45488</v>
          </cell>
        </row>
        <row r="200">
          <cell r="B200">
            <v>45489</v>
          </cell>
        </row>
        <row r="201">
          <cell r="B201">
            <v>45490</v>
          </cell>
        </row>
        <row r="202">
          <cell r="B202">
            <v>45491</v>
          </cell>
        </row>
        <row r="203">
          <cell r="B203">
            <v>45492</v>
          </cell>
        </row>
        <row r="204">
          <cell r="B204">
            <v>45495</v>
          </cell>
        </row>
        <row r="205">
          <cell r="B205">
            <v>45496</v>
          </cell>
        </row>
        <row r="206">
          <cell r="B206">
            <v>45497</v>
          </cell>
        </row>
        <row r="207">
          <cell r="B207">
            <v>45498</v>
          </cell>
        </row>
        <row r="208">
          <cell r="B208">
            <v>45499</v>
          </cell>
        </row>
        <row r="209">
          <cell r="B209">
            <v>45502</v>
          </cell>
        </row>
        <row r="210">
          <cell r="B210">
            <v>45503</v>
          </cell>
        </row>
        <row r="211">
          <cell r="B211">
            <v>45504</v>
          </cell>
        </row>
        <row r="220">
          <cell r="B220">
            <v>45505</v>
          </cell>
        </row>
        <row r="221">
          <cell r="B221">
            <v>45506</v>
          </cell>
        </row>
        <row r="222">
          <cell r="B222">
            <v>45509</v>
          </cell>
        </row>
        <row r="223">
          <cell r="B223">
            <v>45510</v>
          </cell>
        </row>
        <row r="224">
          <cell r="B224">
            <v>45511</v>
          </cell>
        </row>
        <row r="225">
          <cell r="B225">
            <v>45512</v>
          </cell>
        </row>
        <row r="226">
          <cell r="B226">
            <v>45513</v>
          </cell>
        </row>
        <row r="227">
          <cell r="B227">
            <v>45516</v>
          </cell>
        </row>
        <row r="228">
          <cell r="B228">
            <v>45517</v>
          </cell>
        </row>
        <row r="229">
          <cell r="B229">
            <v>45518</v>
          </cell>
        </row>
        <row r="230">
          <cell r="B230">
            <v>45519</v>
          </cell>
        </row>
        <row r="231">
          <cell r="B231">
            <v>45520</v>
          </cell>
        </row>
        <row r="232">
          <cell r="B232">
            <v>45523</v>
          </cell>
        </row>
        <row r="233">
          <cell r="B233">
            <v>45524</v>
          </cell>
        </row>
        <row r="234">
          <cell r="B234">
            <v>45525</v>
          </cell>
        </row>
        <row r="235">
          <cell r="B235">
            <v>45526</v>
          </cell>
        </row>
        <row r="236">
          <cell r="B236">
            <v>45527</v>
          </cell>
        </row>
        <row r="237">
          <cell r="B237">
            <v>45530</v>
          </cell>
        </row>
        <row r="238">
          <cell r="B238">
            <v>45531</v>
          </cell>
        </row>
        <row r="239">
          <cell r="B239">
            <v>45532</v>
          </cell>
        </row>
        <row r="240">
          <cell r="B240">
            <v>45533</v>
          </cell>
        </row>
        <row r="241">
          <cell r="B241">
            <v>45534</v>
          </cell>
        </row>
        <row r="250">
          <cell r="B250">
            <v>45537</v>
          </cell>
        </row>
        <row r="251">
          <cell r="B251">
            <v>45538</v>
          </cell>
        </row>
        <row r="252">
          <cell r="B252">
            <v>45539</v>
          </cell>
        </row>
        <row r="253">
          <cell r="B253">
            <v>45540</v>
          </cell>
        </row>
        <row r="254">
          <cell r="B254">
            <v>45541</v>
          </cell>
        </row>
        <row r="255">
          <cell r="B255">
            <v>45544</v>
          </cell>
        </row>
        <row r="256">
          <cell r="B256">
            <v>45545</v>
          </cell>
        </row>
        <row r="257">
          <cell r="B257">
            <v>45546</v>
          </cell>
        </row>
        <row r="258">
          <cell r="B258">
            <v>45547</v>
          </cell>
        </row>
        <row r="259">
          <cell r="B259">
            <v>45548</v>
          </cell>
        </row>
        <row r="260">
          <cell r="B260">
            <v>45551</v>
          </cell>
        </row>
        <row r="261">
          <cell r="B261">
            <v>45552</v>
          </cell>
        </row>
        <row r="262">
          <cell r="B262">
            <v>45553</v>
          </cell>
        </row>
        <row r="263">
          <cell r="B263">
            <v>45554</v>
          </cell>
        </row>
        <row r="264">
          <cell r="B264">
            <v>45555</v>
          </cell>
        </row>
        <row r="265">
          <cell r="B265">
            <v>45558</v>
          </cell>
        </row>
        <row r="266">
          <cell r="B266">
            <v>45559</v>
          </cell>
        </row>
        <row r="267">
          <cell r="B267">
            <v>45560</v>
          </cell>
        </row>
        <row r="268">
          <cell r="B268">
            <v>45561</v>
          </cell>
        </row>
        <row r="269">
          <cell r="B269">
            <v>45562</v>
          </cell>
        </row>
        <row r="270">
          <cell r="B270">
            <v>45565</v>
          </cell>
        </row>
        <row r="280">
          <cell r="B280">
            <v>45566</v>
          </cell>
        </row>
        <row r="281">
          <cell r="B281">
            <v>45567</v>
          </cell>
        </row>
        <row r="282">
          <cell r="B282">
            <v>45568</v>
          </cell>
        </row>
        <row r="283">
          <cell r="B283">
            <v>45569</v>
          </cell>
        </row>
        <row r="284">
          <cell r="B284">
            <v>45572</v>
          </cell>
        </row>
        <row r="285">
          <cell r="B285">
            <v>45573</v>
          </cell>
        </row>
        <row r="286">
          <cell r="B286">
            <v>45574</v>
          </cell>
        </row>
        <row r="287">
          <cell r="B287">
            <v>45575</v>
          </cell>
        </row>
        <row r="288">
          <cell r="B288">
            <v>45576</v>
          </cell>
        </row>
        <row r="289">
          <cell r="B289">
            <v>45579</v>
          </cell>
        </row>
        <row r="290">
          <cell r="B290">
            <v>45580</v>
          </cell>
        </row>
        <row r="291">
          <cell r="B291">
            <v>45581</v>
          </cell>
        </row>
        <row r="292">
          <cell r="B292">
            <v>45582</v>
          </cell>
        </row>
        <row r="293">
          <cell r="B293">
            <v>45583</v>
          </cell>
        </row>
        <row r="294">
          <cell r="B294">
            <v>45586</v>
          </cell>
        </row>
        <row r="295">
          <cell r="B295">
            <v>45587</v>
          </cell>
        </row>
        <row r="296">
          <cell r="B296">
            <v>45588</v>
          </cell>
        </row>
        <row r="297">
          <cell r="B297">
            <v>45589</v>
          </cell>
        </row>
        <row r="298">
          <cell r="B298">
            <v>45590</v>
          </cell>
        </row>
        <row r="299">
          <cell r="B299">
            <v>45593</v>
          </cell>
        </row>
        <row r="300">
          <cell r="B300">
            <v>45594</v>
          </cell>
        </row>
        <row r="301">
          <cell r="B301">
            <v>45595</v>
          </cell>
        </row>
        <row r="302">
          <cell r="B302">
            <v>45596</v>
          </cell>
        </row>
        <row r="310">
          <cell r="B310">
            <v>45597</v>
          </cell>
        </row>
        <row r="311">
          <cell r="B311">
            <v>45600</v>
          </cell>
        </row>
        <row r="312">
          <cell r="B312">
            <v>45601</v>
          </cell>
        </row>
        <row r="313">
          <cell r="B313">
            <v>45602</v>
          </cell>
        </row>
        <row r="314">
          <cell r="B314">
            <v>45603</v>
          </cell>
        </row>
        <row r="315">
          <cell r="B315">
            <v>45604</v>
          </cell>
        </row>
        <row r="316">
          <cell r="B316">
            <v>45607</v>
          </cell>
        </row>
        <row r="317">
          <cell r="B317">
            <v>45608</v>
          </cell>
        </row>
        <row r="318">
          <cell r="B318">
            <v>45609</v>
          </cell>
        </row>
        <row r="319">
          <cell r="B319">
            <v>45610</v>
          </cell>
        </row>
        <row r="320">
          <cell r="B320">
            <v>45611</v>
          </cell>
        </row>
        <row r="321">
          <cell r="B321">
            <v>45614</v>
          </cell>
        </row>
        <row r="322">
          <cell r="B322">
            <v>45615</v>
          </cell>
        </row>
        <row r="323">
          <cell r="B323">
            <v>45616</v>
          </cell>
        </row>
        <row r="324">
          <cell r="B324">
            <v>45617</v>
          </cell>
        </row>
        <row r="325">
          <cell r="B325">
            <v>45618</v>
          </cell>
        </row>
        <row r="326">
          <cell r="B326">
            <v>45621</v>
          </cell>
        </row>
        <row r="327">
          <cell r="B327">
            <v>45622</v>
          </cell>
        </row>
        <row r="328">
          <cell r="B328">
            <v>45623</v>
          </cell>
        </row>
        <row r="329">
          <cell r="B329">
            <v>45624</v>
          </cell>
        </row>
        <row r="330">
          <cell r="B330">
            <v>45625</v>
          </cell>
        </row>
      </sheetData>
      <sheetData sheetId="7" refreshError="1"/>
      <sheetData sheetId="8" refreshError="1"/>
      <sheetData sheetId="9" refreshError="1"/>
      <sheetData sheetId="10">
        <row r="3">
          <cell r="B3">
            <v>45293</v>
          </cell>
          <cell r="H3">
            <v>3990</v>
          </cell>
        </row>
        <row r="4">
          <cell r="B4">
            <v>45294</v>
          </cell>
          <cell r="H4">
            <v>1717.2</v>
          </cell>
        </row>
        <row r="5">
          <cell r="B5">
            <v>45294</v>
          </cell>
          <cell r="H5">
            <v>2207.1799999999998</v>
          </cell>
        </row>
        <row r="6">
          <cell r="B6">
            <v>45295</v>
          </cell>
          <cell r="H6">
            <v>0.03</v>
          </cell>
        </row>
        <row r="7">
          <cell r="B7">
            <v>45299</v>
          </cell>
          <cell r="H7">
            <v>30110</v>
          </cell>
        </row>
        <row r="8">
          <cell r="B8">
            <v>45301</v>
          </cell>
          <cell r="H8">
            <v>6798.55</v>
          </cell>
        </row>
        <row r="9">
          <cell r="B9">
            <v>45303</v>
          </cell>
          <cell r="H9">
            <v>47675</v>
          </cell>
        </row>
        <row r="10">
          <cell r="B10">
            <v>45306</v>
          </cell>
          <cell r="H10">
            <v>0.02</v>
          </cell>
        </row>
        <row r="11">
          <cell r="B11">
            <v>45310</v>
          </cell>
          <cell r="H11">
            <v>185495.3</v>
          </cell>
        </row>
        <row r="12">
          <cell r="B12">
            <v>45313</v>
          </cell>
          <cell r="H12">
            <v>4631.6400000000003</v>
          </cell>
        </row>
        <row r="13">
          <cell r="B13">
            <v>45313</v>
          </cell>
          <cell r="H13">
            <v>1455.13</v>
          </cell>
        </row>
        <row r="14">
          <cell r="B14">
            <v>45314</v>
          </cell>
          <cell r="H14">
            <v>2481.2600000000002</v>
          </cell>
        </row>
        <row r="15">
          <cell r="B15">
            <v>45314</v>
          </cell>
          <cell r="H15">
            <v>0.09</v>
          </cell>
        </row>
        <row r="16">
          <cell r="B16">
            <v>45317</v>
          </cell>
          <cell r="H16">
            <v>23310.87</v>
          </cell>
        </row>
        <row r="17">
          <cell r="B17">
            <v>45320</v>
          </cell>
          <cell r="H17">
            <v>0</v>
          </cell>
        </row>
        <row r="18">
          <cell r="B18">
            <v>45321</v>
          </cell>
          <cell r="H18">
            <v>106854.35</v>
          </cell>
        </row>
        <row r="19">
          <cell r="B19">
            <v>45322</v>
          </cell>
          <cell r="H19">
            <v>1102.5</v>
          </cell>
        </row>
        <row r="20">
          <cell r="B20">
            <v>45322</v>
          </cell>
          <cell r="H20">
            <v>3990</v>
          </cell>
        </row>
        <row r="21">
          <cell r="B21">
            <v>45322</v>
          </cell>
          <cell r="H21">
            <v>245</v>
          </cell>
        </row>
        <row r="22">
          <cell r="B22">
            <v>45322</v>
          </cell>
          <cell r="H22">
            <v>4767.63</v>
          </cell>
        </row>
        <row r="23">
          <cell r="B23">
            <v>45322</v>
          </cell>
          <cell r="H23">
            <v>226.8</v>
          </cell>
        </row>
        <row r="24">
          <cell r="B24">
            <v>45322</v>
          </cell>
          <cell r="H24">
            <v>3102.95</v>
          </cell>
        </row>
        <row r="25">
          <cell r="B25">
            <v>45322</v>
          </cell>
          <cell r="H25">
            <v>315.5</v>
          </cell>
        </row>
        <row r="26">
          <cell r="B26">
            <v>45322</v>
          </cell>
          <cell r="H26">
            <v>318.10000000000002</v>
          </cell>
        </row>
        <row r="27">
          <cell r="B27">
            <v>45322</v>
          </cell>
          <cell r="H27">
            <v>0</v>
          </cell>
        </row>
        <row r="28">
          <cell r="B28">
            <v>45323</v>
          </cell>
          <cell r="H28">
            <v>1814.4</v>
          </cell>
        </row>
        <row r="29">
          <cell r="B29">
            <v>45323</v>
          </cell>
          <cell r="H29">
            <v>1717.2</v>
          </cell>
        </row>
        <row r="30">
          <cell r="B30">
            <v>45323</v>
          </cell>
          <cell r="H30">
            <v>7487.47</v>
          </cell>
        </row>
        <row r="31">
          <cell r="B31">
            <v>45324</v>
          </cell>
          <cell r="H31">
            <v>1680</v>
          </cell>
        </row>
        <row r="32">
          <cell r="B32">
            <v>45327</v>
          </cell>
          <cell r="H32">
            <v>9032</v>
          </cell>
        </row>
        <row r="33">
          <cell r="B33">
            <v>45330</v>
          </cell>
          <cell r="H33">
            <v>0.04</v>
          </cell>
        </row>
        <row r="34">
          <cell r="B34">
            <v>45331</v>
          </cell>
          <cell r="H34">
            <v>15968</v>
          </cell>
        </row>
        <row r="35">
          <cell r="B35">
            <v>45341</v>
          </cell>
          <cell r="H35">
            <v>50000</v>
          </cell>
        </row>
        <row r="36">
          <cell r="B36">
            <v>45343</v>
          </cell>
          <cell r="H36">
            <v>3048.34</v>
          </cell>
        </row>
        <row r="37">
          <cell r="B37">
            <v>45344</v>
          </cell>
          <cell r="H37">
            <v>0.04</v>
          </cell>
        </row>
        <row r="38">
          <cell r="B38">
            <v>45345</v>
          </cell>
          <cell r="H38">
            <v>3896.2</v>
          </cell>
        </row>
        <row r="39">
          <cell r="B39">
            <v>45350</v>
          </cell>
          <cell r="H39">
            <v>183855.09</v>
          </cell>
        </row>
        <row r="40">
          <cell r="B40">
            <v>45350</v>
          </cell>
          <cell r="H40">
            <v>113841.82</v>
          </cell>
        </row>
        <row r="41">
          <cell r="B41">
            <v>45351</v>
          </cell>
          <cell r="H41">
            <v>1102.5</v>
          </cell>
        </row>
        <row r="42">
          <cell r="B42">
            <v>45351</v>
          </cell>
          <cell r="H42">
            <v>3990</v>
          </cell>
        </row>
        <row r="43">
          <cell r="B43">
            <v>45351</v>
          </cell>
          <cell r="H43">
            <v>7176.39</v>
          </cell>
        </row>
        <row r="44">
          <cell r="B44">
            <v>45351</v>
          </cell>
          <cell r="H44">
            <v>3113.45</v>
          </cell>
        </row>
        <row r="45">
          <cell r="B45">
            <v>45351</v>
          </cell>
          <cell r="H45">
            <v>336.68</v>
          </cell>
        </row>
        <row r="46">
          <cell r="B46">
            <v>45351</v>
          </cell>
          <cell r="H46">
            <v>303.75</v>
          </cell>
        </row>
        <row r="47">
          <cell r="B47">
            <v>45351</v>
          </cell>
        </row>
        <row r="48">
          <cell r="B48">
            <v>45351</v>
          </cell>
          <cell r="H48">
            <v>245</v>
          </cell>
        </row>
        <row r="49">
          <cell r="B49">
            <v>45351</v>
          </cell>
        </row>
        <row r="50">
          <cell r="B50">
            <v>45352</v>
          </cell>
          <cell r="H50">
            <v>226.8</v>
          </cell>
        </row>
        <row r="51">
          <cell r="B51">
            <v>45352</v>
          </cell>
          <cell r="H51">
            <v>1814.4</v>
          </cell>
        </row>
        <row r="52">
          <cell r="B52">
            <v>45352</v>
          </cell>
          <cell r="H52">
            <v>50000</v>
          </cell>
        </row>
        <row r="53">
          <cell r="B53">
            <v>45355</v>
          </cell>
          <cell r="H53">
            <v>1674.29</v>
          </cell>
        </row>
        <row r="54">
          <cell r="B54">
            <v>45355</v>
          </cell>
          <cell r="H54">
            <v>0.01</v>
          </cell>
        </row>
        <row r="55">
          <cell r="B55">
            <v>45356</v>
          </cell>
          <cell r="H55">
            <v>1.56</v>
          </cell>
        </row>
        <row r="56">
          <cell r="B56">
            <v>45356</v>
          </cell>
          <cell r="H56">
            <v>12368.07</v>
          </cell>
        </row>
        <row r="57">
          <cell r="B57">
            <v>45359</v>
          </cell>
          <cell r="H57">
            <v>0.01</v>
          </cell>
        </row>
        <row r="58">
          <cell r="B58">
            <v>45362</v>
          </cell>
          <cell r="H58">
            <v>63375</v>
          </cell>
        </row>
        <row r="59">
          <cell r="B59">
            <v>45365</v>
          </cell>
          <cell r="H59">
            <v>805</v>
          </cell>
        </row>
        <row r="60">
          <cell r="B60">
            <v>45365</v>
          </cell>
          <cell r="H60">
            <v>0.02</v>
          </cell>
        </row>
        <row r="61">
          <cell r="B61">
            <v>45366</v>
          </cell>
          <cell r="H61">
            <v>2198.0100000000002</v>
          </cell>
        </row>
        <row r="62">
          <cell r="B62">
            <v>45366</v>
          </cell>
          <cell r="H62">
            <v>159001.16</v>
          </cell>
        </row>
        <row r="63">
          <cell r="B63">
            <v>45371</v>
          </cell>
          <cell r="H63">
            <v>7.0000000000000007E-2</v>
          </cell>
        </row>
        <row r="64">
          <cell r="B64">
            <v>45372</v>
          </cell>
          <cell r="H64">
            <v>4129.66</v>
          </cell>
        </row>
        <row r="65">
          <cell r="B65">
            <v>45372</v>
          </cell>
          <cell r="H65">
            <v>2846.86</v>
          </cell>
        </row>
        <row r="66">
          <cell r="B66">
            <v>45373</v>
          </cell>
          <cell r="H66">
            <v>0.05</v>
          </cell>
        </row>
        <row r="67">
          <cell r="B67">
            <v>45376</v>
          </cell>
          <cell r="H67">
            <v>50000</v>
          </cell>
        </row>
        <row r="68">
          <cell r="B68">
            <v>45378</v>
          </cell>
          <cell r="H68">
            <v>0.01</v>
          </cell>
        </row>
        <row r="69">
          <cell r="B69">
            <v>45379</v>
          </cell>
          <cell r="H69">
            <v>137770.98000000001</v>
          </cell>
        </row>
        <row r="70">
          <cell r="B70">
            <v>45379</v>
          </cell>
          <cell r="H70">
            <v>1102.5</v>
          </cell>
        </row>
        <row r="71">
          <cell r="B71">
            <v>45379</v>
          </cell>
          <cell r="H71">
            <v>7368.42</v>
          </cell>
        </row>
        <row r="72">
          <cell r="B72">
            <v>45379</v>
          </cell>
        </row>
        <row r="73">
          <cell r="B73">
            <v>45379</v>
          </cell>
          <cell r="H73">
            <v>2663.58</v>
          </cell>
        </row>
        <row r="74">
          <cell r="B74">
            <v>45379</v>
          </cell>
          <cell r="H74">
            <v>311.3</v>
          </cell>
        </row>
        <row r="75">
          <cell r="B75">
            <v>45379</v>
          </cell>
          <cell r="H75">
            <v>291.47000000000003</v>
          </cell>
        </row>
        <row r="76">
          <cell r="B76">
            <v>45379</v>
          </cell>
        </row>
        <row r="77">
          <cell r="B77">
            <v>45383</v>
          </cell>
          <cell r="H77">
            <v>0.03</v>
          </cell>
        </row>
        <row r="78">
          <cell r="B78">
            <v>45383</v>
          </cell>
          <cell r="H78">
            <v>259.5</v>
          </cell>
        </row>
        <row r="79">
          <cell r="B79">
            <v>45383</v>
          </cell>
          <cell r="H79">
            <v>3990</v>
          </cell>
        </row>
        <row r="80">
          <cell r="B80">
            <v>45383</v>
          </cell>
          <cell r="H80">
            <v>247.46</v>
          </cell>
        </row>
        <row r="81">
          <cell r="B81">
            <v>45384</v>
          </cell>
          <cell r="H81">
            <v>1814.4</v>
          </cell>
        </row>
        <row r="82">
          <cell r="B82">
            <v>45384</v>
          </cell>
          <cell r="H82">
            <v>2355.11</v>
          </cell>
        </row>
        <row r="83">
          <cell r="B83">
            <v>45385</v>
          </cell>
          <cell r="H83">
            <v>50000</v>
          </cell>
        </row>
        <row r="84">
          <cell r="B84">
            <v>45385</v>
          </cell>
          <cell r="H84">
            <v>0.02</v>
          </cell>
        </row>
        <row r="85">
          <cell r="B85">
            <v>45387</v>
          </cell>
          <cell r="H85">
            <v>1786.62</v>
          </cell>
        </row>
        <row r="86">
          <cell r="B86">
            <v>45391</v>
          </cell>
          <cell r="H86">
            <v>490</v>
          </cell>
        </row>
        <row r="87">
          <cell r="B87">
            <v>45391</v>
          </cell>
          <cell r="H87">
            <v>522</v>
          </cell>
        </row>
        <row r="88">
          <cell r="B88">
            <v>45393</v>
          </cell>
          <cell r="H88">
            <v>50000</v>
          </cell>
        </row>
        <row r="89">
          <cell r="B89">
            <v>45393</v>
          </cell>
          <cell r="H89">
            <v>0.02</v>
          </cell>
        </row>
        <row r="90">
          <cell r="B90">
            <v>45394</v>
          </cell>
          <cell r="H90">
            <v>211214.59</v>
          </cell>
        </row>
        <row r="91">
          <cell r="B91">
            <v>45400</v>
          </cell>
          <cell r="H91">
            <v>4371.63</v>
          </cell>
        </row>
        <row r="92">
          <cell r="B92">
            <v>45401</v>
          </cell>
          <cell r="H92">
            <v>50000</v>
          </cell>
        </row>
        <row r="93">
          <cell r="B93">
            <v>45405</v>
          </cell>
          <cell r="H93">
            <v>2958.66</v>
          </cell>
        </row>
        <row r="94">
          <cell r="B94">
            <v>45405</v>
          </cell>
          <cell r="H94">
            <v>230262.31</v>
          </cell>
        </row>
        <row r="95">
          <cell r="B95">
            <v>45405</v>
          </cell>
          <cell r="H95">
            <v>0.1</v>
          </cell>
        </row>
        <row r="96">
          <cell r="B96">
            <v>45411</v>
          </cell>
          <cell r="H96">
            <v>0.01</v>
          </cell>
        </row>
        <row r="97">
          <cell r="B97">
            <v>45412</v>
          </cell>
          <cell r="H97">
            <v>1102.5</v>
          </cell>
        </row>
        <row r="98">
          <cell r="B98">
            <v>45412</v>
          </cell>
          <cell r="H98">
            <v>3990</v>
          </cell>
        </row>
        <row r="99">
          <cell r="B99">
            <v>45412</v>
          </cell>
          <cell r="H99">
            <v>4718.7</v>
          </cell>
        </row>
        <row r="100">
          <cell r="B100">
            <v>45412</v>
          </cell>
        </row>
        <row r="101">
          <cell r="B101">
            <v>45412</v>
          </cell>
          <cell r="H101">
            <v>246</v>
          </cell>
        </row>
        <row r="102">
          <cell r="B102">
            <v>45412</v>
          </cell>
          <cell r="H102">
            <v>270</v>
          </cell>
        </row>
        <row r="103">
          <cell r="B103">
            <v>45412</v>
          </cell>
          <cell r="H103">
            <v>490</v>
          </cell>
        </row>
        <row r="104">
          <cell r="B104">
            <v>45412</v>
          </cell>
          <cell r="H104">
            <v>3127.12</v>
          </cell>
        </row>
        <row r="105">
          <cell r="B105">
            <v>45412</v>
          </cell>
        </row>
        <row r="106">
          <cell r="B106">
            <v>45414</v>
          </cell>
          <cell r="H106">
            <v>1814.4</v>
          </cell>
        </row>
        <row r="107">
          <cell r="B107">
            <v>45414</v>
          </cell>
          <cell r="H107">
            <v>1717.2</v>
          </cell>
        </row>
        <row r="108">
          <cell r="B108">
            <v>45414</v>
          </cell>
          <cell r="H108">
            <v>0.01</v>
          </cell>
        </row>
        <row r="109">
          <cell r="B109">
            <v>45414</v>
          </cell>
          <cell r="H109">
            <v>2799.89</v>
          </cell>
        </row>
        <row r="110">
          <cell r="B110">
            <v>45418</v>
          </cell>
          <cell r="H110">
            <v>0.08</v>
          </cell>
        </row>
        <row r="111">
          <cell r="B111">
            <v>45422</v>
          </cell>
          <cell r="H111">
            <v>0.01</v>
          </cell>
        </row>
        <row r="112">
          <cell r="B112">
            <v>45422</v>
          </cell>
        </row>
        <row r="113">
          <cell r="B113">
            <v>45429</v>
          </cell>
          <cell r="H113">
            <v>267030.63</v>
          </cell>
        </row>
        <row r="114">
          <cell r="B114">
            <v>45432</v>
          </cell>
          <cell r="H114">
            <v>168028.14</v>
          </cell>
        </row>
        <row r="115">
          <cell r="B115">
            <v>45432</v>
          </cell>
        </row>
        <row r="116">
          <cell r="B116">
            <v>45433</v>
          </cell>
          <cell r="H116">
            <v>4172.7700000000004</v>
          </cell>
        </row>
        <row r="117">
          <cell r="B117">
            <v>45433</v>
          </cell>
          <cell r="H117">
            <v>0.02</v>
          </cell>
        </row>
        <row r="118">
          <cell r="B118">
            <v>45434</v>
          </cell>
          <cell r="H118">
            <v>19.21</v>
          </cell>
        </row>
        <row r="119">
          <cell r="B119">
            <v>45434</v>
          </cell>
          <cell r="H119">
            <v>0.02</v>
          </cell>
        </row>
        <row r="120">
          <cell r="B120">
            <v>45439</v>
          </cell>
          <cell r="H120">
            <v>7382.12</v>
          </cell>
        </row>
        <row r="121">
          <cell r="B121">
            <v>45440</v>
          </cell>
          <cell r="H121">
            <v>4521.95</v>
          </cell>
        </row>
        <row r="122">
          <cell r="B122">
            <v>45440</v>
          </cell>
          <cell r="H122">
            <v>0.02</v>
          </cell>
        </row>
        <row r="123">
          <cell r="B123">
            <v>45441</v>
          </cell>
          <cell r="H123">
            <v>1102.5</v>
          </cell>
        </row>
        <row r="124">
          <cell r="B124">
            <v>45441</v>
          </cell>
          <cell r="H124">
            <v>3990</v>
          </cell>
        </row>
        <row r="125">
          <cell r="B125">
            <v>45441</v>
          </cell>
          <cell r="H125">
            <v>4718.7</v>
          </cell>
        </row>
        <row r="126">
          <cell r="B126">
            <v>45441</v>
          </cell>
          <cell r="H126">
            <v>4343.1400000000003</v>
          </cell>
        </row>
        <row r="127">
          <cell r="B127">
            <v>45441</v>
          </cell>
          <cell r="H127">
            <v>246</v>
          </cell>
        </row>
        <row r="128">
          <cell r="B128">
            <v>45441</v>
          </cell>
          <cell r="H128">
            <v>490</v>
          </cell>
        </row>
        <row r="129">
          <cell r="B129">
            <v>45441</v>
          </cell>
          <cell r="H129">
            <v>270</v>
          </cell>
        </row>
        <row r="130">
          <cell r="B130">
            <v>45443</v>
          </cell>
        </row>
        <row r="131">
          <cell r="B131">
            <v>45443</v>
          </cell>
        </row>
        <row r="132">
          <cell r="B132">
            <v>45443</v>
          </cell>
          <cell r="H132">
            <v>1814.4</v>
          </cell>
        </row>
        <row r="133">
          <cell r="B133">
            <v>45447</v>
          </cell>
          <cell r="H133">
            <v>2398.48</v>
          </cell>
        </row>
        <row r="134">
          <cell r="B134">
            <v>45448</v>
          </cell>
          <cell r="H134">
            <v>0.01</v>
          </cell>
        </row>
        <row r="135">
          <cell r="B135">
            <v>45449</v>
          </cell>
          <cell r="H135">
            <v>0.01</v>
          </cell>
        </row>
        <row r="136">
          <cell r="B136">
            <v>45457</v>
          </cell>
          <cell r="H136">
            <v>2096.7199999999998</v>
          </cell>
        </row>
        <row r="137">
          <cell r="B137">
            <v>45460</v>
          </cell>
          <cell r="H137">
            <v>199361.14</v>
          </cell>
        </row>
        <row r="138">
          <cell r="B138">
            <v>45463</v>
          </cell>
          <cell r="H138">
            <v>3617.39</v>
          </cell>
        </row>
        <row r="139">
          <cell r="B139">
            <v>45464</v>
          </cell>
          <cell r="H139">
            <v>3641.42</v>
          </cell>
        </row>
        <row r="140">
          <cell r="B140">
            <v>45464</v>
          </cell>
          <cell r="H140">
            <v>0.01</v>
          </cell>
        </row>
        <row r="141">
          <cell r="B141">
            <v>45468</v>
          </cell>
          <cell r="H141">
            <v>138423.94</v>
          </cell>
        </row>
        <row r="142">
          <cell r="B142">
            <v>45469</v>
          </cell>
          <cell r="H142">
            <v>16</v>
          </cell>
        </row>
        <row r="143">
          <cell r="B143">
            <v>45470</v>
          </cell>
          <cell r="H143">
            <v>0.04</v>
          </cell>
        </row>
        <row r="144">
          <cell r="B144">
            <v>45471</v>
          </cell>
        </row>
        <row r="145">
          <cell r="B145">
            <v>45471</v>
          </cell>
          <cell r="H145">
            <v>1102.5</v>
          </cell>
        </row>
        <row r="146">
          <cell r="B146">
            <v>45471</v>
          </cell>
          <cell r="H146">
            <v>3990</v>
          </cell>
        </row>
        <row r="147">
          <cell r="B147">
            <v>45471</v>
          </cell>
          <cell r="H147">
            <v>4718.7</v>
          </cell>
        </row>
        <row r="148">
          <cell r="B148">
            <v>45471</v>
          </cell>
          <cell r="H148">
            <v>12.48</v>
          </cell>
        </row>
        <row r="149">
          <cell r="B149">
            <v>45471</v>
          </cell>
          <cell r="H149">
            <v>1373.2</v>
          </cell>
        </row>
        <row r="150">
          <cell r="B150">
            <v>45471</v>
          </cell>
        </row>
        <row r="151">
          <cell r="B151">
            <v>45471</v>
          </cell>
          <cell r="H151">
            <v>246</v>
          </cell>
        </row>
        <row r="152">
          <cell r="B152">
            <v>45474</v>
          </cell>
          <cell r="H152">
            <v>0.01</v>
          </cell>
        </row>
        <row r="153">
          <cell r="B153">
            <v>45474</v>
          </cell>
          <cell r="H153">
            <v>1813.5</v>
          </cell>
        </row>
        <row r="154">
          <cell r="B154">
            <v>45476</v>
          </cell>
          <cell r="H154">
            <v>270</v>
          </cell>
        </row>
        <row r="155">
          <cell r="B155">
            <v>45476</v>
          </cell>
          <cell r="H155">
            <v>2199.9</v>
          </cell>
        </row>
        <row r="156">
          <cell r="B156">
            <v>45478</v>
          </cell>
          <cell r="H156">
            <v>0.01</v>
          </cell>
        </row>
        <row r="157">
          <cell r="B157">
            <v>45481</v>
          </cell>
          <cell r="H157">
            <v>490</v>
          </cell>
        </row>
        <row r="158">
          <cell r="B158">
            <v>45482</v>
          </cell>
          <cell r="H158">
            <v>0.01</v>
          </cell>
        </row>
        <row r="159">
          <cell r="B159">
            <v>45482</v>
          </cell>
          <cell r="H159">
            <v>195736.05</v>
          </cell>
        </row>
        <row r="160">
          <cell r="B160">
            <v>45490</v>
          </cell>
          <cell r="H160">
            <v>0.02</v>
          </cell>
        </row>
        <row r="161">
          <cell r="B161">
            <v>45492</v>
          </cell>
          <cell r="H161">
            <v>1960.91</v>
          </cell>
        </row>
        <row r="162">
          <cell r="B162">
            <v>45495</v>
          </cell>
          <cell r="H162">
            <v>0.02</v>
          </cell>
        </row>
        <row r="163">
          <cell r="B163">
            <v>45495</v>
          </cell>
        </row>
        <row r="164">
          <cell r="B164">
            <v>45496</v>
          </cell>
          <cell r="H164">
            <v>3484.81</v>
          </cell>
        </row>
        <row r="165">
          <cell r="B165">
            <v>45496</v>
          </cell>
          <cell r="H165">
            <v>3348.83</v>
          </cell>
        </row>
        <row r="166">
          <cell r="B166">
            <v>45503</v>
          </cell>
          <cell r="H166">
            <v>152061.85999999999</v>
          </cell>
        </row>
        <row r="167">
          <cell r="B167">
            <v>45503</v>
          </cell>
          <cell r="H167">
            <v>161.69999999999999</v>
          </cell>
        </row>
        <row r="168">
          <cell r="B168">
            <v>45503</v>
          </cell>
          <cell r="H168">
            <v>1102.5</v>
          </cell>
        </row>
        <row r="169">
          <cell r="B169">
            <v>45503</v>
          </cell>
          <cell r="H169">
            <v>289.06</v>
          </cell>
        </row>
        <row r="170">
          <cell r="B170">
            <v>45504</v>
          </cell>
          <cell r="H170">
            <v>3990</v>
          </cell>
        </row>
        <row r="171">
          <cell r="B171">
            <v>45504</v>
          </cell>
          <cell r="H171">
            <v>5439.2</v>
          </cell>
        </row>
        <row r="172">
          <cell r="B172">
            <v>45504</v>
          </cell>
          <cell r="H172">
            <v>270</v>
          </cell>
        </row>
        <row r="173">
          <cell r="B173">
            <v>45504</v>
          </cell>
          <cell r="H173">
            <v>2282.0700000000002</v>
          </cell>
        </row>
        <row r="174">
          <cell r="B174">
            <v>45504</v>
          </cell>
          <cell r="H174">
            <v>0</v>
          </cell>
        </row>
        <row r="175">
          <cell r="B175">
            <v>45505</v>
          </cell>
          <cell r="H175">
            <v>1910.4</v>
          </cell>
        </row>
        <row r="176">
          <cell r="B176">
            <v>45505</v>
          </cell>
          <cell r="H176">
            <v>1920</v>
          </cell>
        </row>
        <row r="177">
          <cell r="B177">
            <v>45505</v>
          </cell>
          <cell r="H177">
            <v>0.01</v>
          </cell>
        </row>
        <row r="178">
          <cell r="B178">
            <v>45506</v>
          </cell>
          <cell r="H178">
            <v>2325.33</v>
          </cell>
        </row>
        <row r="179">
          <cell r="B179">
            <v>45510</v>
          </cell>
          <cell r="H179">
            <v>191.1</v>
          </cell>
        </row>
        <row r="180">
          <cell r="B180">
            <v>45513</v>
          </cell>
          <cell r="H180">
            <v>0.01</v>
          </cell>
        </row>
        <row r="181">
          <cell r="B181">
            <v>45516</v>
          </cell>
          <cell r="H181">
            <v>223645.11</v>
          </cell>
        </row>
        <row r="182">
          <cell r="B182">
            <v>45520</v>
          </cell>
          <cell r="H182">
            <v>490</v>
          </cell>
        </row>
        <row r="183">
          <cell r="B183">
            <v>45520</v>
          </cell>
          <cell r="H183">
            <v>3596.02</v>
          </cell>
        </row>
        <row r="184">
          <cell r="B184">
            <v>45520</v>
          </cell>
          <cell r="H184">
            <v>191.1</v>
          </cell>
        </row>
        <row r="185">
          <cell r="B185">
            <v>45525</v>
          </cell>
          <cell r="H185">
            <v>4641.8500000000004</v>
          </cell>
        </row>
        <row r="186">
          <cell r="B186">
            <v>45525</v>
          </cell>
          <cell r="H186">
            <v>7.0000000000000007E-2</v>
          </cell>
        </row>
        <row r="187">
          <cell r="B187">
            <v>45527</v>
          </cell>
        </row>
        <row r="188">
          <cell r="B188">
            <v>45533</v>
          </cell>
          <cell r="H188">
            <v>180197.49</v>
          </cell>
        </row>
        <row r="189">
          <cell r="B189">
            <v>45534</v>
          </cell>
          <cell r="H189">
            <v>0.08</v>
          </cell>
        </row>
        <row r="190">
          <cell r="B190">
            <v>45534</v>
          </cell>
          <cell r="H190">
            <v>1102.5</v>
          </cell>
        </row>
        <row r="191">
          <cell r="B191">
            <v>45534</v>
          </cell>
          <cell r="H191">
            <v>4135.6000000000004</v>
          </cell>
        </row>
        <row r="192">
          <cell r="B192">
            <v>45534</v>
          </cell>
          <cell r="H192">
            <v>4718.7</v>
          </cell>
        </row>
        <row r="193">
          <cell r="B193">
            <v>45534</v>
          </cell>
          <cell r="H193">
            <v>0</v>
          </cell>
        </row>
        <row r="194">
          <cell r="B194">
            <v>45534</v>
          </cell>
          <cell r="H194">
            <v>507.13</v>
          </cell>
        </row>
        <row r="195">
          <cell r="B195">
            <v>45534</v>
          </cell>
          <cell r="H195">
            <v>2732.29</v>
          </cell>
        </row>
        <row r="196">
          <cell r="B196">
            <v>45534</v>
          </cell>
          <cell r="H196">
            <v>0</v>
          </cell>
        </row>
        <row r="197">
          <cell r="B197">
            <v>45534</v>
          </cell>
          <cell r="H197">
            <v>345</v>
          </cell>
        </row>
        <row r="198">
          <cell r="B198">
            <v>45537</v>
          </cell>
          <cell r="H198">
            <v>0.01</v>
          </cell>
        </row>
        <row r="199">
          <cell r="B199">
            <v>45537</v>
          </cell>
          <cell r="H199">
            <v>2165</v>
          </cell>
        </row>
        <row r="200">
          <cell r="B200">
            <v>45537</v>
          </cell>
          <cell r="H200">
            <v>1868.4</v>
          </cell>
        </row>
        <row r="201">
          <cell r="B201">
            <v>45538</v>
          </cell>
          <cell r="H201">
            <v>0.05</v>
          </cell>
        </row>
        <row r="202">
          <cell r="B202">
            <v>45540</v>
          </cell>
          <cell r="H202">
            <v>2582.54</v>
          </cell>
        </row>
        <row r="203">
          <cell r="B203">
            <v>45540</v>
          </cell>
          <cell r="H203">
            <v>270</v>
          </cell>
        </row>
        <row r="204">
          <cell r="B204">
            <v>45545</v>
          </cell>
          <cell r="H204">
            <v>137866.17000000001</v>
          </cell>
        </row>
        <row r="205">
          <cell r="B205">
            <v>45546</v>
          </cell>
          <cell r="H205">
            <v>0.14000000000000001</v>
          </cell>
        </row>
        <row r="206">
          <cell r="B206">
            <v>45548</v>
          </cell>
          <cell r="H206">
            <v>216496.49</v>
          </cell>
        </row>
        <row r="207">
          <cell r="B207">
            <v>45554</v>
          </cell>
          <cell r="H207">
            <v>3602.48</v>
          </cell>
        </row>
        <row r="208">
          <cell r="B208">
            <v>45555</v>
          </cell>
          <cell r="H208">
            <v>173012.01</v>
          </cell>
        </row>
        <row r="209">
          <cell r="B209">
            <v>45558</v>
          </cell>
          <cell r="H209">
            <v>3417.2</v>
          </cell>
        </row>
        <row r="210">
          <cell r="B210">
            <v>45559</v>
          </cell>
          <cell r="H210">
            <v>490</v>
          </cell>
        </row>
        <row r="211">
          <cell r="B211">
            <v>45565</v>
          </cell>
          <cell r="H211">
            <v>1102.5</v>
          </cell>
        </row>
        <row r="212">
          <cell r="B212">
            <v>45565</v>
          </cell>
          <cell r="H212">
            <v>4256</v>
          </cell>
        </row>
        <row r="213">
          <cell r="B213">
            <v>45565</v>
          </cell>
          <cell r="H213">
            <v>4718.7</v>
          </cell>
        </row>
        <row r="214">
          <cell r="B214">
            <v>45565</v>
          </cell>
          <cell r="H214">
            <v>0</v>
          </cell>
        </row>
        <row r="215">
          <cell r="B215">
            <v>45565</v>
          </cell>
          <cell r="H215">
            <v>2462.86</v>
          </cell>
        </row>
        <row r="216">
          <cell r="B216">
            <v>45565</v>
          </cell>
          <cell r="H216">
            <v>0</v>
          </cell>
        </row>
        <row r="217">
          <cell r="B217">
            <v>45565</v>
          </cell>
          <cell r="H217">
            <v>345</v>
          </cell>
        </row>
        <row r="218">
          <cell r="B218">
            <v>45565</v>
          </cell>
          <cell r="H218">
            <v>191.1</v>
          </cell>
        </row>
        <row r="219">
          <cell r="B219">
            <v>45565</v>
          </cell>
          <cell r="H219">
            <v>324.3</v>
          </cell>
        </row>
        <row r="220">
          <cell r="B220">
            <v>45566</v>
          </cell>
          <cell r="H220">
            <v>0.01</v>
          </cell>
        </row>
        <row r="221">
          <cell r="B221">
            <v>45566</v>
          </cell>
          <cell r="H221">
            <v>3237.23</v>
          </cell>
        </row>
        <row r="222">
          <cell r="B222">
            <v>45566</v>
          </cell>
          <cell r="H222">
            <v>2160</v>
          </cell>
        </row>
        <row r="223">
          <cell r="B223">
            <v>45566</v>
          </cell>
          <cell r="H223">
            <v>1868.4</v>
          </cell>
        </row>
        <row r="224">
          <cell r="B224">
            <v>45567</v>
          </cell>
          <cell r="H224">
            <v>5747.56</v>
          </cell>
        </row>
        <row r="225">
          <cell r="B225">
            <v>45573</v>
          </cell>
          <cell r="H225">
            <v>270</v>
          </cell>
        </row>
        <row r="226">
          <cell r="B226">
            <v>45575</v>
          </cell>
          <cell r="H226">
            <v>4013.21</v>
          </cell>
        </row>
        <row r="227">
          <cell r="B227">
            <v>45576</v>
          </cell>
          <cell r="H227">
            <v>260455.02</v>
          </cell>
        </row>
        <row r="228">
          <cell r="B228">
            <v>45576</v>
          </cell>
          <cell r="H228">
            <v>0.03</v>
          </cell>
        </row>
        <row r="229">
          <cell r="B229">
            <v>45581</v>
          </cell>
          <cell r="H229">
            <v>333.96</v>
          </cell>
        </row>
        <row r="230">
          <cell r="B230">
            <v>45586</v>
          </cell>
          <cell r="H230">
            <v>174513.94</v>
          </cell>
        </row>
        <row r="231">
          <cell r="B231">
            <v>45587</v>
          </cell>
          <cell r="H231">
            <v>295000</v>
          </cell>
        </row>
        <row r="232">
          <cell r="B232">
            <v>45587</v>
          </cell>
          <cell r="H232">
            <v>4185.3599999999997</v>
          </cell>
        </row>
        <row r="233">
          <cell r="B233">
            <v>45588</v>
          </cell>
          <cell r="H233">
            <v>125000</v>
          </cell>
        </row>
        <row r="234">
          <cell r="B234">
            <v>45590</v>
          </cell>
          <cell r="H234">
            <v>0.01</v>
          </cell>
        </row>
        <row r="235">
          <cell r="B235">
            <v>45593</v>
          </cell>
          <cell r="H235">
            <v>161.69999999999999</v>
          </cell>
        </row>
        <row r="236">
          <cell r="B236">
            <v>45593</v>
          </cell>
          <cell r="H236">
            <v>1868.4</v>
          </cell>
        </row>
        <row r="237">
          <cell r="B237">
            <v>45596</v>
          </cell>
          <cell r="H237">
            <v>1102.5</v>
          </cell>
        </row>
        <row r="238">
          <cell r="B238">
            <v>45596</v>
          </cell>
          <cell r="H238">
            <v>4256</v>
          </cell>
        </row>
        <row r="239">
          <cell r="B239">
            <v>45596</v>
          </cell>
          <cell r="H239">
            <v>4718.7</v>
          </cell>
        </row>
        <row r="240">
          <cell r="B240">
            <v>45596</v>
          </cell>
          <cell r="H240">
            <v>270</v>
          </cell>
        </row>
        <row r="241">
          <cell r="B241">
            <v>45596</v>
          </cell>
        </row>
        <row r="242">
          <cell r="B242">
            <v>45596</v>
          </cell>
          <cell r="H242">
            <v>2846.11</v>
          </cell>
        </row>
        <row r="243">
          <cell r="B243">
            <v>45596</v>
          </cell>
          <cell r="H243">
            <v>345</v>
          </cell>
        </row>
        <row r="244">
          <cell r="B244">
            <v>45596</v>
          </cell>
          <cell r="H244">
            <v>324.3</v>
          </cell>
        </row>
        <row r="245">
          <cell r="B245">
            <v>45596</v>
          </cell>
          <cell r="H245">
            <v>191.1</v>
          </cell>
        </row>
        <row r="246">
          <cell r="B246">
            <v>45596</v>
          </cell>
          <cell r="H246">
            <v>0.05</v>
          </cell>
        </row>
        <row r="247">
          <cell r="B247">
            <v>45597</v>
          </cell>
          <cell r="H247">
            <v>2160</v>
          </cell>
        </row>
        <row r="248">
          <cell r="B248">
            <v>45597</v>
          </cell>
          <cell r="H248">
            <v>5747.56</v>
          </cell>
        </row>
        <row r="249">
          <cell r="B249">
            <v>45601</v>
          </cell>
          <cell r="H249">
            <v>3570</v>
          </cell>
        </row>
        <row r="250">
          <cell r="B250">
            <v>45601</v>
          </cell>
          <cell r="H250">
            <v>390000</v>
          </cell>
        </row>
        <row r="251">
          <cell r="B251">
            <v>45602</v>
          </cell>
          <cell r="H251">
            <v>202698.28</v>
          </cell>
        </row>
        <row r="252">
          <cell r="B252">
            <v>45607</v>
          </cell>
        </row>
        <row r="253">
          <cell r="B253">
            <v>45607</v>
          </cell>
          <cell r="H253">
            <v>70000</v>
          </cell>
        </row>
        <row r="254">
          <cell r="B254">
            <v>45607</v>
          </cell>
          <cell r="H254">
            <v>0.01</v>
          </cell>
        </row>
        <row r="255">
          <cell r="B255">
            <v>45608</v>
          </cell>
          <cell r="H255">
            <v>217074.64</v>
          </cell>
        </row>
        <row r="256">
          <cell r="B256">
            <v>45609</v>
          </cell>
          <cell r="H256">
            <v>0.01</v>
          </cell>
        </row>
        <row r="257">
          <cell r="B257">
            <v>45615</v>
          </cell>
          <cell r="H257">
            <v>490</v>
          </cell>
        </row>
        <row r="258">
          <cell r="B258">
            <v>45617</v>
          </cell>
          <cell r="H258">
            <v>4176.6899999999996</v>
          </cell>
        </row>
        <row r="259">
          <cell r="B259">
            <v>45617</v>
          </cell>
          <cell r="H259">
            <v>0.01</v>
          </cell>
        </row>
        <row r="260">
          <cell r="B260">
            <v>45618</v>
          </cell>
          <cell r="H260">
            <v>2693.64</v>
          </cell>
        </row>
        <row r="261">
          <cell r="B261">
            <v>45618</v>
          </cell>
          <cell r="H261">
            <v>3862.99</v>
          </cell>
        </row>
        <row r="262">
          <cell r="B262">
            <v>45621</v>
          </cell>
          <cell r="H262">
            <v>0.01</v>
          </cell>
        </row>
        <row r="263">
          <cell r="B263">
            <v>45625</v>
          </cell>
        </row>
        <row r="264">
          <cell r="B264">
            <v>45625</v>
          </cell>
        </row>
        <row r="265">
          <cell r="B265">
            <v>45625</v>
          </cell>
        </row>
        <row r="266">
          <cell r="B266">
            <v>45625</v>
          </cell>
        </row>
        <row r="267">
          <cell r="B267">
            <v>45625</v>
          </cell>
        </row>
        <row r="268">
          <cell r="B268">
            <v>45625</v>
          </cell>
        </row>
        <row r="269">
          <cell r="B269">
            <v>45625</v>
          </cell>
        </row>
        <row r="270">
          <cell r="B270">
            <v>45629</v>
          </cell>
        </row>
        <row r="271">
          <cell r="B271">
            <v>45629</v>
          </cell>
        </row>
        <row r="272">
          <cell r="B272">
            <v>45629</v>
          </cell>
        </row>
        <row r="273">
          <cell r="B273">
            <v>45631</v>
          </cell>
        </row>
        <row r="274">
          <cell r="B274">
            <v>45631</v>
          </cell>
        </row>
        <row r="275">
          <cell r="B275">
            <v>45636</v>
          </cell>
        </row>
        <row r="276">
          <cell r="B276">
            <v>45642</v>
          </cell>
        </row>
        <row r="277">
          <cell r="B277">
            <v>45646</v>
          </cell>
        </row>
        <row r="278">
          <cell r="B278">
            <v>45646</v>
          </cell>
        </row>
        <row r="279">
          <cell r="B279">
            <v>45656</v>
          </cell>
        </row>
        <row r="280">
          <cell r="B280">
            <v>45656</v>
          </cell>
        </row>
        <row r="281">
          <cell r="B281">
            <v>45656</v>
          </cell>
        </row>
        <row r="282">
          <cell r="B282">
            <v>45656</v>
          </cell>
        </row>
        <row r="283">
          <cell r="B283">
            <v>45656</v>
          </cell>
        </row>
        <row r="284">
          <cell r="B284">
            <v>45656</v>
          </cell>
        </row>
        <row r="285">
          <cell r="B285">
            <v>45656</v>
          </cell>
        </row>
        <row r="286">
          <cell r="B286">
            <v>45656</v>
          </cell>
        </row>
        <row r="287">
          <cell r="B287">
            <v>45656</v>
          </cell>
        </row>
        <row r="288">
          <cell r="B288">
            <v>45656</v>
          </cell>
        </row>
        <row r="289">
          <cell r="B289">
            <v>45660</v>
          </cell>
        </row>
        <row r="290">
          <cell r="B290">
            <v>45660</v>
          </cell>
        </row>
        <row r="291">
          <cell r="B291">
            <v>45660</v>
          </cell>
        </row>
        <row r="292">
          <cell r="B292">
            <v>45663</v>
          </cell>
        </row>
        <row r="293">
          <cell r="B293">
            <v>45667</v>
          </cell>
        </row>
        <row r="294">
          <cell r="B294">
            <v>45672</v>
          </cell>
        </row>
        <row r="295">
          <cell r="B295">
            <v>45677</v>
          </cell>
        </row>
        <row r="296">
          <cell r="B296">
            <v>45677</v>
          </cell>
        </row>
        <row r="297">
          <cell r="B297">
            <v>45688</v>
          </cell>
        </row>
        <row r="298">
          <cell r="B298">
            <v>45688</v>
          </cell>
        </row>
        <row r="299">
          <cell r="B299">
            <v>45688</v>
          </cell>
        </row>
        <row r="300">
          <cell r="B300">
            <v>45688</v>
          </cell>
        </row>
        <row r="301">
          <cell r="B301">
            <v>45688</v>
          </cell>
        </row>
        <row r="302">
          <cell r="B302">
            <v>45688</v>
          </cell>
        </row>
        <row r="303">
          <cell r="B303">
            <v>45688</v>
          </cell>
        </row>
        <row r="304">
          <cell r="B304">
            <v>45688</v>
          </cell>
        </row>
        <row r="305">
          <cell r="B305">
            <v>45688</v>
          </cell>
        </row>
        <row r="306">
          <cell r="B306">
            <v>45691</v>
          </cell>
        </row>
        <row r="307">
          <cell r="B307">
            <v>45691</v>
          </cell>
        </row>
        <row r="308">
          <cell r="B308">
            <v>45695</v>
          </cell>
        </row>
        <row r="309">
          <cell r="B309">
            <v>45695</v>
          </cell>
        </row>
        <row r="310">
          <cell r="B310">
            <v>45698</v>
          </cell>
        </row>
        <row r="311">
          <cell r="B311">
            <v>45705</v>
          </cell>
        </row>
        <row r="312">
          <cell r="B312">
            <v>45708</v>
          </cell>
        </row>
        <row r="313">
          <cell r="B313">
            <v>45708</v>
          </cell>
        </row>
        <row r="314">
          <cell r="B314">
            <v>45716</v>
          </cell>
        </row>
        <row r="315">
          <cell r="B315">
            <v>45716</v>
          </cell>
        </row>
        <row r="316">
          <cell r="B316">
            <v>45716</v>
          </cell>
        </row>
        <row r="317">
          <cell r="B317">
            <v>45716</v>
          </cell>
        </row>
        <row r="318">
          <cell r="B318">
            <v>45716</v>
          </cell>
        </row>
        <row r="319">
          <cell r="B319">
            <v>45716</v>
          </cell>
        </row>
        <row r="320">
          <cell r="B320">
            <v>45716</v>
          </cell>
        </row>
        <row r="321">
          <cell r="B321">
            <v>45716</v>
          </cell>
        </row>
        <row r="322">
          <cell r="B322">
            <v>45716</v>
          </cell>
        </row>
        <row r="323">
          <cell r="B323">
            <v>45719</v>
          </cell>
        </row>
        <row r="324">
          <cell r="B324">
            <v>45719</v>
          </cell>
        </row>
        <row r="325">
          <cell r="B325">
            <v>45723</v>
          </cell>
        </row>
        <row r="326">
          <cell r="B326">
            <v>45723</v>
          </cell>
        </row>
        <row r="327">
          <cell r="B327">
            <v>45726</v>
          </cell>
        </row>
        <row r="328">
          <cell r="B328">
            <v>45730</v>
          </cell>
        </row>
        <row r="329">
          <cell r="B329">
            <v>45736</v>
          </cell>
        </row>
        <row r="330">
          <cell r="B330">
            <v>45736</v>
          </cell>
        </row>
        <row r="331">
          <cell r="B331">
            <v>45747</v>
          </cell>
        </row>
        <row r="332">
          <cell r="B332">
            <v>45747</v>
          </cell>
        </row>
        <row r="333">
          <cell r="B333">
            <v>45747</v>
          </cell>
        </row>
        <row r="334">
          <cell r="B334">
            <v>45747</v>
          </cell>
        </row>
        <row r="335">
          <cell r="B335">
            <v>45747</v>
          </cell>
        </row>
        <row r="336">
          <cell r="B336">
            <v>45747</v>
          </cell>
        </row>
        <row r="337">
          <cell r="B337">
            <v>45747</v>
          </cell>
        </row>
        <row r="338">
          <cell r="B338">
            <v>45747</v>
          </cell>
        </row>
        <row r="339">
          <cell r="B339">
            <v>45749</v>
          </cell>
        </row>
        <row r="340">
          <cell r="B340">
            <v>45749</v>
          </cell>
        </row>
        <row r="341">
          <cell r="B341">
            <v>45754</v>
          </cell>
        </row>
        <row r="342">
          <cell r="B342">
            <v>45754</v>
          </cell>
        </row>
        <row r="343">
          <cell r="B343">
            <v>45757</v>
          </cell>
        </row>
        <row r="344">
          <cell r="B344">
            <v>45768</v>
          </cell>
        </row>
        <row r="345">
          <cell r="B345">
            <v>45768</v>
          </cell>
        </row>
        <row r="346">
          <cell r="B346">
            <v>45768</v>
          </cell>
        </row>
        <row r="347">
          <cell r="B347">
            <v>45777</v>
          </cell>
        </row>
        <row r="348">
          <cell r="B348">
            <v>45777</v>
          </cell>
        </row>
        <row r="349">
          <cell r="B349">
            <v>45777</v>
          </cell>
        </row>
        <row r="350">
          <cell r="B350">
            <v>45777</v>
          </cell>
        </row>
        <row r="351">
          <cell r="B351">
            <v>45777</v>
          </cell>
        </row>
        <row r="352">
          <cell r="B352">
            <v>45777</v>
          </cell>
        </row>
        <row r="353">
          <cell r="B353">
            <v>45777</v>
          </cell>
        </row>
        <row r="354">
          <cell r="B354">
            <v>45777</v>
          </cell>
        </row>
        <row r="355">
          <cell r="B355">
            <v>45782</v>
          </cell>
        </row>
        <row r="356">
          <cell r="B356">
            <v>45782</v>
          </cell>
        </row>
        <row r="357">
          <cell r="B357">
            <v>45782</v>
          </cell>
        </row>
        <row r="358">
          <cell r="B358">
            <v>45786</v>
          </cell>
        </row>
        <row r="359">
          <cell r="B359">
            <v>45789</v>
          </cell>
        </row>
        <row r="360">
          <cell r="B360">
            <v>45797</v>
          </cell>
        </row>
        <row r="361">
          <cell r="B361">
            <v>45797</v>
          </cell>
        </row>
        <row r="362">
          <cell r="B362">
            <v>45797</v>
          </cell>
        </row>
        <row r="363">
          <cell r="B363">
            <v>45807</v>
          </cell>
        </row>
        <row r="364">
          <cell r="B364">
            <v>45807</v>
          </cell>
        </row>
        <row r="365">
          <cell r="B365">
            <v>45807</v>
          </cell>
        </row>
        <row r="366">
          <cell r="B366">
            <v>45807</v>
          </cell>
        </row>
        <row r="367">
          <cell r="B367">
            <v>45807</v>
          </cell>
        </row>
        <row r="368">
          <cell r="B368">
            <v>45807</v>
          </cell>
        </row>
        <row r="369">
          <cell r="B369">
            <v>45807</v>
          </cell>
        </row>
        <row r="370">
          <cell r="B370">
            <v>45807</v>
          </cell>
        </row>
        <row r="371">
          <cell r="B371">
            <v>45811</v>
          </cell>
        </row>
        <row r="372">
          <cell r="B372">
            <v>45811</v>
          </cell>
        </row>
        <row r="373">
          <cell r="B373">
            <v>45811</v>
          </cell>
        </row>
        <row r="374">
          <cell r="B374">
            <v>45814</v>
          </cell>
        </row>
        <row r="375">
          <cell r="B375">
            <v>45818</v>
          </cell>
        </row>
        <row r="376">
          <cell r="B376">
            <v>45828</v>
          </cell>
        </row>
        <row r="377">
          <cell r="B377">
            <v>45828</v>
          </cell>
        </row>
        <row r="378">
          <cell r="B378">
            <v>45828</v>
          </cell>
        </row>
        <row r="379">
          <cell r="B379">
            <v>45838</v>
          </cell>
        </row>
        <row r="380">
          <cell r="B380">
            <v>45838</v>
          </cell>
        </row>
        <row r="381">
          <cell r="B381">
            <v>45838</v>
          </cell>
        </row>
        <row r="382">
          <cell r="B382">
            <v>45838</v>
          </cell>
        </row>
        <row r="383">
          <cell r="B383">
            <v>45838</v>
          </cell>
        </row>
        <row r="384">
          <cell r="B384">
            <v>45838</v>
          </cell>
        </row>
        <row r="385">
          <cell r="B385">
            <v>45838</v>
          </cell>
        </row>
        <row r="386">
          <cell r="B386">
            <v>45838</v>
          </cell>
        </row>
      </sheetData>
      <sheetData sheetId="11">
        <row r="4">
          <cell r="A4">
            <v>45292</v>
          </cell>
        </row>
        <row r="5">
          <cell r="A5">
            <v>45292</v>
          </cell>
        </row>
        <row r="6">
          <cell r="A6">
            <v>45292</v>
          </cell>
        </row>
        <row r="7">
          <cell r="A7">
            <v>45292</v>
          </cell>
        </row>
        <row r="8">
          <cell r="A8">
            <v>45292</v>
          </cell>
        </row>
        <row r="9">
          <cell r="A9">
            <v>45292</v>
          </cell>
        </row>
        <row r="10">
          <cell r="A10">
            <v>45292</v>
          </cell>
        </row>
        <row r="11">
          <cell r="A11">
            <v>45292</v>
          </cell>
        </row>
        <row r="12">
          <cell r="A12">
            <v>45292</v>
          </cell>
        </row>
        <row r="13">
          <cell r="A13">
            <v>45292</v>
          </cell>
        </row>
        <row r="14">
          <cell r="A14">
            <v>45292</v>
          </cell>
        </row>
        <row r="15">
          <cell r="A15">
            <v>45292</v>
          </cell>
        </row>
        <row r="16">
          <cell r="A16">
            <v>45293</v>
          </cell>
          <cell r="H16">
            <v>63692.74</v>
          </cell>
          <cell r="M16" t="str">
            <v>KIM</v>
          </cell>
        </row>
        <row r="17">
          <cell r="A17">
            <v>45293</v>
          </cell>
          <cell r="H17">
            <v>14340.2</v>
          </cell>
          <cell r="M17" t="str">
            <v>KIM</v>
          </cell>
        </row>
        <row r="18">
          <cell r="A18">
            <v>45293</v>
          </cell>
          <cell r="H18">
            <v>8000</v>
          </cell>
          <cell r="M18" t="str">
            <v>KIM</v>
          </cell>
        </row>
        <row r="19">
          <cell r="A19">
            <v>45293</v>
          </cell>
          <cell r="H19">
            <v>2268</v>
          </cell>
          <cell r="M19" t="str">
            <v>KIM</v>
          </cell>
        </row>
        <row r="20">
          <cell r="A20">
            <v>45293</v>
          </cell>
          <cell r="H20">
            <v>2257</v>
          </cell>
          <cell r="M20" t="str">
            <v>KIM</v>
          </cell>
        </row>
        <row r="21">
          <cell r="A21">
            <v>45293</v>
          </cell>
          <cell r="H21">
            <v>216</v>
          </cell>
          <cell r="M21" t="str">
            <v>KIM</v>
          </cell>
        </row>
        <row r="22">
          <cell r="A22">
            <v>45294</v>
          </cell>
          <cell r="H22">
            <v>61</v>
          </cell>
          <cell r="M22" t="str">
            <v>KIM</v>
          </cell>
        </row>
        <row r="23">
          <cell r="A23">
            <v>45294</v>
          </cell>
          <cell r="H23">
            <v>17.5</v>
          </cell>
          <cell r="M23" t="str">
            <v>KIM</v>
          </cell>
        </row>
        <row r="24">
          <cell r="A24">
            <v>45296</v>
          </cell>
          <cell r="H24">
            <v>65035.4</v>
          </cell>
          <cell r="M24" t="str">
            <v>KIM</v>
          </cell>
        </row>
        <row r="25">
          <cell r="A25">
            <v>45296</v>
          </cell>
          <cell r="H25">
            <v>6947.98</v>
          </cell>
          <cell r="M25" t="str">
            <v>TACOM</v>
          </cell>
        </row>
        <row r="26">
          <cell r="A26">
            <v>45296</v>
          </cell>
          <cell r="H26">
            <v>28729.99</v>
          </cell>
          <cell r="M26" t="str">
            <v>TACOM</v>
          </cell>
        </row>
        <row r="27">
          <cell r="A27">
            <v>45296</v>
          </cell>
          <cell r="H27">
            <v>1031.1200000000001</v>
          </cell>
          <cell r="M27" t="str">
            <v>TACOM</v>
          </cell>
        </row>
        <row r="28">
          <cell r="A28">
            <v>45296</v>
          </cell>
          <cell r="H28">
            <v>2462.92</v>
          </cell>
          <cell r="M28" t="str">
            <v>TACOM</v>
          </cell>
        </row>
        <row r="29">
          <cell r="A29">
            <v>45296</v>
          </cell>
          <cell r="H29">
            <v>42665.57</v>
          </cell>
          <cell r="M29" t="str">
            <v>KIM</v>
          </cell>
        </row>
        <row r="30">
          <cell r="A30">
            <v>45296</v>
          </cell>
          <cell r="H30">
            <v>40277.129999999997</v>
          </cell>
          <cell r="M30" t="str">
            <v>KIM</v>
          </cell>
        </row>
        <row r="31">
          <cell r="A31">
            <v>45296</v>
          </cell>
          <cell r="H31">
            <v>25913.98</v>
          </cell>
          <cell r="M31" t="str">
            <v>KIM</v>
          </cell>
        </row>
        <row r="32">
          <cell r="A32">
            <v>45296</v>
          </cell>
          <cell r="H32">
            <v>20000</v>
          </cell>
          <cell r="M32" t="str">
            <v>KIM</v>
          </cell>
        </row>
        <row r="33">
          <cell r="A33">
            <v>45296</v>
          </cell>
          <cell r="H33">
            <v>18770</v>
          </cell>
          <cell r="M33" t="str">
            <v>KIM</v>
          </cell>
        </row>
        <row r="34">
          <cell r="A34">
            <v>45296</v>
          </cell>
          <cell r="H34">
            <v>17504.54</v>
          </cell>
          <cell r="M34" t="str">
            <v>KIM</v>
          </cell>
        </row>
        <row r="35">
          <cell r="A35">
            <v>45296</v>
          </cell>
          <cell r="H35">
            <v>16500</v>
          </cell>
          <cell r="M35" t="str">
            <v>KIM</v>
          </cell>
        </row>
        <row r="36">
          <cell r="A36">
            <v>45296</v>
          </cell>
          <cell r="H36">
            <v>9700</v>
          </cell>
          <cell r="M36" t="str">
            <v>KIM</v>
          </cell>
        </row>
        <row r="37">
          <cell r="A37">
            <v>45296</v>
          </cell>
          <cell r="H37">
            <v>9700</v>
          </cell>
          <cell r="M37" t="str">
            <v>KIM</v>
          </cell>
        </row>
        <row r="38">
          <cell r="A38">
            <v>45296</v>
          </cell>
          <cell r="H38">
            <v>1741.06</v>
          </cell>
          <cell r="M38" t="str">
            <v>KIM</v>
          </cell>
        </row>
        <row r="39">
          <cell r="A39">
            <v>45296</v>
          </cell>
          <cell r="H39">
            <v>900</v>
          </cell>
          <cell r="M39" t="str">
            <v>KIM</v>
          </cell>
        </row>
        <row r="40">
          <cell r="A40">
            <v>45296</v>
          </cell>
          <cell r="H40">
            <v>362.03</v>
          </cell>
          <cell r="M40" t="str">
            <v>KIM</v>
          </cell>
        </row>
        <row r="41">
          <cell r="A41">
            <v>45299</v>
          </cell>
          <cell r="H41">
            <v>182519.48</v>
          </cell>
          <cell r="M41" t="str">
            <v>KIM</v>
          </cell>
        </row>
        <row r="42">
          <cell r="A42">
            <v>45299</v>
          </cell>
          <cell r="H42">
            <v>30110</v>
          </cell>
          <cell r="M42" t="str">
            <v>KIM</v>
          </cell>
        </row>
        <row r="43">
          <cell r="A43">
            <v>45299</v>
          </cell>
          <cell r="H43">
            <v>5999.9</v>
          </cell>
          <cell r="M43" t="str">
            <v>KIM</v>
          </cell>
        </row>
        <row r="44">
          <cell r="A44">
            <v>45299</v>
          </cell>
          <cell r="H44">
            <v>5999.9</v>
          </cell>
          <cell r="M44" t="str">
            <v>KIM</v>
          </cell>
        </row>
        <row r="45">
          <cell r="A45">
            <v>45299</v>
          </cell>
          <cell r="H45">
            <v>5604.43</v>
          </cell>
          <cell r="M45" t="str">
            <v>KIM</v>
          </cell>
        </row>
        <row r="46">
          <cell r="A46">
            <v>45299</v>
          </cell>
          <cell r="H46">
            <v>4417.6899999999996</v>
          </cell>
          <cell r="M46" t="str">
            <v>KIM</v>
          </cell>
        </row>
        <row r="47">
          <cell r="A47">
            <v>45301</v>
          </cell>
          <cell r="H47">
            <v>27500</v>
          </cell>
          <cell r="M47" t="str">
            <v>KIM</v>
          </cell>
        </row>
        <row r="48">
          <cell r="A48">
            <v>45301</v>
          </cell>
          <cell r="H48">
            <v>25000</v>
          </cell>
          <cell r="M48" t="str">
            <v>KIM</v>
          </cell>
        </row>
        <row r="49">
          <cell r="A49">
            <v>45301</v>
          </cell>
          <cell r="H49">
            <v>23600</v>
          </cell>
          <cell r="M49" t="str">
            <v>KIM</v>
          </cell>
        </row>
        <row r="50">
          <cell r="A50">
            <v>45301</v>
          </cell>
          <cell r="H50">
            <v>18914.400000000001</v>
          </cell>
          <cell r="M50" t="str">
            <v>KIM</v>
          </cell>
        </row>
        <row r="51">
          <cell r="A51">
            <v>45301</v>
          </cell>
          <cell r="H51">
            <v>18000</v>
          </cell>
          <cell r="M51" t="str">
            <v>KIM</v>
          </cell>
        </row>
        <row r="52">
          <cell r="A52">
            <v>45301</v>
          </cell>
          <cell r="H52">
            <v>17219.169999999998</v>
          </cell>
          <cell r="M52" t="str">
            <v>KIM</v>
          </cell>
        </row>
        <row r="53">
          <cell r="A53">
            <v>45301</v>
          </cell>
          <cell r="H53">
            <v>16318.4</v>
          </cell>
          <cell r="M53" t="str">
            <v>KIM</v>
          </cell>
        </row>
        <row r="54">
          <cell r="A54">
            <v>45301</v>
          </cell>
          <cell r="H54">
            <v>16000</v>
          </cell>
          <cell r="M54" t="str">
            <v>KIM</v>
          </cell>
        </row>
        <row r="55">
          <cell r="A55">
            <v>45301</v>
          </cell>
          <cell r="H55">
            <v>15236.6</v>
          </cell>
          <cell r="M55" t="str">
            <v>KIM</v>
          </cell>
        </row>
        <row r="56">
          <cell r="A56">
            <v>45301</v>
          </cell>
          <cell r="H56">
            <v>15000</v>
          </cell>
          <cell r="M56" t="str">
            <v>KIM</v>
          </cell>
        </row>
        <row r="57">
          <cell r="A57">
            <v>45301</v>
          </cell>
          <cell r="H57">
            <v>15000</v>
          </cell>
          <cell r="M57" t="str">
            <v>KIM</v>
          </cell>
        </row>
        <row r="58">
          <cell r="A58">
            <v>45301</v>
          </cell>
          <cell r="H58">
            <v>15000</v>
          </cell>
          <cell r="M58" t="str">
            <v>KIM</v>
          </cell>
        </row>
        <row r="59">
          <cell r="A59">
            <v>45301</v>
          </cell>
          <cell r="H59">
            <v>14250.81</v>
          </cell>
          <cell r="M59" t="str">
            <v>KIM</v>
          </cell>
        </row>
        <row r="60">
          <cell r="A60">
            <v>45301</v>
          </cell>
          <cell r="H60">
            <v>14077.5</v>
          </cell>
          <cell r="M60" t="str">
            <v>KIM</v>
          </cell>
        </row>
        <row r="61">
          <cell r="A61">
            <v>45301</v>
          </cell>
          <cell r="H61">
            <v>14000</v>
          </cell>
          <cell r="M61" t="str">
            <v>KIM</v>
          </cell>
        </row>
        <row r="62">
          <cell r="A62">
            <v>45301</v>
          </cell>
          <cell r="H62">
            <v>11944.64</v>
          </cell>
          <cell r="M62" t="str">
            <v>KIM</v>
          </cell>
        </row>
        <row r="63">
          <cell r="A63">
            <v>45301</v>
          </cell>
          <cell r="H63">
            <v>8202.35</v>
          </cell>
          <cell r="M63" t="str">
            <v>KIM</v>
          </cell>
        </row>
        <row r="64">
          <cell r="A64">
            <v>45301</v>
          </cell>
          <cell r="H64">
            <v>5366.65</v>
          </cell>
          <cell r="M64" t="str">
            <v>KIM</v>
          </cell>
        </row>
        <row r="65">
          <cell r="A65">
            <v>45301</v>
          </cell>
          <cell r="H65">
            <v>5000</v>
          </cell>
          <cell r="M65" t="str">
            <v>KIM</v>
          </cell>
        </row>
        <row r="66">
          <cell r="A66">
            <v>45301</v>
          </cell>
          <cell r="H66">
            <v>2900</v>
          </cell>
          <cell r="M66" t="str">
            <v>KIM</v>
          </cell>
        </row>
        <row r="67">
          <cell r="A67">
            <v>45301</v>
          </cell>
          <cell r="H67">
            <v>690</v>
          </cell>
          <cell r="M67" t="str">
            <v>KIM</v>
          </cell>
        </row>
        <row r="68">
          <cell r="A68">
            <v>45301</v>
          </cell>
          <cell r="H68">
            <v>300</v>
          </cell>
          <cell r="M68" t="str">
            <v>KIM</v>
          </cell>
        </row>
        <row r="69">
          <cell r="A69">
            <v>45301</v>
          </cell>
          <cell r="H69">
            <v>300</v>
          </cell>
          <cell r="M69" t="str">
            <v>KIM</v>
          </cell>
        </row>
        <row r="70">
          <cell r="A70">
            <v>45301</v>
          </cell>
          <cell r="H70">
            <v>267.77</v>
          </cell>
          <cell r="M70" t="str">
            <v>KIM</v>
          </cell>
        </row>
        <row r="71">
          <cell r="A71">
            <v>45301</v>
          </cell>
          <cell r="H71">
            <v>12.05</v>
          </cell>
          <cell r="M71" t="str">
            <v>KIM</v>
          </cell>
        </row>
        <row r="72">
          <cell r="A72">
            <v>45301</v>
          </cell>
          <cell r="H72">
            <v>0</v>
          </cell>
          <cell r="M72" t="str">
            <v>KIM</v>
          </cell>
        </row>
        <row r="73">
          <cell r="A73">
            <v>45301</v>
          </cell>
          <cell r="H73">
            <v>0</v>
          </cell>
          <cell r="M73" t="str">
            <v>KIM</v>
          </cell>
        </row>
        <row r="74">
          <cell r="A74">
            <v>45301</v>
          </cell>
          <cell r="H74">
            <v>0</v>
          </cell>
          <cell r="M74" t="str">
            <v>KIM</v>
          </cell>
        </row>
        <row r="75">
          <cell r="A75">
            <v>45301</v>
          </cell>
          <cell r="M75" t="str">
            <v>KIM</v>
          </cell>
        </row>
        <row r="76">
          <cell r="A76">
            <v>45301</v>
          </cell>
          <cell r="M76" t="str">
            <v>KIM</v>
          </cell>
        </row>
        <row r="77">
          <cell r="A77">
            <v>45303</v>
          </cell>
          <cell r="H77">
            <v>47675</v>
          </cell>
          <cell r="M77" t="str">
            <v>KIM</v>
          </cell>
        </row>
        <row r="78">
          <cell r="A78">
            <v>45303</v>
          </cell>
          <cell r="H78">
            <v>483.28</v>
          </cell>
          <cell r="M78" t="str">
            <v>KIM</v>
          </cell>
        </row>
        <row r="79">
          <cell r="A79">
            <v>45306</v>
          </cell>
          <cell r="H79">
            <v>1689.3</v>
          </cell>
          <cell r="M79" t="str">
            <v>KIM</v>
          </cell>
        </row>
        <row r="80">
          <cell r="A80">
            <v>45310</v>
          </cell>
          <cell r="H80">
            <v>9068.69</v>
          </cell>
          <cell r="M80" t="str">
            <v>KIM</v>
          </cell>
        </row>
        <row r="81">
          <cell r="A81">
            <v>45310</v>
          </cell>
          <cell r="H81">
            <v>5842.58</v>
          </cell>
          <cell r="M81" t="str">
            <v>KIM</v>
          </cell>
        </row>
        <row r="82">
          <cell r="A82">
            <v>45310</v>
          </cell>
          <cell r="H82">
            <v>2000</v>
          </cell>
          <cell r="M82" t="str">
            <v>KIM</v>
          </cell>
        </row>
        <row r="83">
          <cell r="A83">
            <v>45310</v>
          </cell>
          <cell r="H83">
            <v>1218.56</v>
          </cell>
          <cell r="M83" t="str">
            <v>KIM</v>
          </cell>
        </row>
        <row r="84">
          <cell r="A84">
            <v>45311</v>
          </cell>
          <cell r="H84">
            <v>74663.05</v>
          </cell>
          <cell r="M84" t="str">
            <v>TACOM</v>
          </cell>
        </row>
        <row r="85">
          <cell r="A85">
            <v>45311</v>
          </cell>
          <cell r="H85">
            <v>43172.17</v>
          </cell>
          <cell r="M85" t="str">
            <v>TACOM</v>
          </cell>
        </row>
        <row r="86">
          <cell r="A86">
            <v>45311</v>
          </cell>
          <cell r="M86" t="str">
            <v>KIM</v>
          </cell>
        </row>
        <row r="87">
          <cell r="A87">
            <v>45313</v>
          </cell>
          <cell r="H87">
            <v>76865.539999999994</v>
          </cell>
          <cell r="M87" t="str">
            <v>KIM</v>
          </cell>
        </row>
        <row r="88">
          <cell r="A88">
            <v>45313</v>
          </cell>
          <cell r="H88">
            <v>39168</v>
          </cell>
          <cell r="M88" t="str">
            <v>KIM</v>
          </cell>
        </row>
        <row r="89">
          <cell r="A89">
            <v>45313</v>
          </cell>
          <cell r="H89">
            <v>20000</v>
          </cell>
          <cell r="M89" t="str">
            <v>KIM</v>
          </cell>
        </row>
        <row r="90">
          <cell r="A90">
            <v>45313</v>
          </cell>
          <cell r="H90">
            <v>17564.78</v>
          </cell>
          <cell r="M90" t="str">
            <v>KIM</v>
          </cell>
        </row>
        <row r="91">
          <cell r="A91">
            <v>45313</v>
          </cell>
          <cell r="H91">
            <v>12502.7</v>
          </cell>
          <cell r="M91" t="str">
            <v>KIM</v>
          </cell>
        </row>
        <row r="92">
          <cell r="A92">
            <v>45313</v>
          </cell>
          <cell r="H92">
            <v>1500</v>
          </cell>
          <cell r="M92" t="str">
            <v>KIM</v>
          </cell>
        </row>
        <row r="93">
          <cell r="A93">
            <v>45313</v>
          </cell>
          <cell r="H93">
            <v>1455.13</v>
          </cell>
          <cell r="M93" t="str">
            <v>KIM</v>
          </cell>
        </row>
        <row r="94">
          <cell r="A94">
            <v>45313</v>
          </cell>
          <cell r="H94">
            <v>870</v>
          </cell>
          <cell r="M94" t="str">
            <v>KIM</v>
          </cell>
        </row>
        <row r="95">
          <cell r="A95">
            <v>45313</v>
          </cell>
          <cell r="H95">
            <v>32.9</v>
          </cell>
          <cell r="M95" t="str">
            <v>KIM</v>
          </cell>
        </row>
        <row r="96">
          <cell r="A96">
            <v>45313</v>
          </cell>
          <cell r="M96" t="str">
            <v>KIM</v>
          </cell>
        </row>
        <row r="97">
          <cell r="A97">
            <v>45314</v>
          </cell>
          <cell r="H97">
            <v>5999.9</v>
          </cell>
          <cell r="M97" t="str">
            <v>KIM</v>
          </cell>
        </row>
        <row r="98">
          <cell r="A98">
            <v>45314</v>
          </cell>
          <cell r="H98">
            <v>372.96</v>
          </cell>
          <cell r="M98" t="str">
            <v>KIM</v>
          </cell>
        </row>
        <row r="99">
          <cell r="A99">
            <v>45314</v>
          </cell>
          <cell r="H99">
            <v>2.5</v>
          </cell>
          <cell r="M99" t="str">
            <v>KIM</v>
          </cell>
        </row>
        <row r="100">
          <cell r="A100">
            <v>45315</v>
          </cell>
          <cell r="H100">
            <v>3028</v>
          </cell>
          <cell r="M100" t="str">
            <v>KIM</v>
          </cell>
        </row>
        <row r="101">
          <cell r="A101">
            <v>45315</v>
          </cell>
          <cell r="H101">
            <v>572.13</v>
          </cell>
          <cell r="M101" t="str">
            <v>KIM</v>
          </cell>
        </row>
        <row r="102">
          <cell r="A102">
            <v>45315</v>
          </cell>
          <cell r="H102">
            <v>175.52</v>
          </cell>
          <cell r="M102" t="str">
            <v>KIM</v>
          </cell>
        </row>
        <row r="103">
          <cell r="A103">
            <v>45316</v>
          </cell>
          <cell r="H103">
            <v>23310.87</v>
          </cell>
          <cell r="M103" t="str">
            <v>KIM</v>
          </cell>
        </row>
        <row r="104">
          <cell r="A104">
            <v>45316</v>
          </cell>
          <cell r="H104">
            <v>9346.41</v>
          </cell>
          <cell r="M104" t="str">
            <v>KIM</v>
          </cell>
        </row>
        <row r="105">
          <cell r="A105">
            <v>45316</v>
          </cell>
          <cell r="H105">
            <v>2025.05</v>
          </cell>
          <cell r="M105" t="str">
            <v>KIM</v>
          </cell>
        </row>
        <row r="106">
          <cell r="A106">
            <v>45316</v>
          </cell>
          <cell r="H106">
            <v>1096.2</v>
          </cell>
          <cell r="M106" t="str">
            <v>KIM</v>
          </cell>
        </row>
        <row r="107">
          <cell r="A107">
            <v>45320</v>
          </cell>
          <cell r="H107">
            <v>212</v>
          </cell>
          <cell r="M107" t="str">
            <v>KIM</v>
          </cell>
        </row>
        <row r="108">
          <cell r="A108">
            <v>45320</v>
          </cell>
          <cell r="H108">
            <v>212</v>
          </cell>
          <cell r="M108" t="str">
            <v>KIM</v>
          </cell>
        </row>
        <row r="109">
          <cell r="A109">
            <v>45320</v>
          </cell>
          <cell r="H109">
            <v>212</v>
          </cell>
          <cell r="M109" t="str">
            <v>KIM</v>
          </cell>
        </row>
        <row r="110">
          <cell r="A110">
            <v>45321</v>
          </cell>
          <cell r="H110">
            <v>56442.37</v>
          </cell>
          <cell r="M110" t="str">
            <v>KIM</v>
          </cell>
        </row>
        <row r="111">
          <cell r="A111">
            <v>45321</v>
          </cell>
          <cell r="H111">
            <v>45761.88</v>
          </cell>
          <cell r="M111" t="str">
            <v>KIM</v>
          </cell>
        </row>
        <row r="112">
          <cell r="A112">
            <v>45321</v>
          </cell>
          <cell r="H112">
            <v>41482.21</v>
          </cell>
          <cell r="M112" t="str">
            <v>KIM</v>
          </cell>
        </row>
        <row r="113">
          <cell r="A113">
            <v>45321</v>
          </cell>
          <cell r="H113">
            <v>18037</v>
          </cell>
          <cell r="M113" t="str">
            <v>KIM</v>
          </cell>
        </row>
        <row r="114">
          <cell r="A114">
            <v>45321</v>
          </cell>
          <cell r="M114" t="str">
            <v>TACOM</v>
          </cell>
        </row>
        <row r="115">
          <cell r="A115">
            <v>45321</v>
          </cell>
          <cell r="H115">
            <v>8000</v>
          </cell>
          <cell r="M115" t="str">
            <v>KIM</v>
          </cell>
        </row>
        <row r="116">
          <cell r="A116">
            <v>45321</v>
          </cell>
          <cell r="H116">
            <v>4581.43</v>
          </cell>
          <cell r="M116" t="str">
            <v>KIM</v>
          </cell>
        </row>
        <row r="117">
          <cell r="A117">
            <v>45321</v>
          </cell>
          <cell r="H117">
            <v>2266.88</v>
          </cell>
          <cell r="M117" t="str">
            <v>KIM</v>
          </cell>
        </row>
        <row r="118">
          <cell r="A118">
            <v>45321</v>
          </cell>
          <cell r="H118">
            <v>2254.0700000000002</v>
          </cell>
          <cell r="M118" t="str">
            <v>KIM</v>
          </cell>
        </row>
        <row r="119">
          <cell r="A119">
            <v>45321</v>
          </cell>
          <cell r="H119">
            <v>2248.1999999999998</v>
          </cell>
          <cell r="M119" t="str">
            <v>KIM</v>
          </cell>
        </row>
        <row r="120">
          <cell r="A120">
            <v>45321</v>
          </cell>
          <cell r="H120">
            <v>1027.3699999999999</v>
          </cell>
          <cell r="M120" t="str">
            <v>KIM</v>
          </cell>
        </row>
        <row r="121">
          <cell r="A121">
            <v>45321</v>
          </cell>
          <cell r="H121">
            <v>320</v>
          </cell>
          <cell r="M121" t="str">
            <v>KIM</v>
          </cell>
        </row>
        <row r="122">
          <cell r="A122">
            <v>45321</v>
          </cell>
          <cell r="H122">
            <v>216</v>
          </cell>
          <cell r="M122" t="str">
            <v>KIM</v>
          </cell>
        </row>
        <row r="123">
          <cell r="A123">
            <v>45321</v>
          </cell>
          <cell r="H123">
            <v>167</v>
          </cell>
          <cell r="M123" t="str">
            <v>KIM</v>
          </cell>
        </row>
        <row r="124">
          <cell r="A124">
            <v>45321</v>
          </cell>
          <cell r="H124">
            <v>124.15</v>
          </cell>
          <cell r="M124" t="str">
            <v>KIM</v>
          </cell>
        </row>
        <row r="125">
          <cell r="A125">
            <v>45321</v>
          </cell>
          <cell r="H125">
            <v>9.5500000000000007</v>
          </cell>
          <cell r="M125" t="str">
            <v>KIM</v>
          </cell>
        </row>
        <row r="126">
          <cell r="A126">
            <v>45321</v>
          </cell>
          <cell r="H126">
            <v>0</v>
          </cell>
          <cell r="M126" t="str">
            <v>KIM</v>
          </cell>
        </row>
        <row r="127">
          <cell r="A127">
            <v>45321</v>
          </cell>
          <cell r="H127">
            <v>0</v>
          </cell>
          <cell r="M127" t="str">
            <v>KIM</v>
          </cell>
        </row>
        <row r="128">
          <cell r="A128">
            <v>45321</v>
          </cell>
          <cell r="H128">
            <v>0</v>
          </cell>
          <cell r="M128" t="str">
            <v>KIM</v>
          </cell>
        </row>
        <row r="129">
          <cell r="A129">
            <v>45321</v>
          </cell>
          <cell r="M129" t="str">
            <v>KIM</v>
          </cell>
        </row>
        <row r="130">
          <cell r="A130">
            <v>45321</v>
          </cell>
          <cell r="M130" t="str">
            <v>KIM</v>
          </cell>
        </row>
        <row r="131">
          <cell r="A131">
            <v>45321</v>
          </cell>
          <cell r="M131" t="str">
            <v>KIM</v>
          </cell>
        </row>
        <row r="132">
          <cell r="A132">
            <v>45321</v>
          </cell>
          <cell r="M132" t="str">
            <v>KIM</v>
          </cell>
        </row>
        <row r="133">
          <cell r="A133">
            <v>45321</v>
          </cell>
          <cell r="M133" t="str">
            <v>KIM</v>
          </cell>
        </row>
        <row r="134">
          <cell r="A134">
            <v>45321</v>
          </cell>
          <cell r="M134" t="str">
            <v>KIM</v>
          </cell>
        </row>
        <row r="135">
          <cell r="A135">
            <v>45321</v>
          </cell>
          <cell r="M135" t="str">
            <v>KIM</v>
          </cell>
        </row>
        <row r="136">
          <cell r="A136">
            <v>45321</v>
          </cell>
          <cell r="M136" t="str">
            <v>KIM</v>
          </cell>
        </row>
        <row r="137">
          <cell r="A137">
            <v>45323</v>
          </cell>
          <cell r="H137">
            <v>2585.56</v>
          </cell>
          <cell r="M137" t="str">
            <v>KIM</v>
          </cell>
        </row>
        <row r="138">
          <cell r="A138">
            <v>45323</v>
          </cell>
          <cell r="H138">
            <v>297</v>
          </cell>
          <cell r="M138" t="str">
            <v>KIM</v>
          </cell>
        </row>
        <row r="139">
          <cell r="A139">
            <v>45323</v>
          </cell>
          <cell r="H139">
            <v>244.5</v>
          </cell>
          <cell r="M139" t="str">
            <v>KIM</v>
          </cell>
        </row>
        <row r="140">
          <cell r="A140">
            <v>45323</v>
          </cell>
          <cell r="H140">
            <v>244.5</v>
          </cell>
          <cell r="M140" t="str">
            <v>KIM</v>
          </cell>
        </row>
        <row r="141">
          <cell r="A141">
            <v>45323</v>
          </cell>
          <cell r="H141">
            <v>7.5</v>
          </cell>
          <cell r="M141" t="str">
            <v>KIM</v>
          </cell>
        </row>
        <row r="142">
          <cell r="A142">
            <v>45323</v>
          </cell>
        </row>
        <row r="143">
          <cell r="A143">
            <v>45323</v>
          </cell>
        </row>
        <row r="144">
          <cell r="A144">
            <v>45323</v>
          </cell>
        </row>
        <row r="145">
          <cell r="A145">
            <v>45323</v>
          </cell>
        </row>
        <row r="146">
          <cell r="A146">
            <v>45323</v>
          </cell>
        </row>
        <row r="147">
          <cell r="A147">
            <v>45323</v>
          </cell>
        </row>
        <row r="148">
          <cell r="A148">
            <v>45323</v>
          </cell>
        </row>
        <row r="149">
          <cell r="A149">
            <v>45323</v>
          </cell>
        </row>
        <row r="150">
          <cell r="A150">
            <v>45323</v>
          </cell>
        </row>
        <row r="151">
          <cell r="A151">
            <v>45323</v>
          </cell>
        </row>
        <row r="152">
          <cell r="A152">
            <v>45323</v>
          </cell>
        </row>
        <row r="153">
          <cell r="A153">
            <v>45323</v>
          </cell>
        </row>
        <row r="154">
          <cell r="A154">
            <v>45324</v>
          </cell>
          <cell r="H154">
            <v>73</v>
          </cell>
          <cell r="M154" t="str">
            <v>KIM</v>
          </cell>
        </row>
        <row r="155">
          <cell r="A155">
            <v>45324</v>
          </cell>
          <cell r="H155">
            <v>15</v>
          </cell>
          <cell r="M155" t="str">
            <v>KIM</v>
          </cell>
        </row>
        <row r="156">
          <cell r="A156">
            <v>45327</v>
          </cell>
          <cell r="H156">
            <v>50000</v>
          </cell>
          <cell r="M156" t="str">
            <v>KIM</v>
          </cell>
        </row>
        <row r="157">
          <cell r="A157">
            <v>45327</v>
          </cell>
          <cell r="H157">
            <v>27500</v>
          </cell>
          <cell r="M157" t="str">
            <v>KIM</v>
          </cell>
        </row>
        <row r="158">
          <cell r="A158">
            <v>45327</v>
          </cell>
          <cell r="H158">
            <v>25000</v>
          </cell>
          <cell r="M158" t="str">
            <v>KIM</v>
          </cell>
        </row>
        <row r="159">
          <cell r="A159">
            <v>45327</v>
          </cell>
          <cell r="H159">
            <v>18770</v>
          </cell>
          <cell r="M159" t="str">
            <v>KIM</v>
          </cell>
        </row>
        <row r="160">
          <cell r="A160">
            <v>45327</v>
          </cell>
          <cell r="H160">
            <v>17863.599999999999</v>
          </cell>
          <cell r="M160" t="str">
            <v>KIM</v>
          </cell>
        </row>
        <row r="161">
          <cell r="A161">
            <v>45327</v>
          </cell>
          <cell r="H161">
            <v>7032.98</v>
          </cell>
          <cell r="M161" t="str">
            <v>TACOM</v>
          </cell>
        </row>
        <row r="162">
          <cell r="A162">
            <v>45327</v>
          </cell>
          <cell r="H162">
            <v>3438.04</v>
          </cell>
          <cell r="M162" t="str">
            <v>TACOM</v>
          </cell>
        </row>
        <row r="163">
          <cell r="A163">
            <v>45327</v>
          </cell>
          <cell r="H163">
            <v>997.53</v>
          </cell>
          <cell r="M163" t="str">
            <v>TACOM</v>
          </cell>
        </row>
        <row r="164">
          <cell r="A164">
            <v>45327</v>
          </cell>
          <cell r="H164">
            <v>2462.92</v>
          </cell>
          <cell r="M164" t="str">
            <v>TACOM</v>
          </cell>
        </row>
        <row r="165">
          <cell r="A165">
            <v>45327</v>
          </cell>
          <cell r="H165">
            <v>804.8</v>
          </cell>
          <cell r="M165" t="str">
            <v>KIM</v>
          </cell>
        </row>
        <row r="166">
          <cell r="A166">
            <v>45328</v>
          </cell>
          <cell r="H166">
            <v>14587.11</v>
          </cell>
          <cell r="M166" t="str">
            <v>KIM</v>
          </cell>
        </row>
        <row r="167">
          <cell r="A167">
            <v>45328</v>
          </cell>
          <cell r="H167">
            <v>5868.88</v>
          </cell>
          <cell r="M167" t="str">
            <v>KIM</v>
          </cell>
        </row>
        <row r="168">
          <cell r="A168">
            <v>45328</v>
          </cell>
          <cell r="H168">
            <v>3854.22</v>
          </cell>
          <cell r="M168" t="str">
            <v>KIM</v>
          </cell>
        </row>
        <row r="169">
          <cell r="A169">
            <v>45330</v>
          </cell>
          <cell r="H169">
            <v>1270.83</v>
          </cell>
          <cell r="M169" t="str">
            <v>KIM</v>
          </cell>
        </row>
        <row r="170">
          <cell r="A170">
            <v>45331</v>
          </cell>
          <cell r="H170">
            <v>187588.62</v>
          </cell>
          <cell r="M170" t="str">
            <v>KIM</v>
          </cell>
        </row>
        <row r="171">
          <cell r="A171">
            <v>45331</v>
          </cell>
          <cell r="H171">
            <v>50000</v>
          </cell>
          <cell r="M171" t="str">
            <v>KIM</v>
          </cell>
        </row>
        <row r="172">
          <cell r="A172">
            <v>45331</v>
          </cell>
          <cell r="H172">
            <v>30000</v>
          </cell>
          <cell r="M172" t="str">
            <v>KIM</v>
          </cell>
        </row>
        <row r="173">
          <cell r="A173">
            <v>45331</v>
          </cell>
          <cell r="H173">
            <v>30000</v>
          </cell>
          <cell r="M173" t="str">
            <v>KIM</v>
          </cell>
        </row>
        <row r="174">
          <cell r="A174">
            <v>45331</v>
          </cell>
          <cell r="H174">
            <v>25000</v>
          </cell>
          <cell r="M174" t="str">
            <v>KIM</v>
          </cell>
        </row>
        <row r="175">
          <cell r="A175">
            <v>45331</v>
          </cell>
          <cell r="H175">
            <v>23600</v>
          </cell>
          <cell r="M175" t="str">
            <v>KIM</v>
          </cell>
        </row>
        <row r="176">
          <cell r="A176">
            <v>45331</v>
          </cell>
          <cell r="H176">
            <v>18914.400000000001</v>
          </cell>
          <cell r="M176" t="str">
            <v>KIM</v>
          </cell>
        </row>
        <row r="177">
          <cell r="A177">
            <v>45331</v>
          </cell>
          <cell r="H177">
            <v>18000</v>
          </cell>
          <cell r="M177" t="str">
            <v>KIM</v>
          </cell>
        </row>
        <row r="178">
          <cell r="A178">
            <v>45331</v>
          </cell>
          <cell r="H178">
            <v>17220.93</v>
          </cell>
          <cell r="M178" t="str">
            <v>KIM</v>
          </cell>
        </row>
        <row r="179">
          <cell r="A179">
            <v>45331</v>
          </cell>
          <cell r="H179">
            <v>16318.4</v>
          </cell>
          <cell r="M179" t="str">
            <v>KIM</v>
          </cell>
        </row>
        <row r="180">
          <cell r="A180">
            <v>45331</v>
          </cell>
          <cell r="H180">
            <v>16000</v>
          </cell>
          <cell r="M180" t="str">
            <v>KIM</v>
          </cell>
        </row>
        <row r="181">
          <cell r="A181">
            <v>45331</v>
          </cell>
          <cell r="H181">
            <v>15236.6</v>
          </cell>
          <cell r="M181" t="str">
            <v>KIM</v>
          </cell>
        </row>
        <row r="182">
          <cell r="A182">
            <v>45331</v>
          </cell>
          <cell r="H182">
            <v>15000</v>
          </cell>
          <cell r="M182" t="str">
            <v>KIM</v>
          </cell>
        </row>
        <row r="183">
          <cell r="A183">
            <v>45331</v>
          </cell>
          <cell r="H183">
            <v>15000</v>
          </cell>
          <cell r="M183" t="str">
            <v>KIM</v>
          </cell>
        </row>
        <row r="184">
          <cell r="A184">
            <v>45331</v>
          </cell>
          <cell r="H184">
            <v>1074.6099999999999</v>
          </cell>
          <cell r="M184" t="str">
            <v>Tacom</v>
          </cell>
        </row>
        <row r="185">
          <cell r="A185">
            <v>45331</v>
          </cell>
          <cell r="H185">
            <v>149.71</v>
          </cell>
          <cell r="M185" t="str">
            <v>Tacom</v>
          </cell>
        </row>
        <row r="186">
          <cell r="A186">
            <v>45331</v>
          </cell>
          <cell r="H186">
            <v>231.45</v>
          </cell>
          <cell r="M186" t="str">
            <v>Tacom</v>
          </cell>
        </row>
        <row r="187">
          <cell r="A187">
            <v>45331</v>
          </cell>
          <cell r="H187">
            <v>5547</v>
          </cell>
          <cell r="M187" t="str">
            <v>Tacom</v>
          </cell>
        </row>
        <row r="188">
          <cell r="A188">
            <v>45331</v>
          </cell>
          <cell r="H188">
            <v>75.209999999999994</v>
          </cell>
          <cell r="M188" t="str">
            <v>Tacom</v>
          </cell>
        </row>
        <row r="189">
          <cell r="A189">
            <v>45331</v>
          </cell>
          <cell r="H189">
            <v>14077.5</v>
          </cell>
          <cell r="M189" t="str">
            <v>KIM</v>
          </cell>
        </row>
        <row r="190">
          <cell r="A190">
            <v>45331</v>
          </cell>
          <cell r="H190">
            <v>14000</v>
          </cell>
          <cell r="M190" t="str">
            <v>KIM</v>
          </cell>
        </row>
        <row r="191">
          <cell r="A191">
            <v>45331</v>
          </cell>
          <cell r="H191">
            <v>12132.93</v>
          </cell>
          <cell r="M191" t="str">
            <v>KIM</v>
          </cell>
        </row>
        <row r="192">
          <cell r="A192">
            <v>45331</v>
          </cell>
          <cell r="H192">
            <v>8202.35</v>
          </cell>
          <cell r="M192" t="str">
            <v>KIM</v>
          </cell>
        </row>
        <row r="193">
          <cell r="A193">
            <v>45331</v>
          </cell>
          <cell r="H193">
            <v>5000</v>
          </cell>
          <cell r="M193" t="str">
            <v>KIM</v>
          </cell>
        </row>
        <row r="194">
          <cell r="A194">
            <v>45331</v>
          </cell>
          <cell r="H194">
            <v>5000</v>
          </cell>
          <cell r="M194" t="str">
            <v>KIM</v>
          </cell>
        </row>
        <row r="195">
          <cell r="A195">
            <v>45331</v>
          </cell>
          <cell r="H195">
            <v>873.81</v>
          </cell>
          <cell r="M195" t="str">
            <v>KIM</v>
          </cell>
        </row>
        <row r="196">
          <cell r="A196">
            <v>45331</v>
          </cell>
          <cell r="H196">
            <v>786.84</v>
          </cell>
          <cell r="M196" t="str">
            <v>KIM</v>
          </cell>
        </row>
        <row r="197">
          <cell r="A197">
            <v>45331</v>
          </cell>
          <cell r="H197">
            <v>483.28</v>
          </cell>
          <cell r="M197" t="str">
            <v>KIM</v>
          </cell>
        </row>
        <row r="198">
          <cell r="A198">
            <v>45331</v>
          </cell>
          <cell r="H198">
            <v>300</v>
          </cell>
          <cell r="M198" t="str">
            <v>KIM</v>
          </cell>
        </row>
        <row r="199">
          <cell r="A199">
            <v>45331</v>
          </cell>
          <cell r="H199">
            <v>138.26</v>
          </cell>
          <cell r="M199" t="str">
            <v>KIM</v>
          </cell>
        </row>
        <row r="200">
          <cell r="A200">
            <v>45331</v>
          </cell>
          <cell r="H200">
            <v>41.45</v>
          </cell>
          <cell r="M200" t="str">
            <v>KIM</v>
          </cell>
        </row>
        <row r="201">
          <cell r="A201">
            <v>45331</v>
          </cell>
          <cell r="H201">
            <v>9.5500000000000007</v>
          </cell>
          <cell r="M201" t="str">
            <v>KIM</v>
          </cell>
        </row>
        <row r="202">
          <cell r="A202">
            <v>45331</v>
          </cell>
          <cell r="M202" t="str">
            <v>KIM</v>
          </cell>
        </row>
        <row r="203">
          <cell r="A203">
            <v>45331</v>
          </cell>
          <cell r="M203" t="str">
            <v>KIM</v>
          </cell>
        </row>
        <row r="204">
          <cell r="A204">
            <v>45331</v>
          </cell>
          <cell r="M204" t="str">
            <v>KIM</v>
          </cell>
        </row>
        <row r="205">
          <cell r="A205">
            <v>45331</v>
          </cell>
          <cell r="M205" t="str">
            <v>KIM</v>
          </cell>
        </row>
        <row r="206">
          <cell r="A206">
            <v>45331</v>
          </cell>
          <cell r="M206" t="str">
            <v>KIM</v>
          </cell>
        </row>
        <row r="207">
          <cell r="A207">
            <v>45331</v>
          </cell>
          <cell r="M207" t="str">
            <v>KIM</v>
          </cell>
        </row>
        <row r="208">
          <cell r="A208">
            <v>45331</v>
          </cell>
          <cell r="M208" t="str">
            <v>KIM</v>
          </cell>
        </row>
        <row r="209">
          <cell r="A209">
            <v>45331</v>
          </cell>
          <cell r="M209" t="str">
            <v>KIM</v>
          </cell>
        </row>
        <row r="210">
          <cell r="A210">
            <v>45332</v>
          </cell>
          <cell r="M210" t="str">
            <v>KIM</v>
          </cell>
        </row>
        <row r="211">
          <cell r="A211">
            <v>45337</v>
          </cell>
          <cell r="H211">
            <v>15000</v>
          </cell>
          <cell r="M211" t="str">
            <v>KIM</v>
          </cell>
        </row>
        <row r="212">
          <cell r="A212">
            <v>45337</v>
          </cell>
          <cell r="H212">
            <v>4500</v>
          </cell>
          <cell r="M212" t="str">
            <v>KIM</v>
          </cell>
        </row>
        <row r="213">
          <cell r="A213">
            <v>45337</v>
          </cell>
          <cell r="H213">
            <v>1689.3</v>
          </cell>
          <cell r="M213" t="str">
            <v>KIM</v>
          </cell>
        </row>
        <row r="214">
          <cell r="A214">
            <v>45337</v>
          </cell>
          <cell r="H214">
            <v>1310</v>
          </cell>
          <cell r="M214" t="str">
            <v>KIM</v>
          </cell>
        </row>
        <row r="215">
          <cell r="A215">
            <v>45338</v>
          </cell>
          <cell r="H215">
            <v>4124.49</v>
          </cell>
          <cell r="M215" t="str">
            <v>KIM</v>
          </cell>
        </row>
        <row r="216">
          <cell r="A216">
            <v>45338</v>
          </cell>
          <cell r="H216">
            <v>613.30999999999995</v>
          </cell>
          <cell r="M216" t="str">
            <v>KIM</v>
          </cell>
        </row>
        <row r="217">
          <cell r="A217">
            <v>45338</v>
          </cell>
          <cell r="H217">
            <v>150</v>
          </cell>
          <cell r="M217" t="str">
            <v>KIM</v>
          </cell>
        </row>
        <row r="218">
          <cell r="A218">
            <v>45338</v>
          </cell>
          <cell r="H218">
            <v>120</v>
          </cell>
          <cell r="M218" t="str">
            <v>KIM</v>
          </cell>
        </row>
        <row r="219">
          <cell r="A219">
            <v>45338</v>
          </cell>
          <cell r="H219">
            <v>78.22</v>
          </cell>
          <cell r="M219" t="str">
            <v>KIM</v>
          </cell>
        </row>
        <row r="220">
          <cell r="A220">
            <v>45338</v>
          </cell>
          <cell r="H220">
            <v>76</v>
          </cell>
          <cell r="M220" t="str">
            <v>KIM</v>
          </cell>
        </row>
        <row r="221">
          <cell r="A221">
            <v>45341</v>
          </cell>
          <cell r="H221">
            <v>92738.52</v>
          </cell>
          <cell r="M221" t="str">
            <v>KIM</v>
          </cell>
        </row>
        <row r="222">
          <cell r="A222">
            <v>45341</v>
          </cell>
          <cell r="H222">
            <v>50000</v>
          </cell>
          <cell r="M222" t="str">
            <v>KIM</v>
          </cell>
        </row>
        <row r="223">
          <cell r="A223">
            <v>45342</v>
          </cell>
          <cell r="H223">
            <v>39168</v>
          </cell>
          <cell r="M223" t="str">
            <v>KIM</v>
          </cell>
        </row>
        <row r="224">
          <cell r="A224">
            <v>45342</v>
          </cell>
          <cell r="H224">
            <v>20338.16</v>
          </cell>
          <cell r="M224" t="str">
            <v>KIM</v>
          </cell>
        </row>
        <row r="225">
          <cell r="A225">
            <v>45342</v>
          </cell>
          <cell r="H225">
            <v>20000</v>
          </cell>
          <cell r="M225" t="str">
            <v>KIM</v>
          </cell>
        </row>
        <row r="226">
          <cell r="A226">
            <v>45342</v>
          </cell>
          <cell r="H226">
            <v>13098.75</v>
          </cell>
          <cell r="M226" t="str">
            <v>KIM</v>
          </cell>
        </row>
        <row r="227">
          <cell r="A227">
            <v>45342</v>
          </cell>
          <cell r="H227">
            <v>12502.7</v>
          </cell>
          <cell r="M227" t="str">
            <v>KIM</v>
          </cell>
        </row>
        <row r="228">
          <cell r="A228">
            <v>45342</v>
          </cell>
          <cell r="H228">
            <v>78439.87</v>
          </cell>
          <cell r="M228" t="str">
            <v>TACOM</v>
          </cell>
        </row>
        <row r="229">
          <cell r="A229">
            <v>45342</v>
          </cell>
          <cell r="H229">
            <v>23232.16</v>
          </cell>
          <cell r="M229" t="str">
            <v>TACOM</v>
          </cell>
        </row>
        <row r="230">
          <cell r="A230">
            <v>45342</v>
          </cell>
          <cell r="H230">
            <v>87.58</v>
          </cell>
          <cell r="M230" t="str">
            <v>Tacom</v>
          </cell>
        </row>
        <row r="231">
          <cell r="A231">
            <v>45342</v>
          </cell>
          <cell r="H231">
            <v>208.34</v>
          </cell>
          <cell r="M231" t="str">
            <v>Tacom</v>
          </cell>
        </row>
        <row r="232">
          <cell r="A232">
            <v>45342</v>
          </cell>
          <cell r="H232">
            <v>73.5</v>
          </cell>
          <cell r="M232" t="str">
            <v>Tacom</v>
          </cell>
        </row>
        <row r="233">
          <cell r="A233">
            <v>45342</v>
          </cell>
          <cell r="H233">
            <v>5586.58</v>
          </cell>
          <cell r="M233" t="str">
            <v>KIM</v>
          </cell>
        </row>
        <row r="234">
          <cell r="A234">
            <v>45342</v>
          </cell>
          <cell r="H234">
            <v>420</v>
          </cell>
          <cell r="M234" t="str">
            <v>KIM</v>
          </cell>
        </row>
        <row r="235">
          <cell r="A235">
            <v>45342</v>
          </cell>
          <cell r="H235">
            <v>363.93</v>
          </cell>
          <cell r="M235" t="str">
            <v>KIM</v>
          </cell>
        </row>
        <row r="236">
          <cell r="A236">
            <v>45342</v>
          </cell>
          <cell r="H236">
            <v>250</v>
          </cell>
          <cell r="M236" t="str">
            <v>KIM</v>
          </cell>
        </row>
        <row r="237">
          <cell r="A237">
            <v>45342</v>
          </cell>
          <cell r="H237">
            <v>203.63</v>
          </cell>
          <cell r="M237" t="str">
            <v>KIM</v>
          </cell>
        </row>
        <row r="238">
          <cell r="A238">
            <v>45342</v>
          </cell>
          <cell r="H238">
            <v>32.9</v>
          </cell>
          <cell r="M238" t="str">
            <v>KIM</v>
          </cell>
        </row>
        <row r="239">
          <cell r="A239">
            <v>45342</v>
          </cell>
          <cell r="M239" t="str">
            <v>KIM</v>
          </cell>
        </row>
        <row r="240">
          <cell r="A240">
            <v>45342</v>
          </cell>
          <cell r="M240" t="str">
            <v>KIM</v>
          </cell>
        </row>
        <row r="241">
          <cell r="A241">
            <v>45342</v>
          </cell>
          <cell r="M241" t="str">
            <v>KIM</v>
          </cell>
        </row>
        <row r="242">
          <cell r="A242">
            <v>45342</v>
          </cell>
          <cell r="M242" t="str">
            <v>KIM</v>
          </cell>
        </row>
        <row r="243">
          <cell r="A243">
            <v>45342</v>
          </cell>
          <cell r="M243" t="str">
            <v>KIM</v>
          </cell>
        </row>
        <row r="244">
          <cell r="A244">
            <v>45342</v>
          </cell>
          <cell r="M244" t="str">
            <v>KIM</v>
          </cell>
        </row>
        <row r="245">
          <cell r="A245">
            <v>45342</v>
          </cell>
          <cell r="M245" t="str">
            <v>KIM</v>
          </cell>
        </row>
        <row r="246">
          <cell r="A246">
            <v>45342</v>
          </cell>
          <cell r="M246" t="str">
            <v>KIM</v>
          </cell>
        </row>
        <row r="247">
          <cell r="A247">
            <v>45343</v>
          </cell>
          <cell r="H247">
            <v>2.5</v>
          </cell>
          <cell r="M247" t="str">
            <v>KIM</v>
          </cell>
        </row>
        <row r="248">
          <cell r="A248">
            <v>45344</v>
          </cell>
          <cell r="H248">
            <v>1210</v>
          </cell>
          <cell r="M248" t="str">
            <v>KIM</v>
          </cell>
        </row>
        <row r="249">
          <cell r="A249">
            <v>45345</v>
          </cell>
          <cell r="H249">
            <v>8833.01</v>
          </cell>
          <cell r="M249" t="str">
            <v>KIM</v>
          </cell>
        </row>
        <row r="250">
          <cell r="A250">
            <v>45345</v>
          </cell>
          <cell r="H250">
            <v>1913.82</v>
          </cell>
          <cell r="M250" t="str">
            <v>KIM</v>
          </cell>
        </row>
        <row r="251">
          <cell r="A251">
            <v>45345</v>
          </cell>
          <cell r="H251">
            <v>1025</v>
          </cell>
          <cell r="M251" t="str">
            <v>KIM</v>
          </cell>
        </row>
        <row r="252">
          <cell r="A252">
            <v>45345</v>
          </cell>
          <cell r="H252">
            <v>222.08</v>
          </cell>
          <cell r="M252" t="str">
            <v>KIM</v>
          </cell>
        </row>
        <row r="253">
          <cell r="A253">
            <v>45348</v>
          </cell>
          <cell r="H253">
            <v>1096.2</v>
          </cell>
          <cell r="M253" t="str">
            <v>KIM</v>
          </cell>
        </row>
        <row r="254">
          <cell r="A254">
            <v>45349</v>
          </cell>
          <cell r="H254">
            <v>10021.029999999999</v>
          </cell>
          <cell r="M254" t="str">
            <v>KIM</v>
          </cell>
        </row>
        <row r="255">
          <cell r="A255">
            <v>45349</v>
          </cell>
          <cell r="H255">
            <v>8000</v>
          </cell>
          <cell r="M255" t="str">
            <v>KIM</v>
          </cell>
        </row>
        <row r="256">
          <cell r="A256">
            <v>45349</v>
          </cell>
          <cell r="H256">
            <v>5999.9</v>
          </cell>
          <cell r="M256" t="str">
            <v>KIM</v>
          </cell>
        </row>
        <row r="257">
          <cell r="A257">
            <v>45349</v>
          </cell>
          <cell r="H257">
            <v>1100</v>
          </cell>
          <cell r="M257" t="str">
            <v>KIM</v>
          </cell>
        </row>
        <row r="258">
          <cell r="A258">
            <v>45350</v>
          </cell>
          <cell r="H258">
            <v>57960.54</v>
          </cell>
          <cell r="M258" t="str">
            <v>KIM</v>
          </cell>
        </row>
        <row r="259">
          <cell r="A259">
            <v>45350</v>
          </cell>
          <cell r="H259">
            <v>37011.839999999997</v>
          </cell>
          <cell r="M259" t="str">
            <v>KIM</v>
          </cell>
        </row>
        <row r="260">
          <cell r="A260">
            <v>45350</v>
          </cell>
          <cell r="H260">
            <v>2555</v>
          </cell>
          <cell r="M260" t="str">
            <v>KIM</v>
          </cell>
        </row>
        <row r="261">
          <cell r="A261">
            <v>45350</v>
          </cell>
          <cell r="H261">
            <v>320</v>
          </cell>
          <cell r="M261" t="str">
            <v>KIM</v>
          </cell>
        </row>
        <row r="262">
          <cell r="A262">
            <v>45350</v>
          </cell>
          <cell r="H262">
            <v>238.75</v>
          </cell>
          <cell r="M262" t="str">
            <v>KIM</v>
          </cell>
        </row>
        <row r="263">
          <cell r="A263">
            <v>45350</v>
          </cell>
          <cell r="H263">
            <v>167</v>
          </cell>
          <cell r="M263" t="str">
            <v>KIM</v>
          </cell>
        </row>
        <row r="264">
          <cell r="A264">
            <v>45350</v>
          </cell>
          <cell r="H264">
            <v>155.28</v>
          </cell>
          <cell r="M264" t="str">
            <v>KIM</v>
          </cell>
        </row>
        <row r="265">
          <cell r="A265">
            <v>45350</v>
          </cell>
          <cell r="H265">
            <v>9.5500000000000007</v>
          </cell>
          <cell r="M265" t="str">
            <v>KIM</v>
          </cell>
        </row>
        <row r="266">
          <cell r="A266">
            <v>45350</v>
          </cell>
          <cell r="M266" t="str">
            <v>KIM</v>
          </cell>
        </row>
        <row r="267">
          <cell r="A267">
            <v>45350</v>
          </cell>
          <cell r="M267" t="str">
            <v>KIM</v>
          </cell>
        </row>
        <row r="268">
          <cell r="A268">
            <v>45350</v>
          </cell>
          <cell r="M268" t="str">
            <v>KIM</v>
          </cell>
        </row>
        <row r="269">
          <cell r="A269">
            <v>45351</v>
          </cell>
          <cell r="H269">
            <v>43071.28</v>
          </cell>
          <cell r="M269" t="str">
            <v>KIM</v>
          </cell>
        </row>
        <row r="270">
          <cell r="A270">
            <v>45351</v>
          </cell>
          <cell r="M270" t="str">
            <v>TACOM</v>
          </cell>
        </row>
        <row r="271">
          <cell r="A271">
            <v>45351</v>
          </cell>
          <cell r="H271">
            <v>313464.56</v>
          </cell>
          <cell r="M271" t="str">
            <v>TACOM</v>
          </cell>
        </row>
        <row r="272">
          <cell r="A272">
            <v>45351</v>
          </cell>
          <cell r="M272" t="str">
            <v>TACOM</v>
          </cell>
        </row>
        <row r="273">
          <cell r="A273">
            <v>45351</v>
          </cell>
          <cell r="H273">
            <v>4800</v>
          </cell>
          <cell r="M273" t="str">
            <v>KIM</v>
          </cell>
        </row>
        <row r="274">
          <cell r="A274">
            <v>45351</v>
          </cell>
          <cell r="M274" t="str">
            <v>KIM</v>
          </cell>
        </row>
        <row r="275">
          <cell r="A275">
            <v>45351</v>
          </cell>
          <cell r="M275" t="str">
            <v>KIM</v>
          </cell>
        </row>
        <row r="276">
          <cell r="A276">
            <v>45351</v>
          </cell>
          <cell r="M276" t="str">
            <v>KIM</v>
          </cell>
        </row>
        <row r="277">
          <cell r="A277">
            <v>45351</v>
          </cell>
          <cell r="M277" t="str">
            <v>KIM</v>
          </cell>
        </row>
        <row r="278">
          <cell r="A278">
            <v>45351</v>
          </cell>
          <cell r="M278" t="str">
            <v>KIM</v>
          </cell>
        </row>
        <row r="279">
          <cell r="A279">
            <v>45351</v>
          </cell>
          <cell r="M279" t="str">
            <v>KIM</v>
          </cell>
        </row>
        <row r="280">
          <cell r="A280">
            <v>45351</v>
          </cell>
          <cell r="M280" t="str">
            <v>KIM</v>
          </cell>
        </row>
        <row r="281">
          <cell r="A281">
            <v>45352</v>
          </cell>
          <cell r="H281">
            <v>50000</v>
          </cell>
          <cell r="M281" t="str">
            <v>KIM</v>
          </cell>
        </row>
        <row r="282">
          <cell r="A282">
            <v>45352</v>
          </cell>
          <cell r="H282">
            <v>16749.23</v>
          </cell>
          <cell r="M282" t="str">
            <v>KIM</v>
          </cell>
        </row>
        <row r="283">
          <cell r="A283">
            <v>45352</v>
          </cell>
          <cell r="H283">
            <v>14340.2</v>
          </cell>
          <cell r="M283" t="str">
            <v>KIM</v>
          </cell>
        </row>
        <row r="284">
          <cell r="A284">
            <v>45352</v>
          </cell>
          <cell r="H284">
            <v>4581.16</v>
          </cell>
          <cell r="M284" t="str">
            <v>KIM</v>
          </cell>
        </row>
        <row r="285">
          <cell r="A285">
            <v>45352</v>
          </cell>
          <cell r="H285">
            <v>2266.88</v>
          </cell>
          <cell r="M285" t="str">
            <v>KIM</v>
          </cell>
        </row>
        <row r="286">
          <cell r="A286">
            <v>45352</v>
          </cell>
          <cell r="H286">
            <v>805</v>
          </cell>
          <cell r="M286" t="str">
            <v>KIM</v>
          </cell>
        </row>
        <row r="287">
          <cell r="A287">
            <v>45352</v>
          </cell>
          <cell r="H287">
            <v>216</v>
          </cell>
          <cell r="M287" t="str">
            <v>KIM</v>
          </cell>
        </row>
        <row r="288">
          <cell r="A288">
            <v>45352</v>
          </cell>
          <cell r="H288">
            <v>2.5</v>
          </cell>
          <cell r="M288" t="str">
            <v>KIM</v>
          </cell>
        </row>
        <row r="289">
          <cell r="A289">
            <v>45352</v>
          </cell>
          <cell r="M289" t="str">
            <v>KIM</v>
          </cell>
        </row>
        <row r="290">
          <cell r="A290">
            <v>45352</v>
          </cell>
        </row>
        <row r="291">
          <cell r="A291">
            <v>45352</v>
          </cell>
        </row>
        <row r="292">
          <cell r="A292">
            <v>45352</v>
          </cell>
        </row>
        <row r="293">
          <cell r="A293">
            <v>45352</v>
          </cell>
        </row>
        <row r="294">
          <cell r="A294">
            <v>45352</v>
          </cell>
        </row>
        <row r="295">
          <cell r="A295">
            <v>45352</v>
          </cell>
        </row>
        <row r="296">
          <cell r="A296">
            <v>45352</v>
          </cell>
        </row>
        <row r="297">
          <cell r="A297">
            <v>45352</v>
          </cell>
        </row>
        <row r="298">
          <cell r="A298">
            <v>45352</v>
          </cell>
        </row>
        <row r="299">
          <cell r="A299">
            <v>45352</v>
          </cell>
        </row>
        <row r="300">
          <cell r="A300">
            <v>45352</v>
          </cell>
        </row>
        <row r="301">
          <cell r="A301">
            <v>45352</v>
          </cell>
        </row>
        <row r="302">
          <cell r="A302">
            <v>45355</v>
          </cell>
          <cell r="H302">
            <v>73</v>
          </cell>
          <cell r="M302" t="str">
            <v>KIM</v>
          </cell>
        </row>
        <row r="303">
          <cell r="A303">
            <v>45355</v>
          </cell>
          <cell r="H303">
            <v>16.059999999999999</v>
          </cell>
          <cell r="M303" t="str">
            <v>KIM</v>
          </cell>
        </row>
        <row r="304">
          <cell r="A304">
            <v>45356</v>
          </cell>
          <cell r="H304">
            <v>50000</v>
          </cell>
          <cell r="M304" t="str">
            <v>KIM</v>
          </cell>
        </row>
        <row r="305">
          <cell r="A305">
            <v>45356</v>
          </cell>
          <cell r="H305">
            <v>17863.599999999999</v>
          </cell>
          <cell r="M305" t="str">
            <v>KIM</v>
          </cell>
        </row>
        <row r="306">
          <cell r="A306">
            <v>45356</v>
          </cell>
          <cell r="H306">
            <v>2349.14</v>
          </cell>
          <cell r="M306" t="str">
            <v>TACOM</v>
          </cell>
        </row>
        <row r="307">
          <cell r="A307">
            <v>45356</v>
          </cell>
          <cell r="H307">
            <v>59.98</v>
          </cell>
          <cell r="M307" t="str">
            <v>KIM</v>
          </cell>
        </row>
        <row r="308">
          <cell r="A308">
            <v>45356</v>
          </cell>
          <cell r="H308">
            <v>2.5</v>
          </cell>
          <cell r="M308" t="str">
            <v>KIM</v>
          </cell>
        </row>
        <row r="309">
          <cell r="A309">
            <v>45356</v>
          </cell>
          <cell r="M309" t="str">
            <v>KIM</v>
          </cell>
        </row>
        <row r="310">
          <cell r="A310">
            <v>45356</v>
          </cell>
          <cell r="M310" t="str">
            <v>KIM</v>
          </cell>
        </row>
        <row r="311">
          <cell r="A311">
            <v>45357</v>
          </cell>
          <cell r="H311">
            <v>61002.5</v>
          </cell>
          <cell r="M311" t="str">
            <v>KIM</v>
          </cell>
        </row>
        <row r="312">
          <cell r="A312">
            <v>45358</v>
          </cell>
          <cell r="H312">
            <v>76672.160000000003</v>
          </cell>
          <cell r="M312" t="str">
            <v>TACOM</v>
          </cell>
        </row>
        <row r="313">
          <cell r="A313">
            <v>45358</v>
          </cell>
          <cell r="H313">
            <v>31809.279999999999</v>
          </cell>
          <cell r="M313" t="str">
            <v>TACOM</v>
          </cell>
        </row>
        <row r="314">
          <cell r="A314">
            <v>45358</v>
          </cell>
          <cell r="H314">
            <v>6291.25</v>
          </cell>
          <cell r="M314" t="str">
            <v>TACOM</v>
          </cell>
        </row>
        <row r="315">
          <cell r="A315">
            <v>45358</v>
          </cell>
          <cell r="H315">
            <v>3283.48</v>
          </cell>
          <cell r="M315" t="str">
            <v>TACOM</v>
          </cell>
        </row>
        <row r="316">
          <cell r="A316">
            <v>45358</v>
          </cell>
          <cell r="H316">
            <v>986.13</v>
          </cell>
          <cell r="M316" t="str">
            <v>TACOM</v>
          </cell>
        </row>
        <row r="317">
          <cell r="A317">
            <v>45359</v>
          </cell>
          <cell r="H317">
            <v>15000</v>
          </cell>
          <cell r="M317" t="str">
            <v>KIM</v>
          </cell>
        </row>
        <row r="318">
          <cell r="A318">
            <v>45359</v>
          </cell>
          <cell r="H318">
            <v>14184.7</v>
          </cell>
          <cell r="M318" t="str">
            <v>KIM</v>
          </cell>
        </row>
        <row r="319">
          <cell r="A319">
            <v>45359</v>
          </cell>
          <cell r="H319">
            <v>13506.62</v>
          </cell>
          <cell r="M319" t="str">
            <v>KIM</v>
          </cell>
        </row>
        <row r="320">
          <cell r="A320">
            <v>45359</v>
          </cell>
          <cell r="H320">
            <v>5868.88</v>
          </cell>
          <cell r="M320" t="str">
            <v>KIM</v>
          </cell>
        </row>
        <row r="321">
          <cell r="A321">
            <v>45359</v>
          </cell>
          <cell r="H321">
            <v>4744.26</v>
          </cell>
          <cell r="M321" t="str">
            <v>KIM</v>
          </cell>
        </row>
        <row r="322">
          <cell r="A322">
            <v>45359</v>
          </cell>
          <cell r="H322">
            <v>1400</v>
          </cell>
          <cell r="M322" t="str">
            <v>KIM</v>
          </cell>
        </row>
        <row r="323">
          <cell r="A323">
            <v>45359</v>
          </cell>
          <cell r="H323">
            <v>437.5</v>
          </cell>
          <cell r="M323" t="str">
            <v>KIM</v>
          </cell>
        </row>
        <row r="324">
          <cell r="A324">
            <v>45359</v>
          </cell>
          <cell r="H324">
            <v>93.39</v>
          </cell>
          <cell r="M324" t="str">
            <v>KIM</v>
          </cell>
        </row>
        <row r="325">
          <cell r="A325">
            <v>45361</v>
          </cell>
          <cell r="M325" t="str">
            <v>KIM</v>
          </cell>
        </row>
        <row r="326">
          <cell r="A326">
            <v>45362</v>
          </cell>
          <cell r="H326">
            <v>50000</v>
          </cell>
          <cell r="M326" t="str">
            <v>KIM</v>
          </cell>
        </row>
        <row r="327">
          <cell r="A327">
            <v>45362</v>
          </cell>
          <cell r="H327">
            <v>25000</v>
          </cell>
          <cell r="M327" t="str">
            <v>KIM</v>
          </cell>
        </row>
        <row r="328">
          <cell r="A328">
            <v>45362</v>
          </cell>
          <cell r="H328">
            <v>18914.400000000001</v>
          </cell>
          <cell r="M328" t="str">
            <v>KIM</v>
          </cell>
        </row>
        <row r="329">
          <cell r="A329">
            <v>45362</v>
          </cell>
          <cell r="H329">
            <v>18000</v>
          </cell>
          <cell r="M329" t="str">
            <v>KIM</v>
          </cell>
        </row>
        <row r="330">
          <cell r="A330">
            <v>45362</v>
          </cell>
          <cell r="H330">
            <v>16800</v>
          </cell>
          <cell r="M330" t="str">
            <v>KIM</v>
          </cell>
        </row>
        <row r="331">
          <cell r="A331">
            <v>45362</v>
          </cell>
          <cell r="H331">
            <v>16318.4</v>
          </cell>
          <cell r="M331" t="str">
            <v>KIM</v>
          </cell>
        </row>
        <row r="332">
          <cell r="A332">
            <v>45362</v>
          </cell>
          <cell r="H332">
            <v>16000</v>
          </cell>
          <cell r="M332" t="str">
            <v>KIM</v>
          </cell>
        </row>
        <row r="333">
          <cell r="A333">
            <v>45362</v>
          </cell>
          <cell r="H333">
            <v>15000</v>
          </cell>
          <cell r="M333" t="str">
            <v>KIM</v>
          </cell>
        </row>
        <row r="334">
          <cell r="A334">
            <v>45362</v>
          </cell>
          <cell r="H334">
            <v>15000</v>
          </cell>
          <cell r="M334" t="str">
            <v>KIM</v>
          </cell>
        </row>
        <row r="335">
          <cell r="A335">
            <v>45362</v>
          </cell>
          <cell r="H335">
            <v>15000</v>
          </cell>
          <cell r="M335" t="str">
            <v>KIM</v>
          </cell>
        </row>
        <row r="336">
          <cell r="A336">
            <v>45362</v>
          </cell>
          <cell r="H336">
            <v>14184.7</v>
          </cell>
          <cell r="M336" t="str">
            <v>KIM</v>
          </cell>
        </row>
        <row r="337">
          <cell r="A337">
            <v>45362</v>
          </cell>
          <cell r="H337">
            <v>14077.5</v>
          </cell>
          <cell r="M337" t="str">
            <v>KIM</v>
          </cell>
        </row>
        <row r="338">
          <cell r="A338">
            <v>45362</v>
          </cell>
          <cell r="H338">
            <v>14000</v>
          </cell>
          <cell r="M338" t="str">
            <v>KIM</v>
          </cell>
        </row>
        <row r="339">
          <cell r="A339">
            <v>45362</v>
          </cell>
          <cell r="H339">
            <v>13506.62</v>
          </cell>
          <cell r="M339" t="str">
            <v>KIM</v>
          </cell>
        </row>
        <row r="340">
          <cell r="A340">
            <v>45362</v>
          </cell>
          <cell r="H340">
            <v>8202.35</v>
          </cell>
          <cell r="M340" t="str">
            <v>KIM</v>
          </cell>
        </row>
        <row r="341">
          <cell r="A341">
            <v>45362</v>
          </cell>
          <cell r="H341">
            <v>6850</v>
          </cell>
          <cell r="M341" t="str">
            <v>KIM</v>
          </cell>
        </row>
        <row r="342">
          <cell r="A342">
            <v>45362</v>
          </cell>
          <cell r="H342">
            <v>5000</v>
          </cell>
          <cell r="M342" t="str">
            <v>KIM</v>
          </cell>
        </row>
        <row r="343">
          <cell r="A343">
            <v>45362</v>
          </cell>
          <cell r="H343">
            <v>4291.29</v>
          </cell>
          <cell r="M343" t="str">
            <v>KIM</v>
          </cell>
        </row>
        <row r="344">
          <cell r="A344">
            <v>45362</v>
          </cell>
          <cell r="H344">
            <v>1187.55</v>
          </cell>
          <cell r="M344" t="str">
            <v>KIM</v>
          </cell>
        </row>
        <row r="345">
          <cell r="A345">
            <v>45362</v>
          </cell>
          <cell r="H345">
            <v>1100</v>
          </cell>
          <cell r="M345" t="str">
            <v>KIM</v>
          </cell>
        </row>
        <row r="346">
          <cell r="A346">
            <v>45362</v>
          </cell>
          <cell r="H346">
            <v>1010</v>
          </cell>
          <cell r="M346" t="str">
            <v>KIM</v>
          </cell>
        </row>
        <row r="347">
          <cell r="A347">
            <v>45362</v>
          </cell>
          <cell r="H347">
            <v>838.57</v>
          </cell>
          <cell r="M347" t="str">
            <v>KIM</v>
          </cell>
        </row>
        <row r="348">
          <cell r="A348">
            <v>45362</v>
          </cell>
          <cell r="H348">
            <v>551.87</v>
          </cell>
          <cell r="M348" t="str">
            <v>KIM</v>
          </cell>
        </row>
        <row r="349">
          <cell r="A349">
            <v>45362</v>
          </cell>
          <cell r="H349">
            <v>483.28</v>
          </cell>
          <cell r="M349" t="str">
            <v>KIM</v>
          </cell>
        </row>
        <row r="350">
          <cell r="A350">
            <v>45362</v>
          </cell>
          <cell r="H350">
            <v>445</v>
          </cell>
          <cell r="M350" t="str">
            <v>KIM</v>
          </cell>
        </row>
        <row r="351">
          <cell r="A351">
            <v>45362</v>
          </cell>
          <cell r="H351">
            <v>358.23</v>
          </cell>
          <cell r="M351" t="str">
            <v>KIM</v>
          </cell>
        </row>
        <row r="352">
          <cell r="A352">
            <v>45362</v>
          </cell>
          <cell r="H352">
            <v>300</v>
          </cell>
          <cell r="M352" t="str">
            <v>KIM</v>
          </cell>
        </row>
        <row r="353">
          <cell r="A353">
            <v>45362</v>
          </cell>
          <cell r="H353">
            <v>300</v>
          </cell>
          <cell r="M353" t="str">
            <v>KIM</v>
          </cell>
        </row>
        <row r="354">
          <cell r="A354">
            <v>45362</v>
          </cell>
          <cell r="H354">
            <v>225</v>
          </cell>
          <cell r="M354" t="str">
            <v>KIM</v>
          </cell>
        </row>
        <row r="355">
          <cell r="A355">
            <v>45362</v>
          </cell>
          <cell r="H355">
            <v>200.76</v>
          </cell>
          <cell r="M355" t="str">
            <v>KIM</v>
          </cell>
        </row>
        <row r="356">
          <cell r="A356">
            <v>45362</v>
          </cell>
          <cell r="H356">
            <v>112.2</v>
          </cell>
          <cell r="M356" t="str">
            <v>KIM</v>
          </cell>
        </row>
        <row r="357">
          <cell r="A357">
            <v>45362</v>
          </cell>
          <cell r="H357">
            <v>83.87</v>
          </cell>
          <cell r="M357" t="str">
            <v>KIM</v>
          </cell>
        </row>
        <row r="358">
          <cell r="A358">
            <v>45362</v>
          </cell>
          <cell r="H358">
            <v>9.5500000000000007</v>
          </cell>
          <cell r="M358" t="str">
            <v>KIM</v>
          </cell>
        </row>
        <row r="359">
          <cell r="A359">
            <v>45362</v>
          </cell>
          <cell r="H359">
            <v>0</v>
          </cell>
          <cell r="M359" t="str">
            <v>KIM</v>
          </cell>
        </row>
        <row r="360">
          <cell r="A360">
            <v>45362</v>
          </cell>
          <cell r="M360" t="str">
            <v>KIM</v>
          </cell>
        </row>
        <row r="361">
          <cell r="A361">
            <v>45362</v>
          </cell>
          <cell r="M361" t="str">
            <v>KIM</v>
          </cell>
        </row>
        <row r="362">
          <cell r="A362">
            <v>45362</v>
          </cell>
          <cell r="M362" t="str">
            <v>KIM</v>
          </cell>
        </row>
        <row r="363">
          <cell r="A363">
            <v>45362</v>
          </cell>
          <cell r="M363" t="str">
            <v>KIM</v>
          </cell>
        </row>
        <row r="364">
          <cell r="A364">
            <v>45362</v>
          </cell>
          <cell r="M364" t="str">
            <v>KIM</v>
          </cell>
        </row>
        <row r="365">
          <cell r="A365">
            <v>45362</v>
          </cell>
          <cell r="M365" t="str">
            <v>KIM</v>
          </cell>
        </row>
        <row r="366">
          <cell r="A366">
            <v>45362</v>
          </cell>
          <cell r="M366" t="str">
            <v>KIM</v>
          </cell>
        </row>
        <row r="367">
          <cell r="A367">
            <v>45362</v>
          </cell>
          <cell r="M367" t="str">
            <v>KIM</v>
          </cell>
        </row>
        <row r="368">
          <cell r="A368">
            <v>45362</v>
          </cell>
          <cell r="M368" t="str">
            <v>KIM</v>
          </cell>
        </row>
        <row r="369">
          <cell r="A369">
            <v>45362</v>
          </cell>
          <cell r="M369" t="str">
            <v>KIM</v>
          </cell>
        </row>
        <row r="370">
          <cell r="A370">
            <v>45366</v>
          </cell>
          <cell r="H370">
            <v>1689.3</v>
          </cell>
          <cell r="M370" t="str">
            <v>KIM</v>
          </cell>
        </row>
        <row r="371">
          <cell r="A371">
            <v>45366</v>
          </cell>
          <cell r="H371">
            <v>712.86</v>
          </cell>
          <cell r="M371" t="str">
            <v>KIM</v>
          </cell>
        </row>
        <row r="372">
          <cell r="A372">
            <v>45366</v>
          </cell>
          <cell r="H372">
            <v>250</v>
          </cell>
          <cell r="M372" t="str">
            <v>KIM</v>
          </cell>
        </row>
        <row r="373">
          <cell r="A373">
            <v>45366</v>
          </cell>
          <cell r="H373">
            <v>183.32</v>
          </cell>
          <cell r="M373" t="str">
            <v>KIM</v>
          </cell>
        </row>
        <row r="374">
          <cell r="A374">
            <v>45366</v>
          </cell>
          <cell r="H374">
            <v>2.5</v>
          </cell>
          <cell r="M374" t="str">
            <v>KIM</v>
          </cell>
        </row>
        <row r="375">
          <cell r="A375">
            <v>45369</v>
          </cell>
          <cell r="H375">
            <v>188477.08</v>
          </cell>
          <cell r="M375" t="str">
            <v>KIM</v>
          </cell>
        </row>
        <row r="376">
          <cell r="A376">
            <v>45369</v>
          </cell>
          <cell r="H376">
            <v>70418.399999999994</v>
          </cell>
          <cell r="M376" t="str">
            <v>KIM</v>
          </cell>
        </row>
        <row r="377">
          <cell r="A377">
            <v>45369</v>
          </cell>
          <cell r="H377">
            <v>5000</v>
          </cell>
          <cell r="M377" t="str">
            <v>KIM</v>
          </cell>
        </row>
        <row r="378">
          <cell r="A378">
            <v>45371</v>
          </cell>
          <cell r="H378">
            <v>34466.660000000003</v>
          </cell>
          <cell r="M378" t="str">
            <v>KIM</v>
          </cell>
        </row>
        <row r="379">
          <cell r="A379">
            <v>45371</v>
          </cell>
          <cell r="H379">
            <v>31466.66</v>
          </cell>
          <cell r="M379" t="str">
            <v>KIM</v>
          </cell>
        </row>
        <row r="380">
          <cell r="A380">
            <v>45371</v>
          </cell>
          <cell r="H380">
            <v>30231.83</v>
          </cell>
          <cell r="M380" t="str">
            <v>KIM</v>
          </cell>
        </row>
        <row r="381">
          <cell r="A381">
            <v>45371</v>
          </cell>
          <cell r="H381">
            <v>18489.240000000002</v>
          </cell>
          <cell r="M381" t="str">
            <v>KIM</v>
          </cell>
        </row>
        <row r="382">
          <cell r="A382">
            <v>45371</v>
          </cell>
          <cell r="H382">
            <v>8000</v>
          </cell>
          <cell r="M382" t="str">
            <v>KIM</v>
          </cell>
        </row>
        <row r="383">
          <cell r="A383">
            <v>45371</v>
          </cell>
          <cell r="H383">
            <v>2585.56</v>
          </cell>
          <cell r="M383" t="str">
            <v>KIM</v>
          </cell>
        </row>
        <row r="384">
          <cell r="A384">
            <v>45371</v>
          </cell>
          <cell r="H384">
            <v>363.93</v>
          </cell>
          <cell r="M384" t="str">
            <v>KIM</v>
          </cell>
        </row>
        <row r="385">
          <cell r="A385">
            <v>45371</v>
          </cell>
          <cell r="H385">
            <v>300</v>
          </cell>
          <cell r="M385" t="str">
            <v>KIM</v>
          </cell>
        </row>
        <row r="386">
          <cell r="A386">
            <v>45371</v>
          </cell>
          <cell r="H386">
            <v>250</v>
          </cell>
          <cell r="M386" t="str">
            <v>KIM</v>
          </cell>
        </row>
        <row r="387">
          <cell r="A387">
            <v>45371</v>
          </cell>
          <cell r="H387">
            <v>213.03</v>
          </cell>
          <cell r="M387" t="str">
            <v>KIM</v>
          </cell>
        </row>
        <row r="388">
          <cell r="A388">
            <v>45371</v>
          </cell>
          <cell r="H388">
            <v>165</v>
          </cell>
          <cell r="M388" t="str">
            <v>KIM</v>
          </cell>
        </row>
        <row r="389">
          <cell r="A389">
            <v>45371</v>
          </cell>
          <cell r="H389">
            <v>165</v>
          </cell>
          <cell r="M389" t="str">
            <v>KIM</v>
          </cell>
        </row>
        <row r="390">
          <cell r="A390">
            <v>45371</v>
          </cell>
          <cell r="H390">
            <v>45.69</v>
          </cell>
          <cell r="M390" t="str">
            <v>KIM</v>
          </cell>
        </row>
        <row r="391">
          <cell r="A391">
            <v>45371</v>
          </cell>
          <cell r="H391">
            <v>36.409999999999997</v>
          </cell>
          <cell r="M391" t="str">
            <v>KIM</v>
          </cell>
        </row>
        <row r="392">
          <cell r="A392">
            <v>45371</v>
          </cell>
          <cell r="M392" t="str">
            <v>KIM</v>
          </cell>
        </row>
        <row r="393">
          <cell r="A393">
            <v>45371</v>
          </cell>
          <cell r="M393" t="str">
            <v>KIM</v>
          </cell>
        </row>
        <row r="394">
          <cell r="A394">
            <v>45371</v>
          </cell>
          <cell r="M394" t="str">
            <v>KIM</v>
          </cell>
        </row>
        <row r="395">
          <cell r="A395">
            <v>45371</v>
          </cell>
          <cell r="M395" t="str">
            <v>KIM</v>
          </cell>
        </row>
        <row r="396">
          <cell r="A396">
            <v>45371</v>
          </cell>
          <cell r="M396" t="str">
            <v>KIM</v>
          </cell>
        </row>
        <row r="397">
          <cell r="A397">
            <v>45371</v>
          </cell>
          <cell r="M397" t="str">
            <v>KIM</v>
          </cell>
        </row>
        <row r="398">
          <cell r="A398">
            <v>45371</v>
          </cell>
          <cell r="M398" t="str">
            <v>KIM</v>
          </cell>
        </row>
        <row r="399">
          <cell r="A399">
            <v>45372</v>
          </cell>
          <cell r="H399">
            <v>28364.43</v>
          </cell>
          <cell r="M399" t="str">
            <v>KIM</v>
          </cell>
        </row>
        <row r="400">
          <cell r="A400">
            <v>45372</v>
          </cell>
          <cell r="H400">
            <v>2.5</v>
          </cell>
          <cell r="M400" t="str">
            <v>KIM</v>
          </cell>
        </row>
        <row r="401">
          <cell r="A401">
            <v>45373</v>
          </cell>
          <cell r="H401">
            <v>50000</v>
          </cell>
          <cell r="M401" t="str">
            <v>KIM</v>
          </cell>
        </row>
        <row r="402">
          <cell r="A402">
            <v>45373</v>
          </cell>
          <cell r="H402">
            <v>14567.51</v>
          </cell>
          <cell r="M402" t="str">
            <v>KIM</v>
          </cell>
        </row>
        <row r="403">
          <cell r="A403">
            <v>45373</v>
          </cell>
          <cell r="H403">
            <v>1018.44</v>
          </cell>
          <cell r="M403" t="str">
            <v>KIM</v>
          </cell>
        </row>
        <row r="404">
          <cell r="A404">
            <v>45376</v>
          </cell>
          <cell r="H404">
            <v>20647</v>
          </cell>
          <cell r="M404" t="str">
            <v>KIM</v>
          </cell>
        </row>
        <row r="405">
          <cell r="A405">
            <v>45376</v>
          </cell>
          <cell r="H405">
            <v>10538.2</v>
          </cell>
          <cell r="M405" t="str">
            <v>KIM</v>
          </cell>
        </row>
        <row r="406">
          <cell r="A406">
            <v>45376</v>
          </cell>
          <cell r="H406">
            <v>7684.19</v>
          </cell>
          <cell r="M406" t="str">
            <v>KIM</v>
          </cell>
        </row>
        <row r="407">
          <cell r="A407">
            <v>45376</v>
          </cell>
          <cell r="H407">
            <v>2283.2800000000002</v>
          </cell>
          <cell r="M407" t="str">
            <v>KIM</v>
          </cell>
        </row>
        <row r="408">
          <cell r="A408">
            <v>45376</v>
          </cell>
          <cell r="H408">
            <v>1096.2</v>
          </cell>
          <cell r="M408" t="str">
            <v>KIM</v>
          </cell>
        </row>
        <row r="409">
          <cell r="A409">
            <v>45376</v>
          </cell>
          <cell r="H409">
            <v>915.03</v>
          </cell>
          <cell r="M409" t="str">
            <v>KIM</v>
          </cell>
        </row>
        <row r="410">
          <cell r="A410">
            <v>45376</v>
          </cell>
          <cell r="H410">
            <v>525</v>
          </cell>
          <cell r="M410" t="str">
            <v>KIM</v>
          </cell>
        </row>
        <row r="411">
          <cell r="A411">
            <v>45376</v>
          </cell>
          <cell r="H411">
            <v>520.74</v>
          </cell>
          <cell r="M411" t="str">
            <v>KIM</v>
          </cell>
        </row>
        <row r="412">
          <cell r="A412">
            <v>45376</v>
          </cell>
          <cell r="H412">
            <v>421.78</v>
          </cell>
          <cell r="M412" t="str">
            <v>KIM</v>
          </cell>
        </row>
        <row r="413">
          <cell r="A413">
            <v>45376</v>
          </cell>
          <cell r="H413">
            <v>223.5</v>
          </cell>
          <cell r="M413" t="str">
            <v>KIM</v>
          </cell>
        </row>
        <row r="414">
          <cell r="A414">
            <v>45376</v>
          </cell>
          <cell r="H414">
            <v>113.75</v>
          </cell>
          <cell r="M414" t="str">
            <v>KIM</v>
          </cell>
        </row>
        <row r="415">
          <cell r="A415">
            <v>45376</v>
          </cell>
          <cell r="M415" t="str">
            <v>KIM</v>
          </cell>
        </row>
        <row r="416">
          <cell r="A416">
            <v>45377</v>
          </cell>
          <cell r="H416">
            <v>20000</v>
          </cell>
          <cell r="M416" t="str">
            <v>KIM</v>
          </cell>
        </row>
        <row r="417">
          <cell r="A417">
            <v>45377</v>
          </cell>
          <cell r="H417">
            <v>3340.34</v>
          </cell>
          <cell r="M417" t="str">
            <v>KIM</v>
          </cell>
        </row>
        <row r="418">
          <cell r="A418">
            <v>45377</v>
          </cell>
          <cell r="H418">
            <v>147.19999999999999</v>
          </cell>
          <cell r="M418" t="str">
            <v>KIM</v>
          </cell>
        </row>
        <row r="419">
          <cell r="A419">
            <v>45378</v>
          </cell>
          <cell r="H419">
            <v>12502.7</v>
          </cell>
          <cell r="M419" t="str">
            <v>KIM</v>
          </cell>
        </row>
        <row r="420">
          <cell r="A420">
            <v>45378</v>
          </cell>
          <cell r="H420">
            <v>528</v>
          </cell>
          <cell r="M420" t="str">
            <v>KIM</v>
          </cell>
        </row>
        <row r="421">
          <cell r="A421">
            <v>45378</v>
          </cell>
          <cell r="H421">
            <v>486.68</v>
          </cell>
          <cell r="M421" t="str">
            <v>KIM</v>
          </cell>
        </row>
        <row r="422">
          <cell r="A422">
            <v>45378</v>
          </cell>
          <cell r="H422">
            <v>99</v>
          </cell>
          <cell r="M422" t="str">
            <v>KIM</v>
          </cell>
        </row>
        <row r="423">
          <cell r="A423">
            <v>45378</v>
          </cell>
          <cell r="H423">
            <v>86.66</v>
          </cell>
          <cell r="M423" t="str">
            <v>KIM</v>
          </cell>
        </row>
        <row r="424">
          <cell r="A424">
            <v>45378</v>
          </cell>
          <cell r="H424">
            <v>71.599999999999994</v>
          </cell>
          <cell r="M424" t="str">
            <v>KIM</v>
          </cell>
        </row>
        <row r="425">
          <cell r="A425">
            <v>45379</v>
          </cell>
          <cell r="H425">
            <v>3769.07</v>
          </cell>
          <cell r="M425" t="str">
            <v>KIM</v>
          </cell>
        </row>
        <row r="426">
          <cell r="A426">
            <v>45379</v>
          </cell>
          <cell r="H426">
            <v>929.11</v>
          </cell>
          <cell r="M426" t="str">
            <v>KIM</v>
          </cell>
        </row>
        <row r="427">
          <cell r="A427">
            <v>45379</v>
          </cell>
          <cell r="H427">
            <v>40662.22</v>
          </cell>
          <cell r="M427" t="str">
            <v>TACOM</v>
          </cell>
        </row>
        <row r="428">
          <cell r="A428">
            <v>45379</v>
          </cell>
          <cell r="H428">
            <v>15000</v>
          </cell>
          <cell r="M428" t="str">
            <v>TACOM</v>
          </cell>
        </row>
        <row r="429">
          <cell r="A429">
            <v>45379</v>
          </cell>
          <cell r="M429" t="str">
            <v>TACOM</v>
          </cell>
        </row>
        <row r="430">
          <cell r="A430">
            <v>45379</v>
          </cell>
          <cell r="M430" t="str">
            <v>TACOM</v>
          </cell>
        </row>
        <row r="431">
          <cell r="A431">
            <v>45379</v>
          </cell>
          <cell r="M431" t="str">
            <v>TACOM</v>
          </cell>
        </row>
        <row r="432">
          <cell r="A432">
            <v>45379</v>
          </cell>
          <cell r="M432" t="str">
            <v>TACOM</v>
          </cell>
        </row>
        <row r="433">
          <cell r="A433">
            <v>45379</v>
          </cell>
          <cell r="M433" t="str">
            <v>KIM</v>
          </cell>
        </row>
        <row r="434">
          <cell r="A434">
            <v>45379</v>
          </cell>
          <cell r="M434" t="str">
            <v>KIM</v>
          </cell>
        </row>
        <row r="435">
          <cell r="A435">
            <v>45379</v>
          </cell>
          <cell r="M435" t="str">
            <v>KIM</v>
          </cell>
        </row>
        <row r="436">
          <cell r="A436">
            <v>45379</v>
          </cell>
          <cell r="M436" t="str">
            <v>KIM</v>
          </cell>
        </row>
        <row r="437">
          <cell r="A437">
            <v>45379</v>
          </cell>
          <cell r="M437" t="str">
            <v>KIM</v>
          </cell>
        </row>
        <row r="438">
          <cell r="A438">
            <v>45379</v>
          </cell>
          <cell r="M438" t="str">
            <v>KIM</v>
          </cell>
        </row>
        <row r="439">
          <cell r="A439">
            <v>45379</v>
          </cell>
          <cell r="M439" t="str">
            <v>KIM</v>
          </cell>
        </row>
        <row r="440">
          <cell r="A440">
            <v>45379</v>
          </cell>
          <cell r="M440" t="str">
            <v>KIM</v>
          </cell>
        </row>
        <row r="441">
          <cell r="A441">
            <v>45379</v>
          </cell>
          <cell r="M441" t="str">
            <v>KIM</v>
          </cell>
        </row>
        <row r="442">
          <cell r="A442">
            <v>45379</v>
          </cell>
          <cell r="M442" t="str">
            <v>KIM</v>
          </cell>
        </row>
        <row r="443">
          <cell r="A443">
            <v>45379</v>
          </cell>
          <cell r="M443" t="str">
            <v>KIM</v>
          </cell>
        </row>
        <row r="444">
          <cell r="A444">
            <v>45379</v>
          </cell>
          <cell r="M444" t="str">
            <v>KIM</v>
          </cell>
        </row>
        <row r="445">
          <cell r="A445">
            <v>45379</v>
          </cell>
          <cell r="M445" t="str">
            <v>KIM</v>
          </cell>
        </row>
        <row r="446">
          <cell r="A446">
            <v>45379</v>
          </cell>
          <cell r="M446" t="str">
            <v>KIM</v>
          </cell>
        </row>
        <row r="447">
          <cell r="A447">
            <v>45379</v>
          </cell>
          <cell r="M447" t="str">
            <v>KIM</v>
          </cell>
        </row>
        <row r="448">
          <cell r="A448">
            <v>45379</v>
          </cell>
          <cell r="M448" t="str">
            <v>KIM</v>
          </cell>
        </row>
        <row r="449">
          <cell r="A449">
            <v>45379</v>
          </cell>
          <cell r="M449" t="str">
            <v>KIM</v>
          </cell>
        </row>
        <row r="450">
          <cell r="A450">
            <v>45383</v>
          </cell>
          <cell r="H450">
            <v>63687.92</v>
          </cell>
          <cell r="M450" t="str">
            <v>KIM</v>
          </cell>
        </row>
        <row r="451">
          <cell r="A451">
            <v>45383</v>
          </cell>
          <cell r="H451">
            <v>38130.629999999997</v>
          </cell>
          <cell r="M451" t="str">
            <v>KIM</v>
          </cell>
        </row>
        <row r="452">
          <cell r="A452">
            <v>45383</v>
          </cell>
          <cell r="H452">
            <v>35583.4</v>
          </cell>
          <cell r="M452" t="str">
            <v>KIM</v>
          </cell>
        </row>
        <row r="453">
          <cell r="A453">
            <v>45383</v>
          </cell>
          <cell r="H453">
            <v>18863.61</v>
          </cell>
          <cell r="M453" t="str">
            <v>KIM</v>
          </cell>
        </row>
        <row r="454">
          <cell r="A454">
            <v>45383</v>
          </cell>
          <cell r="H454">
            <v>2658.32</v>
          </cell>
          <cell r="M454" t="str">
            <v>KIM</v>
          </cell>
        </row>
        <row r="455">
          <cell r="A455">
            <v>45383</v>
          </cell>
          <cell r="H455">
            <v>2348.6</v>
          </cell>
          <cell r="M455" t="str">
            <v>KIM</v>
          </cell>
        </row>
        <row r="456">
          <cell r="A456">
            <v>45383</v>
          </cell>
          <cell r="H456">
            <v>2257.6</v>
          </cell>
          <cell r="M456" t="str">
            <v>KIM</v>
          </cell>
        </row>
        <row r="457">
          <cell r="A457">
            <v>45383</v>
          </cell>
          <cell r="H457">
            <v>2249.41</v>
          </cell>
          <cell r="M457" t="str">
            <v>KIM</v>
          </cell>
        </row>
        <row r="458">
          <cell r="A458">
            <v>45383</v>
          </cell>
          <cell r="H458">
            <v>490</v>
          </cell>
          <cell r="M458" t="str">
            <v>KIM</v>
          </cell>
        </row>
        <row r="459">
          <cell r="A459">
            <v>45383</v>
          </cell>
          <cell r="H459">
            <v>320</v>
          </cell>
          <cell r="M459" t="str">
            <v>KIM</v>
          </cell>
        </row>
        <row r="460">
          <cell r="A460">
            <v>45383</v>
          </cell>
          <cell r="H460">
            <v>215.95</v>
          </cell>
          <cell r="M460" t="str">
            <v>KIM</v>
          </cell>
        </row>
        <row r="461">
          <cell r="A461">
            <v>45383</v>
          </cell>
          <cell r="H461">
            <v>167</v>
          </cell>
          <cell r="M461" t="str">
            <v>KIM</v>
          </cell>
        </row>
        <row r="462">
          <cell r="A462">
            <v>45383</v>
          </cell>
          <cell r="H462">
            <v>162.35</v>
          </cell>
          <cell r="M462" t="str">
            <v>KIM</v>
          </cell>
        </row>
        <row r="463">
          <cell r="A463">
            <v>45383</v>
          </cell>
          <cell r="H463">
            <v>33.799999999999997</v>
          </cell>
          <cell r="M463" t="str">
            <v>KIM</v>
          </cell>
        </row>
        <row r="464">
          <cell r="A464">
            <v>45383</v>
          </cell>
          <cell r="H464">
            <v>9.5500000000000007</v>
          </cell>
          <cell r="M464" t="str">
            <v>KIM</v>
          </cell>
        </row>
        <row r="465">
          <cell r="A465">
            <v>45383</v>
          </cell>
        </row>
        <row r="466">
          <cell r="A466">
            <v>45383</v>
          </cell>
        </row>
        <row r="467">
          <cell r="A467">
            <v>45383</v>
          </cell>
        </row>
        <row r="468">
          <cell r="A468">
            <v>45383</v>
          </cell>
        </row>
        <row r="469">
          <cell r="A469">
            <v>45383</v>
          </cell>
        </row>
        <row r="470">
          <cell r="A470">
            <v>45383</v>
          </cell>
        </row>
        <row r="471">
          <cell r="A471">
            <v>45383</v>
          </cell>
        </row>
        <row r="472">
          <cell r="A472">
            <v>45383</v>
          </cell>
        </row>
        <row r="473">
          <cell r="A473">
            <v>45383</v>
          </cell>
        </row>
        <row r="474">
          <cell r="A474">
            <v>45383</v>
          </cell>
        </row>
        <row r="475">
          <cell r="A475">
            <v>45383</v>
          </cell>
        </row>
        <row r="476">
          <cell r="A476">
            <v>45383</v>
          </cell>
        </row>
        <row r="477">
          <cell r="A477">
            <v>45384</v>
          </cell>
          <cell r="H477">
            <v>505</v>
          </cell>
          <cell r="M477" t="str">
            <v>KIM</v>
          </cell>
        </row>
        <row r="478">
          <cell r="A478">
            <v>45384</v>
          </cell>
          <cell r="H478">
            <v>73</v>
          </cell>
          <cell r="M478" t="str">
            <v>KIM</v>
          </cell>
        </row>
        <row r="479">
          <cell r="A479">
            <v>45384</v>
          </cell>
          <cell r="H479">
            <v>16</v>
          </cell>
          <cell r="M479" t="str">
            <v>KIM</v>
          </cell>
        </row>
        <row r="480">
          <cell r="A480">
            <v>45384</v>
          </cell>
          <cell r="H480">
            <v>5</v>
          </cell>
          <cell r="M480" t="str">
            <v>KIM</v>
          </cell>
        </row>
        <row r="481">
          <cell r="A481">
            <v>45385</v>
          </cell>
          <cell r="H481">
            <v>50000</v>
          </cell>
          <cell r="M481" t="str">
            <v>KIM</v>
          </cell>
        </row>
        <row r="482">
          <cell r="A482">
            <v>45385</v>
          </cell>
          <cell r="H482">
            <v>2924</v>
          </cell>
          <cell r="M482" t="str">
            <v>KIM</v>
          </cell>
        </row>
        <row r="483">
          <cell r="A483">
            <v>45387</v>
          </cell>
          <cell r="H483">
            <v>78946.95</v>
          </cell>
          <cell r="M483" t="str">
            <v>TACOM</v>
          </cell>
        </row>
        <row r="484">
          <cell r="A484">
            <v>45387</v>
          </cell>
          <cell r="H484">
            <v>34413.07</v>
          </cell>
          <cell r="M484" t="str">
            <v>TACOM</v>
          </cell>
        </row>
        <row r="485">
          <cell r="A485">
            <v>45387</v>
          </cell>
          <cell r="H485">
            <v>6441.49</v>
          </cell>
          <cell r="M485" t="str">
            <v>TACOM</v>
          </cell>
        </row>
        <row r="486">
          <cell r="A486">
            <v>45387</v>
          </cell>
          <cell r="H486">
            <v>2558.1499999999996</v>
          </cell>
          <cell r="M486" t="str">
            <v>TACOM</v>
          </cell>
        </row>
        <row r="487">
          <cell r="A487">
            <v>45387</v>
          </cell>
          <cell r="H487">
            <v>32847.5</v>
          </cell>
          <cell r="M487" t="str">
            <v>KIM</v>
          </cell>
        </row>
        <row r="488">
          <cell r="A488">
            <v>45387</v>
          </cell>
          <cell r="H488">
            <v>2351.9699999999998</v>
          </cell>
          <cell r="M488" t="str">
            <v>TACOM</v>
          </cell>
        </row>
        <row r="489">
          <cell r="A489">
            <v>45387</v>
          </cell>
          <cell r="H489">
            <v>991.27</v>
          </cell>
          <cell r="M489" t="str">
            <v>TACOM</v>
          </cell>
        </row>
        <row r="490">
          <cell r="A490">
            <v>45387</v>
          </cell>
          <cell r="H490">
            <v>25000</v>
          </cell>
          <cell r="M490" t="str">
            <v>KIM</v>
          </cell>
        </row>
        <row r="491">
          <cell r="A491">
            <v>45387</v>
          </cell>
          <cell r="H491">
            <v>1212.27</v>
          </cell>
          <cell r="M491" t="str">
            <v>KIM</v>
          </cell>
        </row>
        <row r="492">
          <cell r="A492">
            <v>45387</v>
          </cell>
          <cell r="H492">
            <v>1026.27</v>
          </cell>
          <cell r="M492" t="str">
            <v>KIM</v>
          </cell>
        </row>
        <row r="493">
          <cell r="A493">
            <v>45387</v>
          </cell>
          <cell r="H493">
            <v>800</v>
          </cell>
          <cell r="M493" t="str">
            <v>KIM</v>
          </cell>
        </row>
        <row r="494">
          <cell r="A494">
            <v>45387</v>
          </cell>
          <cell r="H494">
            <v>590</v>
          </cell>
          <cell r="M494" t="str">
            <v>KIM</v>
          </cell>
        </row>
        <row r="495">
          <cell r="A495">
            <v>45387</v>
          </cell>
          <cell r="H495">
            <v>395.72</v>
          </cell>
          <cell r="M495" t="str">
            <v>KIM</v>
          </cell>
        </row>
        <row r="496">
          <cell r="A496">
            <v>45387</v>
          </cell>
          <cell r="H496">
            <v>300.8</v>
          </cell>
          <cell r="M496" t="str">
            <v>KIM</v>
          </cell>
        </row>
        <row r="497">
          <cell r="A497">
            <v>45387</v>
          </cell>
          <cell r="H497">
            <v>228.23</v>
          </cell>
          <cell r="M497" t="str">
            <v>KIM</v>
          </cell>
        </row>
        <row r="498">
          <cell r="A498">
            <v>45387</v>
          </cell>
          <cell r="H498">
            <v>219.82</v>
          </cell>
          <cell r="M498" t="str">
            <v>KIM</v>
          </cell>
        </row>
        <row r="499">
          <cell r="A499">
            <v>45387</v>
          </cell>
          <cell r="H499">
            <v>183.74</v>
          </cell>
          <cell r="M499" t="str">
            <v>KIM</v>
          </cell>
        </row>
        <row r="500">
          <cell r="A500">
            <v>45387</v>
          </cell>
          <cell r="H500">
            <v>72</v>
          </cell>
          <cell r="M500" t="str">
            <v>KIM</v>
          </cell>
        </row>
        <row r="501">
          <cell r="A501">
            <v>45387</v>
          </cell>
          <cell r="H501">
            <v>43.48</v>
          </cell>
          <cell r="M501" t="str">
            <v>KIM</v>
          </cell>
        </row>
        <row r="502">
          <cell r="A502">
            <v>45387</v>
          </cell>
          <cell r="H502">
            <v>2.5</v>
          </cell>
          <cell r="M502" t="str">
            <v>KIM</v>
          </cell>
        </row>
        <row r="503">
          <cell r="A503">
            <v>45387</v>
          </cell>
          <cell r="M503" t="str">
            <v>KIM</v>
          </cell>
        </row>
        <row r="504">
          <cell r="A504">
            <v>45390</v>
          </cell>
          <cell r="H504">
            <v>9140.08</v>
          </cell>
          <cell r="M504" t="str">
            <v>KIM</v>
          </cell>
        </row>
        <row r="505">
          <cell r="A505">
            <v>45390</v>
          </cell>
          <cell r="H505">
            <v>2915.42</v>
          </cell>
          <cell r="M505" t="str">
            <v>KIM</v>
          </cell>
        </row>
        <row r="506">
          <cell r="A506">
            <v>45390</v>
          </cell>
          <cell r="H506">
            <v>437.5</v>
          </cell>
          <cell r="M506" t="str">
            <v>KIM</v>
          </cell>
        </row>
        <row r="507">
          <cell r="A507">
            <v>45391</v>
          </cell>
          <cell r="H507">
            <v>2.5</v>
          </cell>
          <cell r="M507" t="str">
            <v>KIM</v>
          </cell>
        </row>
        <row r="508">
          <cell r="A508">
            <v>45392</v>
          </cell>
          <cell r="H508">
            <v>40662.21</v>
          </cell>
          <cell r="M508" t="str">
            <v>KIM</v>
          </cell>
        </row>
        <row r="509">
          <cell r="A509">
            <v>45392</v>
          </cell>
          <cell r="H509">
            <v>28369.4</v>
          </cell>
          <cell r="M509" t="str">
            <v>KIM</v>
          </cell>
        </row>
        <row r="510">
          <cell r="A510">
            <v>45392</v>
          </cell>
          <cell r="H510">
            <v>27313.24</v>
          </cell>
          <cell r="M510" t="str">
            <v>KIM</v>
          </cell>
        </row>
        <row r="511">
          <cell r="A511">
            <v>45392</v>
          </cell>
          <cell r="H511">
            <v>18914.400000000001</v>
          </cell>
          <cell r="M511" t="str">
            <v>KIM</v>
          </cell>
        </row>
        <row r="512">
          <cell r="A512">
            <v>45392</v>
          </cell>
          <cell r="H512">
            <v>15000</v>
          </cell>
          <cell r="M512" t="str">
            <v>TACOM</v>
          </cell>
        </row>
        <row r="513">
          <cell r="A513">
            <v>45392</v>
          </cell>
          <cell r="H513">
            <v>18000</v>
          </cell>
          <cell r="M513" t="str">
            <v>KIM</v>
          </cell>
        </row>
        <row r="514">
          <cell r="A514">
            <v>45392</v>
          </cell>
          <cell r="H514">
            <v>17000</v>
          </cell>
          <cell r="M514" t="str">
            <v>KIM</v>
          </cell>
        </row>
        <row r="515">
          <cell r="A515">
            <v>45392</v>
          </cell>
          <cell r="H515">
            <v>16800</v>
          </cell>
          <cell r="M515" t="str">
            <v>KIM</v>
          </cell>
        </row>
        <row r="516">
          <cell r="A516">
            <v>45392</v>
          </cell>
          <cell r="H516">
            <v>16318.4</v>
          </cell>
          <cell r="M516" t="str">
            <v>KIM</v>
          </cell>
        </row>
        <row r="517">
          <cell r="A517">
            <v>45392</v>
          </cell>
          <cell r="H517">
            <v>16000</v>
          </cell>
          <cell r="M517" t="str">
            <v>KIM</v>
          </cell>
        </row>
        <row r="518">
          <cell r="A518">
            <v>45392</v>
          </cell>
          <cell r="H518">
            <v>15000</v>
          </cell>
          <cell r="M518" t="str">
            <v>KIM</v>
          </cell>
        </row>
        <row r="519">
          <cell r="A519">
            <v>45392</v>
          </cell>
          <cell r="H519">
            <v>15000</v>
          </cell>
          <cell r="M519" t="str">
            <v>KIM</v>
          </cell>
        </row>
        <row r="520">
          <cell r="A520">
            <v>45392</v>
          </cell>
          <cell r="H520">
            <v>15000</v>
          </cell>
          <cell r="M520" t="str">
            <v>KIM</v>
          </cell>
        </row>
        <row r="521">
          <cell r="A521">
            <v>45392</v>
          </cell>
          <cell r="H521">
            <v>14077.5</v>
          </cell>
          <cell r="M521" t="str">
            <v>KIM</v>
          </cell>
        </row>
        <row r="522">
          <cell r="A522">
            <v>45392</v>
          </cell>
          <cell r="H522">
            <v>14000</v>
          </cell>
          <cell r="M522" t="str">
            <v>KIM</v>
          </cell>
        </row>
        <row r="523">
          <cell r="A523">
            <v>45392</v>
          </cell>
          <cell r="H523">
            <v>7900</v>
          </cell>
          <cell r="M523" t="str">
            <v>KIM</v>
          </cell>
        </row>
        <row r="524">
          <cell r="A524">
            <v>45392</v>
          </cell>
          <cell r="H524">
            <v>6000</v>
          </cell>
          <cell r="M524" t="str">
            <v>KIM</v>
          </cell>
        </row>
        <row r="525">
          <cell r="A525">
            <v>45392</v>
          </cell>
          <cell r="H525">
            <v>1729.67</v>
          </cell>
          <cell r="M525" t="str">
            <v>KIM</v>
          </cell>
        </row>
        <row r="526">
          <cell r="A526">
            <v>45392</v>
          </cell>
          <cell r="H526">
            <v>1100</v>
          </cell>
          <cell r="M526" t="str">
            <v>KIM</v>
          </cell>
        </row>
        <row r="527">
          <cell r="A527">
            <v>45392</v>
          </cell>
          <cell r="H527">
            <v>484.19</v>
          </cell>
          <cell r="M527" t="str">
            <v>KIM</v>
          </cell>
        </row>
        <row r="528">
          <cell r="A528">
            <v>45392</v>
          </cell>
          <cell r="H528">
            <v>483.28</v>
          </cell>
          <cell r="M528" t="str">
            <v>KIM</v>
          </cell>
        </row>
        <row r="529">
          <cell r="A529">
            <v>45392</v>
          </cell>
          <cell r="H529">
            <v>429</v>
          </cell>
          <cell r="M529" t="str">
            <v>KIM</v>
          </cell>
        </row>
        <row r="530">
          <cell r="A530">
            <v>45392</v>
          </cell>
          <cell r="H530">
            <v>338.33</v>
          </cell>
          <cell r="M530" t="str">
            <v>KIM</v>
          </cell>
        </row>
        <row r="531">
          <cell r="A531">
            <v>45392</v>
          </cell>
          <cell r="H531">
            <v>318.44</v>
          </cell>
          <cell r="M531" t="str">
            <v>KIM</v>
          </cell>
        </row>
        <row r="532">
          <cell r="A532">
            <v>45392</v>
          </cell>
          <cell r="H532">
            <v>145.80000000000001</v>
          </cell>
          <cell r="M532" t="str">
            <v>KIM</v>
          </cell>
        </row>
        <row r="533">
          <cell r="A533">
            <v>45392</v>
          </cell>
          <cell r="H533">
            <v>138.26</v>
          </cell>
          <cell r="M533" t="str">
            <v>KIM</v>
          </cell>
        </row>
        <row r="534">
          <cell r="A534">
            <v>45392</v>
          </cell>
          <cell r="M534" t="str">
            <v>KIM</v>
          </cell>
        </row>
        <row r="535">
          <cell r="A535">
            <v>45392</v>
          </cell>
          <cell r="M535" t="str">
            <v>KIM</v>
          </cell>
        </row>
        <row r="536">
          <cell r="A536">
            <v>45392</v>
          </cell>
          <cell r="M536" t="str">
            <v>KIM</v>
          </cell>
        </row>
        <row r="537">
          <cell r="A537">
            <v>45392</v>
          </cell>
          <cell r="M537" t="str">
            <v>KIM</v>
          </cell>
        </row>
        <row r="538">
          <cell r="A538">
            <v>45392</v>
          </cell>
          <cell r="M538" t="str">
            <v>KIM</v>
          </cell>
        </row>
        <row r="539">
          <cell r="A539">
            <v>45392</v>
          </cell>
          <cell r="M539" t="str">
            <v>KIM</v>
          </cell>
        </row>
        <row r="540">
          <cell r="A540">
            <v>45392</v>
          </cell>
          <cell r="M540" t="str">
            <v>KIM</v>
          </cell>
        </row>
        <row r="541">
          <cell r="A541">
            <v>45392</v>
          </cell>
          <cell r="M541" t="str">
            <v>KIM</v>
          </cell>
        </row>
        <row r="542">
          <cell r="A542">
            <v>45392</v>
          </cell>
          <cell r="M542" t="str">
            <v>KIM</v>
          </cell>
        </row>
        <row r="543">
          <cell r="A543">
            <v>45392</v>
          </cell>
          <cell r="M543" t="str">
            <v>KIM</v>
          </cell>
        </row>
        <row r="544">
          <cell r="A544">
            <v>45392</v>
          </cell>
          <cell r="M544" t="str">
            <v>KIM</v>
          </cell>
        </row>
        <row r="545">
          <cell r="A545">
            <v>45392</v>
          </cell>
          <cell r="M545" t="str">
            <v>KIM</v>
          </cell>
        </row>
        <row r="546">
          <cell r="A546">
            <v>45392</v>
          </cell>
          <cell r="M546" t="str">
            <v>KIM</v>
          </cell>
        </row>
        <row r="547">
          <cell r="A547">
            <v>45392</v>
          </cell>
          <cell r="M547" t="str">
            <v>KIM</v>
          </cell>
        </row>
        <row r="548">
          <cell r="A548">
            <v>45392</v>
          </cell>
          <cell r="M548" t="str">
            <v>KIM</v>
          </cell>
        </row>
        <row r="549">
          <cell r="A549">
            <v>45393</v>
          </cell>
          <cell r="H549">
            <v>50000</v>
          </cell>
          <cell r="M549" t="str">
            <v>KIM</v>
          </cell>
        </row>
        <row r="550">
          <cell r="A550">
            <v>45393</v>
          </cell>
          <cell r="H550">
            <v>25300</v>
          </cell>
          <cell r="M550" t="str">
            <v>KIM</v>
          </cell>
        </row>
        <row r="551">
          <cell r="A551">
            <v>45393</v>
          </cell>
          <cell r="H551">
            <v>17863.599999999999</v>
          </cell>
          <cell r="M551" t="str">
            <v>KIM</v>
          </cell>
        </row>
        <row r="552">
          <cell r="A552">
            <v>45393</v>
          </cell>
          <cell r="H552">
            <v>358.23</v>
          </cell>
          <cell r="M552" t="str">
            <v>KIM</v>
          </cell>
        </row>
        <row r="553">
          <cell r="A553">
            <v>45393</v>
          </cell>
          <cell r="H553">
            <v>325.06</v>
          </cell>
          <cell r="M553" t="str">
            <v>KIM</v>
          </cell>
        </row>
        <row r="554">
          <cell r="A554">
            <v>45393</v>
          </cell>
          <cell r="H554">
            <v>142.19</v>
          </cell>
          <cell r="M554" t="str">
            <v>KIM</v>
          </cell>
        </row>
        <row r="555">
          <cell r="A555">
            <v>45393</v>
          </cell>
          <cell r="H555">
            <v>9.5500000000000007</v>
          </cell>
          <cell r="M555" t="str">
            <v>KIM</v>
          </cell>
        </row>
        <row r="556">
          <cell r="A556">
            <v>45394</v>
          </cell>
          <cell r="H556">
            <v>141151.15</v>
          </cell>
          <cell r="M556" t="str">
            <v>KIM</v>
          </cell>
        </row>
        <row r="557">
          <cell r="A557">
            <v>45394</v>
          </cell>
          <cell r="H557">
            <v>5405.76</v>
          </cell>
          <cell r="M557" t="str">
            <v>KIM</v>
          </cell>
        </row>
        <row r="558">
          <cell r="A558">
            <v>45397</v>
          </cell>
          <cell r="H558">
            <v>1689.3</v>
          </cell>
          <cell r="M558" t="str">
            <v>KIM</v>
          </cell>
        </row>
        <row r="559">
          <cell r="A559">
            <v>45397</v>
          </cell>
          <cell r="H559">
            <v>73.400000000000006</v>
          </cell>
          <cell r="M559" t="str">
            <v>KIM</v>
          </cell>
        </row>
        <row r="560">
          <cell r="A560">
            <v>45399</v>
          </cell>
          <cell r="M560" t="str">
            <v>TACOM</v>
          </cell>
        </row>
        <row r="561">
          <cell r="A561">
            <v>45400</v>
          </cell>
          <cell r="H561">
            <v>12502.7</v>
          </cell>
          <cell r="M561" t="str">
            <v>KIM</v>
          </cell>
        </row>
        <row r="562">
          <cell r="A562">
            <v>45400</v>
          </cell>
          <cell r="H562">
            <v>10554.49</v>
          </cell>
          <cell r="M562" t="str">
            <v>KIM</v>
          </cell>
        </row>
        <row r="563">
          <cell r="A563">
            <v>45401</v>
          </cell>
          <cell r="H563">
            <v>50000</v>
          </cell>
          <cell r="M563" t="str">
            <v>KIM</v>
          </cell>
        </row>
        <row r="564">
          <cell r="A564">
            <v>45401</v>
          </cell>
          <cell r="H564">
            <v>31743.69</v>
          </cell>
          <cell r="M564" t="str">
            <v>KIM</v>
          </cell>
        </row>
        <row r="565">
          <cell r="A565">
            <v>45401</v>
          </cell>
          <cell r="H565">
            <v>7684.19</v>
          </cell>
          <cell r="M565" t="str">
            <v>KIM</v>
          </cell>
        </row>
        <row r="566">
          <cell r="A566">
            <v>45401</v>
          </cell>
          <cell r="H566">
            <v>1001.07</v>
          </cell>
          <cell r="M566" t="str">
            <v>KIM</v>
          </cell>
        </row>
        <row r="567">
          <cell r="A567">
            <v>45401</v>
          </cell>
          <cell r="H567">
            <v>248.67</v>
          </cell>
          <cell r="M567" t="str">
            <v>KIM</v>
          </cell>
        </row>
        <row r="568">
          <cell r="A568">
            <v>45404</v>
          </cell>
          <cell r="H568">
            <v>67500</v>
          </cell>
          <cell r="M568" t="str">
            <v>KIM</v>
          </cell>
        </row>
        <row r="569">
          <cell r="A569">
            <v>45404</v>
          </cell>
          <cell r="H569">
            <v>34466.660000000003</v>
          </cell>
          <cell r="M569" t="str">
            <v>KIM</v>
          </cell>
        </row>
        <row r="570">
          <cell r="A570">
            <v>45404</v>
          </cell>
          <cell r="H570">
            <v>31466.66</v>
          </cell>
          <cell r="M570" t="str">
            <v>KIM</v>
          </cell>
        </row>
        <row r="571">
          <cell r="A571">
            <v>45404</v>
          </cell>
          <cell r="H571">
            <v>30231.83</v>
          </cell>
          <cell r="M571" t="str">
            <v>KIM</v>
          </cell>
        </row>
        <row r="572">
          <cell r="A572">
            <v>45404</v>
          </cell>
          <cell r="H572">
            <v>25712.639999999999</v>
          </cell>
          <cell r="M572" t="str">
            <v>KIM</v>
          </cell>
        </row>
        <row r="573">
          <cell r="A573">
            <v>45404</v>
          </cell>
          <cell r="H573">
            <v>20647</v>
          </cell>
          <cell r="M573" t="str">
            <v>KIM</v>
          </cell>
        </row>
        <row r="574">
          <cell r="A574">
            <v>45404</v>
          </cell>
          <cell r="H574">
            <v>18489.240000000002</v>
          </cell>
          <cell r="M574" t="str">
            <v>KIM</v>
          </cell>
        </row>
        <row r="575">
          <cell r="A575">
            <v>45404</v>
          </cell>
          <cell r="H575">
            <v>8000</v>
          </cell>
          <cell r="M575" t="str">
            <v>KIM</v>
          </cell>
        </row>
        <row r="576">
          <cell r="A576">
            <v>45404</v>
          </cell>
          <cell r="H576">
            <v>5999.9</v>
          </cell>
          <cell r="M576" t="str">
            <v>KIM</v>
          </cell>
        </row>
        <row r="577">
          <cell r="A577">
            <v>45404</v>
          </cell>
          <cell r="H577">
            <v>5999.9</v>
          </cell>
          <cell r="M577" t="str">
            <v>KIM</v>
          </cell>
        </row>
        <row r="578">
          <cell r="A578">
            <v>45404</v>
          </cell>
          <cell r="H578">
            <v>2950</v>
          </cell>
          <cell r="M578" t="str">
            <v>KIM</v>
          </cell>
        </row>
        <row r="579">
          <cell r="A579">
            <v>45404</v>
          </cell>
          <cell r="H579">
            <v>1216</v>
          </cell>
          <cell r="M579" t="str">
            <v>KIM</v>
          </cell>
        </row>
        <row r="580">
          <cell r="A580">
            <v>45404</v>
          </cell>
          <cell r="H580">
            <v>363.93</v>
          </cell>
          <cell r="M580" t="str">
            <v>KIM</v>
          </cell>
        </row>
        <row r="581">
          <cell r="A581">
            <v>45404</v>
          </cell>
          <cell r="H581">
            <v>250</v>
          </cell>
          <cell r="M581" t="str">
            <v>KIM</v>
          </cell>
        </row>
        <row r="582">
          <cell r="A582">
            <v>45404</v>
          </cell>
          <cell r="H582">
            <v>191.16</v>
          </cell>
          <cell r="M582" t="str">
            <v>KIM</v>
          </cell>
        </row>
        <row r="583">
          <cell r="A583">
            <v>45405</v>
          </cell>
          <cell r="H583">
            <v>72103.86</v>
          </cell>
          <cell r="M583" t="str">
            <v>KIM</v>
          </cell>
        </row>
        <row r="584">
          <cell r="A584">
            <v>45405</v>
          </cell>
          <cell r="H584">
            <v>42019.92</v>
          </cell>
          <cell r="M584" t="str">
            <v>KIM</v>
          </cell>
        </row>
        <row r="585">
          <cell r="A585">
            <v>45405</v>
          </cell>
          <cell r="H585">
            <v>8472.1299999999992</v>
          </cell>
          <cell r="M585" t="str">
            <v>KIM</v>
          </cell>
        </row>
        <row r="586">
          <cell r="A586">
            <v>45405</v>
          </cell>
          <cell r="H586">
            <v>3702.8</v>
          </cell>
          <cell r="M586" t="str">
            <v>KIM</v>
          </cell>
        </row>
        <row r="587">
          <cell r="A587">
            <v>45405</v>
          </cell>
          <cell r="H587">
            <v>385</v>
          </cell>
          <cell r="M587" t="str">
            <v>KIM</v>
          </cell>
        </row>
        <row r="588">
          <cell r="A588">
            <v>45405</v>
          </cell>
          <cell r="H588">
            <v>210.1</v>
          </cell>
          <cell r="M588" t="str">
            <v>KIM</v>
          </cell>
        </row>
        <row r="589">
          <cell r="A589">
            <v>45405</v>
          </cell>
          <cell r="H589">
            <v>167</v>
          </cell>
          <cell r="M589" t="str">
            <v>KIM</v>
          </cell>
        </row>
        <row r="590">
          <cell r="A590">
            <v>45405</v>
          </cell>
          <cell r="H590">
            <v>9.5500000000000007</v>
          </cell>
          <cell r="M590" t="str">
            <v>KIM</v>
          </cell>
        </row>
        <row r="591">
          <cell r="A591">
            <v>45405</v>
          </cell>
          <cell r="H591">
            <v>2.5</v>
          </cell>
          <cell r="M591" t="str">
            <v>KIM</v>
          </cell>
        </row>
        <row r="592">
          <cell r="A592">
            <v>45406</v>
          </cell>
          <cell r="H592">
            <v>800.92</v>
          </cell>
          <cell r="M592" t="str">
            <v>KIM</v>
          </cell>
        </row>
        <row r="593">
          <cell r="A593">
            <v>45407</v>
          </cell>
          <cell r="H593">
            <v>10408.64</v>
          </cell>
          <cell r="M593" t="str">
            <v>KIM</v>
          </cell>
        </row>
        <row r="594">
          <cell r="A594">
            <v>45407</v>
          </cell>
          <cell r="H594">
            <v>2255.21</v>
          </cell>
          <cell r="M594" t="str">
            <v>KIM</v>
          </cell>
        </row>
        <row r="595">
          <cell r="A595">
            <v>45407</v>
          </cell>
          <cell r="H595">
            <v>1096.2</v>
          </cell>
          <cell r="M595" t="str">
            <v>KIM</v>
          </cell>
        </row>
        <row r="596">
          <cell r="A596">
            <v>45408</v>
          </cell>
          <cell r="H596">
            <v>87767.09</v>
          </cell>
          <cell r="M596" t="str">
            <v>KIM</v>
          </cell>
        </row>
        <row r="597">
          <cell r="A597">
            <v>45408</v>
          </cell>
          <cell r="H597">
            <v>99.99</v>
          </cell>
          <cell r="M597" t="str">
            <v>KIM</v>
          </cell>
        </row>
        <row r="598">
          <cell r="A598">
            <v>45411</v>
          </cell>
          <cell r="H598">
            <v>309.89</v>
          </cell>
          <cell r="M598" t="str">
            <v>KIM</v>
          </cell>
        </row>
        <row r="599">
          <cell r="A599">
            <v>45412</v>
          </cell>
          <cell r="H599">
            <v>34653.279999999999</v>
          </cell>
          <cell r="M599" t="str">
            <v>KIM</v>
          </cell>
        </row>
        <row r="600">
          <cell r="A600">
            <v>45412</v>
          </cell>
          <cell r="M600" t="str">
            <v>TACOM</v>
          </cell>
        </row>
        <row r="601">
          <cell r="A601">
            <v>45412</v>
          </cell>
          <cell r="M601" t="str">
            <v>TACOM</v>
          </cell>
        </row>
        <row r="602">
          <cell r="A602">
            <v>45412</v>
          </cell>
          <cell r="M602" t="str">
            <v>TACOM</v>
          </cell>
        </row>
        <row r="603">
          <cell r="A603">
            <v>45412</v>
          </cell>
          <cell r="M603" t="str">
            <v>TACOM</v>
          </cell>
        </row>
        <row r="604">
          <cell r="A604">
            <v>45412</v>
          </cell>
          <cell r="H604">
            <v>9672.51</v>
          </cell>
          <cell r="M604" t="str">
            <v>KIM</v>
          </cell>
        </row>
        <row r="605">
          <cell r="A605">
            <v>45412</v>
          </cell>
          <cell r="H605">
            <v>8847.9500000000007</v>
          </cell>
          <cell r="M605" t="str">
            <v>KIM</v>
          </cell>
        </row>
        <row r="606">
          <cell r="A606">
            <v>45412</v>
          </cell>
          <cell r="H606">
            <v>4968</v>
          </cell>
          <cell r="M606" t="str">
            <v>KIM</v>
          </cell>
        </row>
        <row r="607">
          <cell r="A607">
            <v>45412</v>
          </cell>
          <cell r="H607">
            <v>4632.47</v>
          </cell>
          <cell r="M607" t="str">
            <v>KIM</v>
          </cell>
        </row>
        <row r="608">
          <cell r="A608">
            <v>45412</v>
          </cell>
          <cell r="H608">
            <v>3340.34</v>
          </cell>
          <cell r="M608" t="str">
            <v>KIM</v>
          </cell>
        </row>
        <row r="609">
          <cell r="A609">
            <v>45412</v>
          </cell>
          <cell r="H609">
            <v>1917.05</v>
          </cell>
          <cell r="M609" t="str">
            <v>KIM</v>
          </cell>
        </row>
        <row r="610">
          <cell r="A610">
            <v>45412</v>
          </cell>
          <cell r="H610">
            <v>5.94</v>
          </cell>
          <cell r="M610" t="str">
            <v>KIM</v>
          </cell>
        </row>
        <row r="611">
          <cell r="A611">
            <v>45412</v>
          </cell>
          <cell r="M611" t="str">
            <v>KIM</v>
          </cell>
        </row>
        <row r="612">
          <cell r="A612">
            <v>45412</v>
          </cell>
          <cell r="M612" t="str">
            <v>KIM</v>
          </cell>
        </row>
        <row r="613">
          <cell r="A613">
            <v>45412</v>
          </cell>
          <cell r="M613" t="str">
            <v>KIM</v>
          </cell>
        </row>
        <row r="614">
          <cell r="A614">
            <v>45412</v>
          </cell>
          <cell r="M614" t="str">
            <v>KIM</v>
          </cell>
        </row>
        <row r="615">
          <cell r="A615">
            <v>45412</v>
          </cell>
          <cell r="M615" t="str">
            <v>KIM</v>
          </cell>
        </row>
        <row r="616">
          <cell r="A616">
            <v>45412</v>
          </cell>
          <cell r="M616" t="str">
            <v>KIM</v>
          </cell>
        </row>
        <row r="617">
          <cell r="A617">
            <v>45412</v>
          </cell>
          <cell r="M617" t="str">
            <v>KIM</v>
          </cell>
        </row>
        <row r="618">
          <cell r="A618">
            <v>45412</v>
          </cell>
          <cell r="M618" t="str">
            <v>KIM</v>
          </cell>
        </row>
        <row r="619">
          <cell r="A619">
            <v>45412</v>
          </cell>
          <cell r="M619" t="str">
            <v>KIM</v>
          </cell>
        </row>
        <row r="620">
          <cell r="A620">
            <v>45412</v>
          </cell>
          <cell r="M620" t="str">
            <v>KIM</v>
          </cell>
        </row>
        <row r="621">
          <cell r="A621">
            <v>45412</v>
          </cell>
          <cell r="M621" t="str">
            <v>KIM</v>
          </cell>
        </row>
        <row r="622">
          <cell r="A622">
            <v>45412</v>
          </cell>
          <cell r="M622" t="str">
            <v>KIM</v>
          </cell>
        </row>
        <row r="623">
          <cell r="A623">
            <v>45412</v>
          </cell>
          <cell r="M623" t="str">
            <v>KIM</v>
          </cell>
        </row>
        <row r="624">
          <cell r="A624">
            <v>45412</v>
          </cell>
          <cell r="M624" t="str">
            <v>KIM</v>
          </cell>
        </row>
        <row r="625">
          <cell r="A625">
            <v>45412</v>
          </cell>
          <cell r="M625" t="str">
            <v>KIM</v>
          </cell>
        </row>
        <row r="626">
          <cell r="A626">
            <v>45412</v>
          </cell>
          <cell r="M626" t="str">
            <v>KIM</v>
          </cell>
        </row>
        <row r="627">
          <cell r="A627">
            <v>45412</v>
          </cell>
          <cell r="M627" t="str">
            <v>KIM</v>
          </cell>
        </row>
        <row r="628">
          <cell r="A628">
            <v>45412</v>
          </cell>
          <cell r="M628" t="str">
            <v>KIM</v>
          </cell>
        </row>
        <row r="629">
          <cell r="A629">
            <v>45412</v>
          </cell>
          <cell r="M629" t="str">
            <v>KIM</v>
          </cell>
        </row>
        <row r="630">
          <cell r="A630">
            <v>45412</v>
          </cell>
          <cell r="M630" t="str">
            <v>KIM</v>
          </cell>
        </row>
        <row r="631">
          <cell r="A631">
            <v>45412</v>
          </cell>
          <cell r="M631" t="str">
            <v>KIM</v>
          </cell>
        </row>
        <row r="632">
          <cell r="A632">
            <v>45413</v>
          </cell>
        </row>
        <row r="633">
          <cell r="A633">
            <v>45413</v>
          </cell>
        </row>
        <row r="634">
          <cell r="A634">
            <v>45413</v>
          </cell>
        </row>
        <row r="635">
          <cell r="A635">
            <v>45413</v>
          </cell>
        </row>
        <row r="636">
          <cell r="A636">
            <v>45413</v>
          </cell>
        </row>
        <row r="637">
          <cell r="A637">
            <v>45413</v>
          </cell>
        </row>
        <row r="638">
          <cell r="A638">
            <v>45413</v>
          </cell>
        </row>
        <row r="639">
          <cell r="A639">
            <v>45413</v>
          </cell>
        </row>
        <row r="640">
          <cell r="A640">
            <v>45413</v>
          </cell>
        </row>
        <row r="641">
          <cell r="A641">
            <v>45413</v>
          </cell>
        </row>
        <row r="642">
          <cell r="A642">
            <v>45413</v>
          </cell>
        </row>
        <row r="643">
          <cell r="A643">
            <v>45413</v>
          </cell>
        </row>
        <row r="644">
          <cell r="A644">
            <v>45414</v>
          </cell>
          <cell r="H644">
            <v>18865.080000000002</v>
          </cell>
          <cell r="M644" t="str">
            <v>KIM</v>
          </cell>
        </row>
        <row r="645">
          <cell r="A645">
            <v>45414</v>
          </cell>
          <cell r="H645">
            <v>6640</v>
          </cell>
          <cell r="M645" t="str">
            <v>KIM</v>
          </cell>
        </row>
        <row r="646">
          <cell r="A646">
            <v>45414</v>
          </cell>
          <cell r="H646">
            <v>2310.96</v>
          </cell>
          <cell r="M646" t="str">
            <v>KIM</v>
          </cell>
        </row>
        <row r="647">
          <cell r="A647">
            <v>45414</v>
          </cell>
          <cell r="H647">
            <v>2256.41</v>
          </cell>
          <cell r="M647" t="str">
            <v>KIM</v>
          </cell>
        </row>
        <row r="648">
          <cell r="A648">
            <v>45414</v>
          </cell>
          <cell r="H648">
            <v>490</v>
          </cell>
          <cell r="M648" t="str">
            <v>KIM</v>
          </cell>
        </row>
        <row r="649">
          <cell r="A649">
            <v>45414</v>
          </cell>
          <cell r="H649">
            <v>215.98</v>
          </cell>
          <cell r="M649" t="str">
            <v>KIM</v>
          </cell>
        </row>
        <row r="650">
          <cell r="A650">
            <v>45414</v>
          </cell>
          <cell r="H650">
            <v>5</v>
          </cell>
          <cell r="M650" t="str">
            <v>KIM</v>
          </cell>
        </row>
        <row r="651">
          <cell r="A651">
            <v>45415</v>
          </cell>
          <cell r="H651">
            <v>17300</v>
          </cell>
          <cell r="M651" t="str">
            <v>KIM</v>
          </cell>
        </row>
        <row r="652">
          <cell r="A652">
            <v>45415</v>
          </cell>
          <cell r="H652">
            <v>9009.7800000000007</v>
          </cell>
          <cell r="M652" t="str">
            <v>KIM</v>
          </cell>
        </row>
        <row r="653">
          <cell r="A653">
            <v>45415</v>
          </cell>
          <cell r="H653">
            <v>73</v>
          </cell>
          <cell r="M653" t="str">
            <v>KIM</v>
          </cell>
        </row>
        <row r="654">
          <cell r="A654">
            <v>45415</v>
          </cell>
          <cell r="H654">
            <v>18</v>
          </cell>
          <cell r="M654" t="str">
            <v>KIM</v>
          </cell>
        </row>
        <row r="655">
          <cell r="A655">
            <v>45417</v>
          </cell>
          <cell r="H655">
            <v>2393.42</v>
          </cell>
          <cell r="M655" t="str">
            <v>TACOM</v>
          </cell>
        </row>
        <row r="656">
          <cell r="A656">
            <v>45418</v>
          </cell>
          <cell r="H656">
            <v>32847.5</v>
          </cell>
          <cell r="M656" t="str">
            <v>KIM</v>
          </cell>
        </row>
        <row r="657">
          <cell r="A657">
            <v>45418</v>
          </cell>
          <cell r="H657">
            <v>25000</v>
          </cell>
          <cell r="M657" t="str">
            <v>KIM</v>
          </cell>
        </row>
        <row r="658">
          <cell r="A658">
            <v>45418</v>
          </cell>
          <cell r="H658">
            <v>5000</v>
          </cell>
          <cell r="M658" t="str">
            <v>KIM</v>
          </cell>
        </row>
        <row r="659">
          <cell r="A659">
            <v>45418</v>
          </cell>
          <cell r="H659">
            <v>1216.25</v>
          </cell>
          <cell r="M659" t="str">
            <v>KIM</v>
          </cell>
        </row>
        <row r="660">
          <cell r="A660">
            <v>45418</v>
          </cell>
          <cell r="M660" t="str">
            <v>KIM</v>
          </cell>
        </row>
        <row r="661">
          <cell r="A661">
            <v>45419</v>
          </cell>
          <cell r="H661">
            <v>82831.929999999993</v>
          </cell>
          <cell r="M661" t="str">
            <v>TACOM</v>
          </cell>
        </row>
        <row r="662">
          <cell r="A662">
            <v>45419</v>
          </cell>
          <cell r="H662">
            <v>34091.79</v>
          </cell>
          <cell r="M662" t="str">
            <v>TACOM</v>
          </cell>
        </row>
        <row r="663">
          <cell r="A663">
            <v>45419</v>
          </cell>
          <cell r="H663">
            <v>9140.08</v>
          </cell>
          <cell r="M663" t="str">
            <v>KIM</v>
          </cell>
        </row>
        <row r="664">
          <cell r="A664">
            <v>45419</v>
          </cell>
          <cell r="H664">
            <v>6499.99</v>
          </cell>
          <cell r="M664" t="str">
            <v>TACOM</v>
          </cell>
        </row>
        <row r="665">
          <cell r="A665">
            <v>45419</v>
          </cell>
          <cell r="H665">
            <v>3387.87</v>
          </cell>
          <cell r="M665" t="str">
            <v>KIM</v>
          </cell>
        </row>
        <row r="666">
          <cell r="A666">
            <v>45419</v>
          </cell>
          <cell r="H666">
            <v>689.43</v>
          </cell>
          <cell r="M666" t="str">
            <v>TACOM</v>
          </cell>
        </row>
        <row r="667">
          <cell r="A667">
            <v>45419</v>
          </cell>
          <cell r="H667">
            <v>600</v>
          </cell>
          <cell r="M667" t="str">
            <v>KIM</v>
          </cell>
        </row>
        <row r="668">
          <cell r="A668">
            <v>45419</v>
          </cell>
          <cell r="H668">
            <v>518.26599999999996</v>
          </cell>
          <cell r="M668" t="str">
            <v>TACOM</v>
          </cell>
        </row>
        <row r="669">
          <cell r="A669">
            <v>45419</v>
          </cell>
          <cell r="H669">
            <v>9.8000000000000007</v>
          </cell>
          <cell r="M669" t="str">
            <v>KIM</v>
          </cell>
        </row>
        <row r="670">
          <cell r="A670">
            <v>45420</v>
          </cell>
          <cell r="H670">
            <v>24525.38</v>
          </cell>
          <cell r="M670" t="str">
            <v>KIM</v>
          </cell>
        </row>
        <row r="671">
          <cell r="A671">
            <v>45422</v>
          </cell>
          <cell r="H671">
            <v>40662.21</v>
          </cell>
          <cell r="M671" t="str">
            <v>KIM</v>
          </cell>
        </row>
        <row r="672">
          <cell r="A672">
            <v>45422</v>
          </cell>
          <cell r="H672">
            <v>25300</v>
          </cell>
          <cell r="M672" t="str">
            <v>KIM</v>
          </cell>
        </row>
        <row r="673">
          <cell r="A673">
            <v>45422</v>
          </cell>
          <cell r="H673">
            <v>19259.07</v>
          </cell>
          <cell r="M673" t="str">
            <v>KIM</v>
          </cell>
        </row>
        <row r="674">
          <cell r="A674">
            <v>45422</v>
          </cell>
          <cell r="H674">
            <v>18914.400000000001</v>
          </cell>
          <cell r="M674" t="str">
            <v>KIM</v>
          </cell>
        </row>
        <row r="675">
          <cell r="A675">
            <v>45422</v>
          </cell>
          <cell r="H675">
            <v>18000</v>
          </cell>
          <cell r="M675" t="str">
            <v>KIM</v>
          </cell>
        </row>
        <row r="676">
          <cell r="A676">
            <v>45422</v>
          </cell>
          <cell r="H676">
            <v>17863.599999999999</v>
          </cell>
          <cell r="M676" t="str">
            <v>KIM</v>
          </cell>
        </row>
        <row r="677">
          <cell r="A677">
            <v>45422</v>
          </cell>
          <cell r="H677">
            <v>16800</v>
          </cell>
          <cell r="M677" t="str">
            <v>KIM</v>
          </cell>
        </row>
        <row r="678">
          <cell r="A678">
            <v>45422</v>
          </cell>
          <cell r="H678">
            <v>16318.4</v>
          </cell>
          <cell r="M678" t="str">
            <v>KIM</v>
          </cell>
        </row>
        <row r="679">
          <cell r="A679">
            <v>45422</v>
          </cell>
          <cell r="H679">
            <v>16000</v>
          </cell>
          <cell r="M679" t="str">
            <v>KIM</v>
          </cell>
        </row>
        <row r="680">
          <cell r="A680">
            <v>45422</v>
          </cell>
          <cell r="H680">
            <v>16000</v>
          </cell>
          <cell r="M680" t="str">
            <v>KIM</v>
          </cell>
        </row>
        <row r="681">
          <cell r="A681">
            <v>45422</v>
          </cell>
          <cell r="H681">
            <v>15000</v>
          </cell>
          <cell r="M681" t="str">
            <v>KIM</v>
          </cell>
        </row>
        <row r="682">
          <cell r="A682">
            <v>45422</v>
          </cell>
          <cell r="H682">
            <v>15000</v>
          </cell>
          <cell r="M682" t="str">
            <v>KIM</v>
          </cell>
        </row>
        <row r="683">
          <cell r="A683">
            <v>45422</v>
          </cell>
          <cell r="H683">
            <v>15000</v>
          </cell>
          <cell r="M683" t="str">
            <v>KIM</v>
          </cell>
        </row>
        <row r="684">
          <cell r="A684">
            <v>45422</v>
          </cell>
          <cell r="H684">
            <v>14184.7</v>
          </cell>
          <cell r="M684" t="str">
            <v>KIM</v>
          </cell>
        </row>
        <row r="685">
          <cell r="A685">
            <v>45422</v>
          </cell>
          <cell r="H685">
            <v>14077.5</v>
          </cell>
          <cell r="M685" t="str">
            <v>KIM</v>
          </cell>
        </row>
        <row r="686">
          <cell r="A686">
            <v>45422</v>
          </cell>
          <cell r="H686">
            <v>14000</v>
          </cell>
          <cell r="M686" t="str">
            <v>KIM</v>
          </cell>
        </row>
        <row r="687">
          <cell r="A687">
            <v>45422</v>
          </cell>
          <cell r="H687">
            <v>13806.62</v>
          </cell>
          <cell r="M687" t="str">
            <v>KIM</v>
          </cell>
        </row>
        <row r="688">
          <cell r="A688">
            <v>45422</v>
          </cell>
          <cell r="H688">
            <v>12000</v>
          </cell>
          <cell r="M688" t="str">
            <v>KIM</v>
          </cell>
        </row>
        <row r="689">
          <cell r="A689">
            <v>45422</v>
          </cell>
          <cell r="H689">
            <v>8699.36</v>
          </cell>
          <cell r="M689" t="str">
            <v>KIM</v>
          </cell>
        </row>
        <row r="690">
          <cell r="A690">
            <v>45422</v>
          </cell>
          <cell r="H690">
            <v>6873.81</v>
          </cell>
          <cell r="M690" t="str">
            <v>KIM</v>
          </cell>
        </row>
        <row r="691">
          <cell r="A691">
            <v>45422</v>
          </cell>
          <cell r="H691">
            <v>6000</v>
          </cell>
          <cell r="M691" t="str">
            <v>KIM</v>
          </cell>
        </row>
        <row r="692">
          <cell r="A692">
            <v>45422</v>
          </cell>
          <cell r="H692">
            <v>2689</v>
          </cell>
          <cell r="M692" t="str">
            <v>KIM</v>
          </cell>
        </row>
        <row r="693">
          <cell r="A693">
            <v>45422</v>
          </cell>
          <cell r="H693">
            <v>1689.3</v>
          </cell>
          <cell r="M693" t="str">
            <v>KIM</v>
          </cell>
        </row>
        <row r="694">
          <cell r="A694">
            <v>45422</v>
          </cell>
          <cell r="H694">
            <v>1515.73</v>
          </cell>
          <cell r="M694" t="str">
            <v>KIM</v>
          </cell>
        </row>
        <row r="695">
          <cell r="A695">
            <v>45422</v>
          </cell>
          <cell r="H695">
            <v>1152.79</v>
          </cell>
          <cell r="M695" t="str">
            <v>KIM</v>
          </cell>
        </row>
        <row r="696">
          <cell r="A696">
            <v>45422</v>
          </cell>
          <cell r="H696">
            <v>1061.4099999999999</v>
          </cell>
          <cell r="M696" t="str">
            <v>KIM</v>
          </cell>
        </row>
        <row r="697">
          <cell r="A697">
            <v>45422</v>
          </cell>
          <cell r="H697">
            <v>612.30999999999995</v>
          </cell>
          <cell r="M697" t="str">
            <v>KIM</v>
          </cell>
        </row>
        <row r="698">
          <cell r="A698">
            <v>45422</v>
          </cell>
          <cell r="H698">
            <v>600</v>
          </cell>
          <cell r="M698" t="str">
            <v>KIM</v>
          </cell>
        </row>
        <row r="699">
          <cell r="A699">
            <v>45422</v>
          </cell>
          <cell r="H699">
            <v>600</v>
          </cell>
          <cell r="M699" t="str">
            <v>KIM</v>
          </cell>
        </row>
        <row r="700">
          <cell r="A700">
            <v>45422</v>
          </cell>
          <cell r="H700">
            <v>524</v>
          </cell>
          <cell r="M700" t="str">
            <v>KIM</v>
          </cell>
        </row>
        <row r="701">
          <cell r="A701">
            <v>45422</v>
          </cell>
          <cell r="H701">
            <v>519.64</v>
          </cell>
          <cell r="M701" t="str">
            <v>KIM</v>
          </cell>
        </row>
        <row r="702">
          <cell r="A702">
            <v>45422</v>
          </cell>
          <cell r="H702">
            <v>483.28</v>
          </cell>
          <cell r="M702" t="str">
            <v>KIM</v>
          </cell>
        </row>
        <row r="703">
          <cell r="A703">
            <v>45422</v>
          </cell>
          <cell r="H703">
            <v>310.83</v>
          </cell>
          <cell r="M703" t="str">
            <v>KIM</v>
          </cell>
        </row>
        <row r="704">
          <cell r="A704">
            <v>45422</v>
          </cell>
          <cell r="M704" t="str">
            <v>KIM</v>
          </cell>
        </row>
        <row r="705">
          <cell r="A705">
            <v>45422</v>
          </cell>
          <cell r="M705" t="str">
            <v>KIM</v>
          </cell>
        </row>
        <row r="706">
          <cell r="A706">
            <v>45422</v>
          </cell>
          <cell r="M706" t="str">
            <v>tacom</v>
          </cell>
        </row>
        <row r="707">
          <cell r="A707">
            <v>45422</v>
          </cell>
          <cell r="H707">
            <v>15000</v>
          </cell>
          <cell r="M707" t="str">
            <v>TACOM</v>
          </cell>
        </row>
        <row r="708">
          <cell r="A708">
            <v>45422</v>
          </cell>
          <cell r="H708">
            <v>14184.7</v>
          </cell>
          <cell r="M708" t="str">
            <v>TACOM</v>
          </cell>
        </row>
        <row r="709">
          <cell r="A709">
            <v>45422</v>
          </cell>
          <cell r="M709" t="str">
            <v>KIM</v>
          </cell>
        </row>
        <row r="710">
          <cell r="A710">
            <v>45422</v>
          </cell>
          <cell r="H710">
            <v>13506.63</v>
          </cell>
          <cell r="M710" t="str">
            <v>TACOM</v>
          </cell>
        </row>
        <row r="711">
          <cell r="A711">
            <v>45422</v>
          </cell>
          <cell r="M711" t="str">
            <v>KIM</v>
          </cell>
        </row>
        <row r="712">
          <cell r="A712">
            <v>45422</v>
          </cell>
          <cell r="M712" t="str">
            <v>KIM</v>
          </cell>
        </row>
        <row r="713">
          <cell r="A713">
            <v>45422</v>
          </cell>
          <cell r="M713" t="str">
            <v>KIM</v>
          </cell>
        </row>
        <row r="714">
          <cell r="A714">
            <v>45422</v>
          </cell>
          <cell r="M714" t="str">
            <v>KIM</v>
          </cell>
        </row>
        <row r="715">
          <cell r="A715">
            <v>45422</v>
          </cell>
          <cell r="M715" t="str">
            <v>KIM</v>
          </cell>
        </row>
        <row r="716">
          <cell r="A716">
            <v>45422</v>
          </cell>
          <cell r="M716" t="str">
            <v>KIM</v>
          </cell>
        </row>
        <row r="717">
          <cell r="A717">
            <v>45422</v>
          </cell>
          <cell r="M717" t="str">
            <v>KIM</v>
          </cell>
        </row>
        <row r="718">
          <cell r="A718">
            <v>45422</v>
          </cell>
          <cell r="M718" t="str">
            <v>KIM</v>
          </cell>
        </row>
        <row r="719">
          <cell r="A719">
            <v>45422</v>
          </cell>
          <cell r="M719" t="str">
            <v>KIM</v>
          </cell>
        </row>
        <row r="720">
          <cell r="A720">
            <v>45422</v>
          </cell>
          <cell r="M720" t="str">
            <v>KIM</v>
          </cell>
        </row>
        <row r="721">
          <cell r="A721">
            <v>45422</v>
          </cell>
          <cell r="M721" t="str">
            <v>KIM</v>
          </cell>
        </row>
        <row r="722">
          <cell r="A722">
            <v>45422</v>
          </cell>
          <cell r="M722" t="str">
            <v>KIM</v>
          </cell>
        </row>
        <row r="723">
          <cell r="A723">
            <v>45422</v>
          </cell>
          <cell r="M723" t="str">
            <v>KIM</v>
          </cell>
        </row>
        <row r="724">
          <cell r="A724">
            <v>45422</v>
          </cell>
          <cell r="M724" t="str">
            <v>KIM</v>
          </cell>
        </row>
        <row r="725">
          <cell r="A725">
            <v>45422</v>
          </cell>
          <cell r="M725" t="str">
            <v>KIM</v>
          </cell>
        </row>
        <row r="726">
          <cell r="A726">
            <v>45422</v>
          </cell>
          <cell r="M726" t="str">
            <v>KIM</v>
          </cell>
        </row>
        <row r="727">
          <cell r="A727">
            <v>45425</v>
          </cell>
          <cell r="H727">
            <v>180715.87</v>
          </cell>
          <cell r="M727" t="str">
            <v>KIM</v>
          </cell>
        </row>
        <row r="728">
          <cell r="A728">
            <v>45425</v>
          </cell>
          <cell r="H728">
            <v>50000</v>
          </cell>
          <cell r="M728" t="str">
            <v>KIM</v>
          </cell>
        </row>
        <row r="729">
          <cell r="A729">
            <v>45425</v>
          </cell>
          <cell r="H729">
            <v>236.12</v>
          </cell>
          <cell r="M729" t="str">
            <v>KIM</v>
          </cell>
        </row>
        <row r="730">
          <cell r="A730">
            <v>45429</v>
          </cell>
          <cell r="H730">
            <v>18151.240000000002</v>
          </cell>
          <cell r="M730" t="str">
            <v>KIM</v>
          </cell>
        </row>
        <row r="731">
          <cell r="A731">
            <v>45429</v>
          </cell>
          <cell r="H731">
            <v>17000</v>
          </cell>
          <cell r="M731" t="str">
            <v>KIM</v>
          </cell>
        </row>
        <row r="732">
          <cell r="A732">
            <v>45432</v>
          </cell>
          <cell r="H732">
            <v>67500</v>
          </cell>
          <cell r="M732" t="str">
            <v>KIM</v>
          </cell>
        </row>
        <row r="733">
          <cell r="A733">
            <v>45432</v>
          </cell>
          <cell r="H733">
            <v>34466.660000000003</v>
          </cell>
          <cell r="M733" t="str">
            <v>KIM</v>
          </cell>
        </row>
        <row r="734">
          <cell r="A734">
            <v>45432</v>
          </cell>
          <cell r="H734">
            <v>31466.66</v>
          </cell>
          <cell r="M734" t="str">
            <v>KIM</v>
          </cell>
        </row>
        <row r="735">
          <cell r="A735">
            <v>45432</v>
          </cell>
          <cell r="H735">
            <v>31112.98</v>
          </cell>
          <cell r="M735" t="str">
            <v>KIM</v>
          </cell>
        </row>
        <row r="736">
          <cell r="A736">
            <v>45432</v>
          </cell>
          <cell r="H736">
            <v>30231.83</v>
          </cell>
          <cell r="M736" t="str">
            <v>KIM</v>
          </cell>
        </row>
        <row r="737">
          <cell r="A737">
            <v>45432</v>
          </cell>
          <cell r="H737">
            <v>12502.7</v>
          </cell>
          <cell r="M737" t="str">
            <v>KIM</v>
          </cell>
        </row>
        <row r="738">
          <cell r="A738">
            <v>45432</v>
          </cell>
          <cell r="H738">
            <v>7684.19</v>
          </cell>
          <cell r="M738" t="str">
            <v>KIM</v>
          </cell>
        </row>
        <row r="739">
          <cell r="A739">
            <v>45432</v>
          </cell>
          <cell r="H739">
            <v>5036.6499999999996</v>
          </cell>
          <cell r="M739" t="str">
            <v>KIM</v>
          </cell>
        </row>
        <row r="740">
          <cell r="A740">
            <v>45432</v>
          </cell>
          <cell r="H740">
            <v>953.4</v>
          </cell>
          <cell r="M740" t="str">
            <v>KIM</v>
          </cell>
        </row>
        <row r="741">
          <cell r="A741">
            <v>45432</v>
          </cell>
          <cell r="H741">
            <v>532.86</v>
          </cell>
          <cell r="M741" t="str">
            <v>KIM</v>
          </cell>
        </row>
        <row r="742">
          <cell r="A742">
            <v>45432</v>
          </cell>
          <cell r="H742">
            <v>408.77</v>
          </cell>
          <cell r="M742" t="str">
            <v>KIM</v>
          </cell>
        </row>
        <row r="743">
          <cell r="A743">
            <v>45432</v>
          </cell>
          <cell r="H743">
            <v>129.82</v>
          </cell>
          <cell r="M743" t="str">
            <v>KIM</v>
          </cell>
        </row>
        <row r="744">
          <cell r="A744">
            <v>45432</v>
          </cell>
          <cell r="H744">
            <v>113.16</v>
          </cell>
          <cell r="M744" t="str">
            <v>KIM</v>
          </cell>
        </row>
        <row r="745">
          <cell r="A745">
            <v>45432</v>
          </cell>
          <cell r="H745">
            <v>0</v>
          </cell>
          <cell r="M745" t="str">
            <v>KIM</v>
          </cell>
        </row>
        <row r="746">
          <cell r="A746">
            <v>45432</v>
          </cell>
          <cell r="H746">
            <v>0</v>
          </cell>
          <cell r="M746" t="str">
            <v>KIM</v>
          </cell>
        </row>
        <row r="747">
          <cell r="A747">
            <v>45432</v>
          </cell>
          <cell r="H747">
            <v>0</v>
          </cell>
          <cell r="M747" t="str">
            <v>KIM</v>
          </cell>
        </row>
        <row r="748">
          <cell r="A748">
            <v>45432</v>
          </cell>
          <cell r="H748">
            <v>0</v>
          </cell>
          <cell r="M748" t="str">
            <v>KIM</v>
          </cell>
        </row>
        <row r="749">
          <cell r="A749">
            <v>45432</v>
          </cell>
          <cell r="H749">
            <v>0</v>
          </cell>
          <cell r="M749" t="str">
            <v>KIM</v>
          </cell>
        </row>
        <row r="750">
          <cell r="A750">
            <v>45432</v>
          </cell>
          <cell r="H750">
            <v>0</v>
          </cell>
          <cell r="M750" t="str">
            <v>KIM</v>
          </cell>
        </row>
        <row r="751">
          <cell r="A751">
            <v>45432</v>
          </cell>
          <cell r="M751" t="str">
            <v>KIM</v>
          </cell>
        </row>
        <row r="752">
          <cell r="A752">
            <v>45432</v>
          </cell>
          <cell r="M752" t="str">
            <v>KIM</v>
          </cell>
        </row>
        <row r="753">
          <cell r="A753">
            <v>45433</v>
          </cell>
          <cell r="H753">
            <v>78927.75</v>
          </cell>
          <cell r="M753" t="str">
            <v>KIM</v>
          </cell>
        </row>
        <row r="754">
          <cell r="A754">
            <v>45433</v>
          </cell>
          <cell r="H754">
            <v>54304.28</v>
          </cell>
          <cell r="M754" t="str">
            <v>KIM</v>
          </cell>
        </row>
        <row r="755">
          <cell r="A755">
            <v>45433</v>
          </cell>
          <cell r="H755">
            <v>2736.8</v>
          </cell>
          <cell r="M755" t="str">
            <v>KIM</v>
          </cell>
        </row>
        <row r="756">
          <cell r="A756">
            <v>45433</v>
          </cell>
          <cell r="H756">
            <v>385</v>
          </cell>
          <cell r="M756" t="str">
            <v>KIM</v>
          </cell>
        </row>
        <row r="757">
          <cell r="A757">
            <v>45433</v>
          </cell>
          <cell r="H757">
            <v>353.6</v>
          </cell>
          <cell r="M757" t="str">
            <v>KIM</v>
          </cell>
        </row>
        <row r="758">
          <cell r="A758">
            <v>45433</v>
          </cell>
          <cell r="H758">
            <v>167</v>
          </cell>
          <cell r="M758" t="str">
            <v>KIM</v>
          </cell>
        </row>
        <row r="759">
          <cell r="A759">
            <v>45433</v>
          </cell>
          <cell r="H759">
            <v>12.05</v>
          </cell>
          <cell r="M759" t="str">
            <v>KIM</v>
          </cell>
        </row>
        <row r="760">
          <cell r="A760">
            <v>45434</v>
          </cell>
          <cell r="H760">
            <v>5999.9</v>
          </cell>
          <cell r="M760" t="str">
            <v>KIM</v>
          </cell>
        </row>
        <row r="761">
          <cell r="A761">
            <v>45434</v>
          </cell>
          <cell r="H761">
            <v>250</v>
          </cell>
          <cell r="M761" t="str">
            <v>KIM</v>
          </cell>
        </row>
        <row r="762">
          <cell r="A762">
            <v>45434</v>
          </cell>
          <cell r="H762">
            <v>18.72</v>
          </cell>
          <cell r="M762" t="str">
            <v>KIM</v>
          </cell>
        </row>
        <row r="763">
          <cell r="A763">
            <v>45436</v>
          </cell>
          <cell r="H763">
            <v>93766.03</v>
          </cell>
          <cell r="M763" t="str">
            <v>KIM</v>
          </cell>
        </row>
        <row r="764">
          <cell r="A764">
            <v>45436</v>
          </cell>
          <cell r="H764">
            <v>20647</v>
          </cell>
          <cell r="M764" t="str">
            <v>KIM</v>
          </cell>
        </row>
        <row r="765">
          <cell r="A765">
            <v>45436</v>
          </cell>
          <cell r="H765">
            <v>11121.42</v>
          </cell>
          <cell r="M765" t="str">
            <v>KIM</v>
          </cell>
        </row>
        <row r="766">
          <cell r="A766">
            <v>45436</v>
          </cell>
          <cell r="H766">
            <v>2409.64</v>
          </cell>
          <cell r="M766" t="str">
            <v>KIM</v>
          </cell>
        </row>
        <row r="767">
          <cell r="A767">
            <v>45436</v>
          </cell>
          <cell r="H767">
            <v>1096.2</v>
          </cell>
          <cell r="M767" t="str">
            <v>KIM</v>
          </cell>
        </row>
        <row r="768">
          <cell r="A768">
            <v>45436</v>
          </cell>
          <cell r="H768">
            <v>150</v>
          </cell>
          <cell r="M768" t="str">
            <v>KIM</v>
          </cell>
        </row>
        <row r="769">
          <cell r="A769">
            <v>45441</v>
          </cell>
          <cell r="H769">
            <v>4612</v>
          </cell>
          <cell r="M769" t="str">
            <v>KIM</v>
          </cell>
        </row>
        <row r="770">
          <cell r="A770">
            <v>45441</v>
          </cell>
          <cell r="H770">
            <v>5.94</v>
          </cell>
          <cell r="M770" t="str">
            <v>KIM</v>
          </cell>
        </row>
        <row r="771">
          <cell r="A771">
            <v>45443</v>
          </cell>
          <cell r="H771">
            <v>44090.19</v>
          </cell>
          <cell r="M771" t="str">
            <v>KIM</v>
          </cell>
        </row>
        <row r="772">
          <cell r="A772">
            <v>45443</v>
          </cell>
          <cell r="H772">
            <v>20338.16</v>
          </cell>
          <cell r="M772" t="str">
            <v>KIM</v>
          </cell>
        </row>
        <row r="773">
          <cell r="A773">
            <v>45443</v>
          </cell>
          <cell r="H773">
            <v>8000</v>
          </cell>
          <cell r="M773" t="str">
            <v>KIM</v>
          </cell>
        </row>
        <row r="774">
          <cell r="A774">
            <v>45443</v>
          </cell>
          <cell r="H774">
            <v>8000</v>
          </cell>
          <cell r="M774" t="str">
            <v>KIM</v>
          </cell>
        </row>
        <row r="775">
          <cell r="A775">
            <v>45443</v>
          </cell>
          <cell r="H775">
            <v>6286.77</v>
          </cell>
          <cell r="M775" t="str">
            <v>KIM</v>
          </cell>
        </row>
        <row r="776">
          <cell r="A776">
            <v>45443</v>
          </cell>
          <cell r="H776">
            <v>3340.35</v>
          </cell>
          <cell r="M776" t="str">
            <v>KIM</v>
          </cell>
        </row>
        <row r="777">
          <cell r="A777">
            <v>45443</v>
          </cell>
          <cell r="H777">
            <v>1250</v>
          </cell>
          <cell r="M777" t="str">
            <v>KIM</v>
          </cell>
        </row>
        <row r="778">
          <cell r="A778">
            <v>45443</v>
          </cell>
          <cell r="H778">
            <v>158.72</v>
          </cell>
          <cell r="M778" t="str">
            <v>KIM</v>
          </cell>
        </row>
        <row r="779">
          <cell r="A779">
            <v>45443</v>
          </cell>
          <cell r="H779">
            <v>99.99</v>
          </cell>
          <cell r="M779" t="str">
            <v>KIM</v>
          </cell>
        </row>
        <row r="780">
          <cell r="A780">
            <v>45443</v>
          </cell>
          <cell r="H780">
            <v>2.5</v>
          </cell>
          <cell r="M780" t="str">
            <v>KIM</v>
          </cell>
        </row>
        <row r="781">
          <cell r="A781">
            <v>45443</v>
          </cell>
          <cell r="H781">
            <v>0</v>
          </cell>
          <cell r="M781" t="str">
            <v>KIM</v>
          </cell>
        </row>
        <row r="782">
          <cell r="A782">
            <v>45443</v>
          </cell>
          <cell r="H782">
            <v>0</v>
          </cell>
          <cell r="M782" t="str">
            <v>TACOM</v>
          </cell>
        </row>
        <row r="783">
          <cell r="A783">
            <v>45443</v>
          </cell>
          <cell r="H783">
            <v>0</v>
          </cell>
          <cell r="M783" t="str">
            <v>TACOM</v>
          </cell>
        </row>
        <row r="784">
          <cell r="A784">
            <v>45443</v>
          </cell>
          <cell r="H784">
            <v>0</v>
          </cell>
          <cell r="M784" t="str">
            <v>TACOM</v>
          </cell>
        </row>
        <row r="785">
          <cell r="A785">
            <v>45443</v>
          </cell>
          <cell r="H785">
            <v>0</v>
          </cell>
          <cell r="M785" t="str">
            <v>KIM</v>
          </cell>
        </row>
        <row r="786">
          <cell r="A786">
            <v>45443</v>
          </cell>
          <cell r="H786">
            <v>0</v>
          </cell>
          <cell r="M786" t="str">
            <v>KIM</v>
          </cell>
        </row>
        <row r="787">
          <cell r="A787">
            <v>45443</v>
          </cell>
          <cell r="H787">
            <v>0</v>
          </cell>
          <cell r="M787" t="str">
            <v>KIM</v>
          </cell>
        </row>
        <row r="788">
          <cell r="A788">
            <v>45443</v>
          </cell>
          <cell r="H788">
            <v>0</v>
          </cell>
          <cell r="M788" t="str">
            <v>KIM</v>
          </cell>
        </row>
        <row r="789">
          <cell r="A789">
            <v>45444</v>
          </cell>
        </row>
        <row r="790">
          <cell r="A790">
            <v>45444</v>
          </cell>
        </row>
        <row r="791">
          <cell r="A791">
            <v>45444</v>
          </cell>
        </row>
        <row r="792">
          <cell r="A792">
            <v>45444</v>
          </cell>
        </row>
        <row r="793">
          <cell r="A793">
            <v>45444</v>
          </cell>
        </row>
        <row r="794">
          <cell r="A794">
            <v>45444</v>
          </cell>
        </row>
        <row r="795">
          <cell r="A795">
            <v>45444</v>
          </cell>
        </row>
        <row r="796">
          <cell r="A796">
            <v>45444</v>
          </cell>
        </row>
        <row r="797">
          <cell r="A797">
            <v>45444</v>
          </cell>
        </row>
        <row r="798">
          <cell r="A798">
            <v>45444</v>
          </cell>
        </row>
        <row r="799">
          <cell r="A799">
            <v>45444</v>
          </cell>
        </row>
        <row r="800">
          <cell r="A800">
            <v>45444</v>
          </cell>
        </row>
        <row r="801">
          <cell r="A801">
            <v>45446</v>
          </cell>
          <cell r="H801">
            <v>18864.900000000001</v>
          </cell>
          <cell r="M801" t="str">
            <v>KIM</v>
          </cell>
        </row>
        <row r="802">
          <cell r="A802">
            <v>45446</v>
          </cell>
          <cell r="H802">
            <v>2310.84</v>
          </cell>
          <cell r="M802" t="str">
            <v>KIM</v>
          </cell>
        </row>
        <row r="803">
          <cell r="A803">
            <v>45446</v>
          </cell>
          <cell r="H803">
            <v>490</v>
          </cell>
          <cell r="M803" t="str">
            <v>KIM</v>
          </cell>
        </row>
        <row r="804">
          <cell r="A804">
            <v>45446</v>
          </cell>
          <cell r="H804">
            <v>216</v>
          </cell>
          <cell r="M804" t="str">
            <v>KIM</v>
          </cell>
        </row>
        <row r="805">
          <cell r="A805">
            <v>45446</v>
          </cell>
          <cell r="H805">
            <v>148.85</v>
          </cell>
          <cell r="M805" t="str">
            <v>KIM</v>
          </cell>
        </row>
        <row r="806">
          <cell r="A806">
            <v>45446</v>
          </cell>
          <cell r="H806">
            <v>0</v>
          </cell>
          <cell r="M806" t="str">
            <v>KIM</v>
          </cell>
        </row>
        <row r="807">
          <cell r="A807">
            <v>45446</v>
          </cell>
          <cell r="M807" t="str">
            <v>KIM</v>
          </cell>
        </row>
        <row r="808">
          <cell r="A808">
            <v>45447</v>
          </cell>
          <cell r="H808">
            <v>18.5</v>
          </cell>
          <cell r="M808" t="str">
            <v>KIM</v>
          </cell>
        </row>
        <row r="809">
          <cell r="A809">
            <v>45448</v>
          </cell>
          <cell r="H809">
            <v>2426.58</v>
          </cell>
          <cell r="M809" t="str">
            <v>tacom</v>
          </cell>
        </row>
        <row r="810">
          <cell r="A810">
            <v>45449</v>
          </cell>
          <cell r="H810">
            <v>32847.5</v>
          </cell>
          <cell r="M810" t="str">
            <v>KIM</v>
          </cell>
        </row>
        <row r="811">
          <cell r="A811">
            <v>45449</v>
          </cell>
          <cell r="H811">
            <v>25000</v>
          </cell>
          <cell r="M811" t="str">
            <v>KIM</v>
          </cell>
        </row>
        <row r="812">
          <cell r="A812">
            <v>45450</v>
          </cell>
          <cell r="H812">
            <v>84340.4</v>
          </cell>
          <cell r="M812" t="str">
            <v>tacom</v>
          </cell>
        </row>
        <row r="813">
          <cell r="A813">
            <v>45450</v>
          </cell>
          <cell r="H813">
            <v>22888.959999999999</v>
          </cell>
          <cell r="M813" t="str">
            <v>tacom</v>
          </cell>
        </row>
        <row r="814">
          <cell r="A814">
            <v>45450</v>
          </cell>
          <cell r="H814">
            <v>7046.43</v>
          </cell>
          <cell r="M814" t="str">
            <v>tacom</v>
          </cell>
        </row>
        <row r="815">
          <cell r="A815">
            <v>45450</v>
          </cell>
          <cell r="H815">
            <v>472.40999999999997</v>
          </cell>
          <cell r="M815" t="str">
            <v>tacom</v>
          </cell>
        </row>
        <row r="816">
          <cell r="A816">
            <v>45450</v>
          </cell>
          <cell r="H816">
            <v>348.96</v>
          </cell>
          <cell r="M816" t="str">
            <v>tacom</v>
          </cell>
        </row>
        <row r="817">
          <cell r="A817">
            <v>45450</v>
          </cell>
          <cell r="H817">
            <v>0</v>
          </cell>
          <cell r="M817" t="str">
            <v>tacom</v>
          </cell>
        </row>
        <row r="818">
          <cell r="A818">
            <v>45450</v>
          </cell>
          <cell r="H818">
            <v>0</v>
          </cell>
          <cell r="M818" t="str">
            <v>KIM</v>
          </cell>
        </row>
        <row r="819">
          <cell r="A819">
            <v>45450</v>
          </cell>
          <cell r="H819">
            <v>0</v>
          </cell>
          <cell r="M819" t="str">
            <v>KIM</v>
          </cell>
        </row>
        <row r="820">
          <cell r="A820">
            <v>45453</v>
          </cell>
          <cell r="H820">
            <v>182404.68</v>
          </cell>
          <cell r="M820" t="str">
            <v>KIM</v>
          </cell>
        </row>
        <row r="821">
          <cell r="A821">
            <v>45453</v>
          </cell>
          <cell r="H821">
            <v>45000</v>
          </cell>
          <cell r="M821" t="str">
            <v>KIM</v>
          </cell>
        </row>
        <row r="822">
          <cell r="A822">
            <v>45453</v>
          </cell>
          <cell r="H822">
            <v>40662.21</v>
          </cell>
          <cell r="M822" t="str">
            <v>KIM</v>
          </cell>
        </row>
        <row r="823">
          <cell r="A823">
            <v>45453</v>
          </cell>
          <cell r="H823">
            <v>25300</v>
          </cell>
          <cell r="M823" t="str">
            <v>KIM</v>
          </cell>
        </row>
        <row r="824">
          <cell r="A824">
            <v>45453</v>
          </cell>
          <cell r="H824">
            <v>20000</v>
          </cell>
          <cell r="M824" t="str">
            <v>KIM</v>
          </cell>
        </row>
        <row r="825">
          <cell r="A825">
            <v>45453</v>
          </cell>
          <cell r="H825">
            <v>18000</v>
          </cell>
          <cell r="M825" t="str">
            <v>KIM</v>
          </cell>
        </row>
        <row r="826">
          <cell r="A826">
            <v>45453</v>
          </cell>
          <cell r="H826">
            <v>17863.599999999999</v>
          </cell>
          <cell r="M826" t="str">
            <v>KIM</v>
          </cell>
        </row>
        <row r="827">
          <cell r="A827">
            <v>45453</v>
          </cell>
          <cell r="H827">
            <v>17751.18</v>
          </cell>
          <cell r="M827" t="str">
            <v>KIM</v>
          </cell>
        </row>
        <row r="828">
          <cell r="A828">
            <v>45453</v>
          </cell>
          <cell r="H828">
            <v>17000</v>
          </cell>
          <cell r="M828" t="str">
            <v>KIM</v>
          </cell>
        </row>
        <row r="829">
          <cell r="A829">
            <v>45453</v>
          </cell>
          <cell r="H829">
            <v>17000</v>
          </cell>
          <cell r="M829" t="str">
            <v>tacom</v>
          </cell>
        </row>
        <row r="830">
          <cell r="A830">
            <v>45453</v>
          </cell>
          <cell r="H830">
            <v>16800</v>
          </cell>
          <cell r="M830" t="str">
            <v>KIM</v>
          </cell>
        </row>
        <row r="831">
          <cell r="A831">
            <v>45453</v>
          </cell>
          <cell r="H831">
            <v>16318.4</v>
          </cell>
          <cell r="M831" t="str">
            <v>KIM</v>
          </cell>
        </row>
        <row r="832">
          <cell r="A832">
            <v>45453</v>
          </cell>
          <cell r="H832">
            <v>16000</v>
          </cell>
          <cell r="M832" t="str">
            <v>KIM</v>
          </cell>
        </row>
        <row r="833">
          <cell r="A833">
            <v>45453</v>
          </cell>
          <cell r="H833">
            <v>15000</v>
          </cell>
          <cell r="M833" t="str">
            <v>KIM</v>
          </cell>
        </row>
        <row r="834">
          <cell r="A834">
            <v>45453</v>
          </cell>
          <cell r="H834">
            <v>15000</v>
          </cell>
          <cell r="M834" t="str">
            <v>KIM</v>
          </cell>
        </row>
        <row r="835">
          <cell r="A835">
            <v>45453</v>
          </cell>
          <cell r="H835">
            <v>15000</v>
          </cell>
          <cell r="M835" t="str">
            <v>TACOM</v>
          </cell>
        </row>
        <row r="836">
          <cell r="A836">
            <v>45453</v>
          </cell>
          <cell r="H836">
            <v>14077.5</v>
          </cell>
          <cell r="M836" t="str">
            <v>KIM</v>
          </cell>
        </row>
        <row r="837">
          <cell r="A837">
            <v>45453</v>
          </cell>
          <cell r="H837">
            <v>14000</v>
          </cell>
          <cell r="M837" t="str">
            <v>KIM</v>
          </cell>
        </row>
        <row r="838">
          <cell r="A838">
            <v>45453</v>
          </cell>
          <cell r="H838">
            <v>13806.63</v>
          </cell>
          <cell r="M838" t="str">
            <v>KIM</v>
          </cell>
        </row>
        <row r="839">
          <cell r="A839">
            <v>45453</v>
          </cell>
          <cell r="H839">
            <v>13506.63</v>
          </cell>
          <cell r="M839" t="str">
            <v>kim</v>
          </cell>
        </row>
        <row r="840">
          <cell r="A840">
            <v>45453</v>
          </cell>
          <cell r="H840">
            <v>12000</v>
          </cell>
          <cell r="M840" t="str">
            <v>KIM</v>
          </cell>
        </row>
        <row r="841">
          <cell r="A841">
            <v>45453</v>
          </cell>
          <cell r="H841">
            <v>10000</v>
          </cell>
          <cell r="M841" t="str">
            <v>KIM</v>
          </cell>
        </row>
        <row r="842">
          <cell r="A842">
            <v>45453</v>
          </cell>
          <cell r="H842">
            <v>10000</v>
          </cell>
          <cell r="M842" t="str">
            <v>KIM</v>
          </cell>
        </row>
        <row r="843">
          <cell r="A843">
            <v>45453</v>
          </cell>
          <cell r="H843">
            <v>10000</v>
          </cell>
          <cell r="M843" t="str">
            <v>KIM</v>
          </cell>
        </row>
        <row r="844">
          <cell r="A844">
            <v>45453</v>
          </cell>
          <cell r="H844">
            <v>9140.08</v>
          </cell>
          <cell r="M844" t="str">
            <v>KIM</v>
          </cell>
        </row>
        <row r="845">
          <cell r="A845">
            <v>45453</v>
          </cell>
          <cell r="H845">
            <v>6000</v>
          </cell>
          <cell r="M845" t="str">
            <v>KIM</v>
          </cell>
        </row>
        <row r="846">
          <cell r="A846">
            <v>45453</v>
          </cell>
          <cell r="H846">
            <v>4108.51</v>
          </cell>
          <cell r="M846" t="str">
            <v>KIM</v>
          </cell>
        </row>
        <row r="847">
          <cell r="A847">
            <v>45453</v>
          </cell>
          <cell r="H847">
            <v>1689.3</v>
          </cell>
          <cell r="M847" t="str">
            <v>KIM</v>
          </cell>
        </row>
        <row r="848">
          <cell r="A848">
            <v>45453</v>
          </cell>
          <cell r="H848">
            <v>1602.53</v>
          </cell>
          <cell r="M848" t="str">
            <v>KIM</v>
          </cell>
        </row>
        <row r="849">
          <cell r="A849">
            <v>45453</v>
          </cell>
          <cell r="H849">
            <v>564.54999999999995</v>
          </cell>
          <cell r="M849" t="str">
            <v>KIM</v>
          </cell>
        </row>
        <row r="850">
          <cell r="A850">
            <v>45453</v>
          </cell>
          <cell r="H850">
            <v>498.68</v>
          </cell>
          <cell r="M850" t="str">
            <v>KIM</v>
          </cell>
        </row>
        <row r="851">
          <cell r="A851">
            <v>45453</v>
          </cell>
          <cell r="H851">
            <v>483.28</v>
          </cell>
          <cell r="M851" t="str">
            <v>KIM</v>
          </cell>
        </row>
        <row r="852">
          <cell r="A852">
            <v>45453</v>
          </cell>
          <cell r="H852">
            <v>432.17</v>
          </cell>
          <cell r="M852" t="str">
            <v>KIM</v>
          </cell>
        </row>
        <row r="853">
          <cell r="A853">
            <v>45453</v>
          </cell>
          <cell r="H853">
            <v>108.9</v>
          </cell>
          <cell r="M853" t="str">
            <v>KIM</v>
          </cell>
        </row>
        <row r="854">
          <cell r="A854">
            <v>45453</v>
          </cell>
          <cell r="H854">
            <v>77.599999999999994</v>
          </cell>
          <cell r="M854" t="str">
            <v>KIM</v>
          </cell>
        </row>
        <row r="855">
          <cell r="A855">
            <v>45453</v>
          </cell>
          <cell r="H855">
            <v>0</v>
          </cell>
          <cell r="M855" t="str">
            <v>Tacom</v>
          </cell>
        </row>
        <row r="856">
          <cell r="A856">
            <v>45453</v>
          </cell>
          <cell r="H856">
            <v>0</v>
          </cell>
          <cell r="M856" t="str">
            <v>KIM</v>
          </cell>
        </row>
        <row r="857">
          <cell r="A857">
            <v>45453</v>
          </cell>
          <cell r="H857">
            <v>0</v>
          </cell>
          <cell r="M857" t="str">
            <v>KIM</v>
          </cell>
        </row>
        <row r="858">
          <cell r="A858">
            <v>45453</v>
          </cell>
          <cell r="H858">
            <v>0</v>
          </cell>
          <cell r="M858" t="str">
            <v>KIM</v>
          </cell>
        </row>
        <row r="859">
          <cell r="A859">
            <v>45453</v>
          </cell>
          <cell r="H859">
            <v>0</v>
          </cell>
          <cell r="M859" t="str">
            <v>KIM</v>
          </cell>
        </row>
        <row r="860">
          <cell r="A860">
            <v>45453</v>
          </cell>
          <cell r="H860">
            <v>0</v>
          </cell>
          <cell r="M860" t="str">
            <v>KIM</v>
          </cell>
        </row>
        <row r="861">
          <cell r="A861">
            <v>45453</v>
          </cell>
          <cell r="H861">
            <v>0</v>
          </cell>
          <cell r="M861" t="str">
            <v>KIM</v>
          </cell>
        </row>
        <row r="862">
          <cell r="A862">
            <v>45453</v>
          </cell>
          <cell r="H862">
            <v>0</v>
          </cell>
          <cell r="M862" t="str">
            <v>KIM</v>
          </cell>
        </row>
        <row r="863">
          <cell r="A863">
            <v>45453</v>
          </cell>
          <cell r="H863">
            <v>0</v>
          </cell>
          <cell r="M863" t="str">
            <v>KIM</v>
          </cell>
        </row>
        <row r="864">
          <cell r="A864">
            <v>45453</v>
          </cell>
          <cell r="H864">
            <v>0</v>
          </cell>
          <cell r="M864" t="str">
            <v>KIM</v>
          </cell>
        </row>
        <row r="865">
          <cell r="A865">
            <v>45453</v>
          </cell>
          <cell r="H865">
            <v>0</v>
          </cell>
          <cell r="M865" t="str">
            <v>KIM</v>
          </cell>
        </row>
        <row r="866">
          <cell r="A866">
            <v>45453</v>
          </cell>
          <cell r="H866">
            <v>0</v>
          </cell>
          <cell r="M866" t="str">
            <v>KIM</v>
          </cell>
        </row>
        <row r="867">
          <cell r="A867">
            <v>45453</v>
          </cell>
          <cell r="H867">
            <v>0</v>
          </cell>
          <cell r="M867" t="str">
            <v>KIM</v>
          </cell>
        </row>
        <row r="868">
          <cell r="A868">
            <v>45453</v>
          </cell>
          <cell r="H868">
            <v>0</v>
          </cell>
          <cell r="M868" t="str">
            <v>KIM</v>
          </cell>
        </row>
        <row r="869">
          <cell r="A869">
            <v>45453</v>
          </cell>
          <cell r="M869" t="str">
            <v>KIM</v>
          </cell>
        </row>
        <row r="870">
          <cell r="A870">
            <v>45453</v>
          </cell>
          <cell r="M870" t="str">
            <v>Tacom</v>
          </cell>
        </row>
        <row r="871">
          <cell r="A871">
            <v>45453</v>
          </cell>
          <cell r="M871" t="str">
            <v>KIM</v>
          </cell>
        </row>
        <row r="872">
          <cell r="A872">
            <v>45453</v>
          </cell>
          <cell r="M872" t="str">
            <v>KIM</v>
          </cell>
        </row>
        <row r="873">
          <cell r="A873">
            <v>45453</v>
          </cell>
          <cell r="M873" t="str">
            <v>KIM</v>
          </cell>
        </row>
        <row r="874">
          <cell r="A874">
            <v>45453</v>
          </cell>
          <cell r="M874" t="str">
            <v>KIM</v>
          </cell>
        </row>
        <row r="875">
          <cell r="A875">
            <v>45455</v>
          </cell>
          <cell r="H875">
            <v>16000</v>
          </cell>
          <cell r="M875" t="str">
            <v>KIM</v>
          </cell>
        </row>
        <row r="876">
          <cell r="A876">
            <v>45457</v>
          </cell>
          <cell r="H876">
            <v>2.5</v>
          </cell>
          <cell r="M876" t="str">
            <v>KIM</v>
          </cell>
        </row>
        <row r="877">
          <cell r="A877">
            <v>45460</v>
          </cell>
          <cell r="H877">
            <v>4232.67</v>
          </cell>
          <cell r="M877" t="str">
            <v>KIM</v>
          </cell>
        </row>
        <row r="878">
          <cell r="A878">
            <v>45460</v>
          </cell>
          <cell r="H878">
            <v>302.39</v>
          </cell>
          <cell r="M878" t="str">
            <v>KIM</v>
          </cell>
        </row>
        <row r="879">
          <cell r="A879">
            <v>45463</v>
          </cell>
          <cell r="H879">
            <v>100221.83</v>
          </cell>
          <cell r="M879" t="str">
            <v>KIM</v>
          </cell>
        </row>
        <row r="880">
          <cell r="A880">
            <v>45463</v>
          </cell>
          <cell r="H880">
            <v>12238.1</v>
          </cell>
          <cell r="M880" t="str">
            <v>KIM</v>
          </cell>
        </row>
        <row r="881">
          <cell r="A881">
            <v>45463</v>
          </cell>
          <cell r="H881">
            <v>9450.23</v>
          </cell>
          <cell r="M881" t="str">
            <v>KIM</v>
          </cell>
        </row>
        <row r="882">
          <cell r="A882">
            <v>45463</v>
          </cell>
          <cell r="H882">
            <v>7684.19</v>
          </cell>
          <cell r="M882" t="str">
            <v>KIM</v>
          </cell>
        </row>
        <row r="883">
          <cell r="A883">
            <v>45463</v>
          </cell>
          <cell r="H883">
            <v>4079.36</v>
          </cell>
          <cell r="M883" t="str">
            <v>KIM</v>
          </cell>
        </row>
        <row r="884">
          <cell r="A884">
            <v>45463</v>
          </cell>
          <cell r="H884">
            <v>2651.59</v>
          </cell>
          <cell r="M884" t="str">
            <v>KIM</v>
          </cell>
        </row>
        <row r="885">
          <cell r="A885">
            <v>45463</v>
          </cell>
          <cell r="H885">
            <v>2344.0300000000002</v>
          </cell>
          <cell r="M885" t="str">
            <v>KIM</v>
          </cell>
        </row>
        <row r="886">
          <cell r="A886">
            <v>45463</v>
          </cell>
          <cell r="H886">
            <v>1096.4100000000001</v>
          </cell>
          <cell r="M886" t="str">
            <v>KIM</v>
          </cell>
        </row>
        <row r="887">
          <cell r="A887">
            <v>45463</v>
          </cell>
          <cell r="H887">
            <v>952.55</v>
          </cell>
          <cell r="M887" t="str">
            <v>KIM</v>
          </cell>
        </row>
        <row r="888">
          <cell r="A888">
            <v>45463</v>
          </cell>
          <cell r="H888">
            <v>532.86</v>
          </cell>
          <cell r="M888" t="str">
            <v>KIM</v>
          </cell>
        </row>
        <row r="889">
          <cell r="A889">
            <v>45463</v>
          </cell>
          <cell r="H889">
            <v>206.84</v>
          </cell>
          <cell r="M889" t="str">
            <v>KIM</v>
          </cell>
        </row>
        <row r="890">
          <cell r="A890">
            <v>45463</v>
          </cell>
          <cell r="H890">
            <v>176.8</v>
          </cell>
          <cell r="M890" t="str">
            <v>KIM</v>
          </cell>
        </row>
        <row r="891">
          <cell r="A891">
            <v>45463</v>
          </cell>
          <cell r="H891">
            <v>129.82</v>
          </cell>
          <cell r="M891" t="str">
            <v>KIM</v>
          </cell>
        </row>
        <row r="892">
          <cell r="A892">
            <v>45463</v>
          </cell>
          <cell r="H892">
            <v>37</v>
          </cell>
          <cell r="M892" t="str">
            <v>KIM</v>
          </cell>
        </row>
        <row r="893">
          <cell r="A893">
            <v>45463</v>
          </cell>
          <cell r="H893">
            <v>18.72</v>
          </cell>
          <cell r="M893" t="str">
            <v>KIM</v>
          </cell>
        </row>
        <row r="894">
          <cell r="A894">
            <v>45463</v>
          </cell>
          <cell r="M894" t="str">
            <v>KIM</v>
          </cell>
        </row>
        <row r="895">
          <cell r="A895">
            <v>45463</v>
          </cell>
          <cell r="M895" t="str">
            <v>KIM</v>
          </cell>
        </row>
        <row r="896">
          <cell r="A896">
            <v>45463</v>
          </cell>
          <cell r="M896" t="str">
            <v>KIM</v>
          </cell>
        </row>
        <row r="897">
          <cell r="A897">
            <v>45463</v>
          </cell>
          <cell r="M897" t="str">
            <v>KIM</v>
          </cell>
        </row>
        <row r="898">
          <cell r="A898">
            <v>45463</v>
          </cell>
          <cell r="M898" t="str">
            <v>Tacom</v>
          </cell>
        </row>
        <row r="899">
          <cell r="A899">
            <v>45463</v>
          </cell>
          <cell r="M899" t="str">
            <v>tacom</v>
          </cell>
        </row>
        <row r="900">
          <cell r="A900">
            <v>45463</v>
          </cell>
          <cell r="M900" t="str">
            <v>KIM</v>
          </cell>
        </row>
        <row r="901">
          <cell r="A901">
            <v>45464</v>
          </cell>
          <cell r="H901">
            <v>5999.9</v>
          </cell>
          <cell r="M901" t="str">
            <v>KIM</v>
          </cell>
        </row>
        <row r="902">
          <cell r="A902">
            <v>45464</v>
          </cell>
          <cell r="H902">
            <v>2.5</v>
          </cell>
          <cell r="M902" t="str">
            <v>KIM</v>
          </cell>
        </row>
        <row r="903">
          <cell r="A903">
            <v>45468</v>
          </cell>
          <cell r="H903">
            <v>47192.29</v>
          </cell>
          <cell r="M903" t="str">
            <v>KIM</v>
          </cell>
        </row>
        <row r="904">
          <cell r="A904">
            <v>45468</v>
          </cell>
          <cell r="H904">
            <v>13234.73</v>
          </cell>
          <cell r="M904" t="str">
            <v>KIM</v>
          </cell>
        </row>
        <row r="905">
          <cell r="A905">
            <v>45468</v>
          </cell>
          <cell r="H905">
            <v>3356.6</v>
          </cell>
          <cell r="M905" t="str">
            <v>KIM</v>
          </cell>
        </row>
        <row r="906">
          <cell r="A906">
            <v>45468</v>
          </cell>
          <cell r="H906">
            <v>2867.52</v>
          </cell>
          <cell r="M906" t="str">
            <v>KIM</v>
          </cell>
        </row>
        <row r="907">
          <cell r="A907">
            <v>45468</v>
          </cell>
          <cell r="H907">
            <v>1716.82</v>
          </cell>
          <cell r="M907" t="str">
            <v>KIM</v>
          </cell>
        </row>
        <row r="908">
          <cell r="A908">
            <v>45468</v>
          </cell>
          <cell r="H908">
            <v>1096.2</v>
          </cell>
          <cell r="M908" t="str">
            <v>KIM</v>
          </cell>
        </row>
        <row r="909">
          <cell r="A909">
            <v>45468</v>
          </cell>
          <cell r="H909">
            <v>564.54999999999995</v>
          </cell>
          <cell r="M909" t="str">
            <v>KIM</v>
          </cell>
        </row>
        <row r="910">
          <cell r="A910">
            <v>45468</v>
          </cell>
          <cell r="H910">
            <v>385</v>
          </cell>
          <cell r="M910" t="str">
            <v>KIM</v>
          </cell>
        </row>
        <row r="911">
          <cell r="A911">
            <v>45468</v>
          </cell>
          <cell r="H911">
            <v>257.85000000000002</v>
          </cell>
          <cell r="M911" t="str">
            <v>KIM</v>
          </cell>
        </row>
        <row r="912">
          <cell r="A912">
            <v>45468</v>
          </cell>
          <cell r="H912">
            <v>104.49</v>
          </cell>
          <cell r="M912" t="str">
            <v>KIM</v>
          </cell>
        </row>
        <row r="913">
          <cell r="A913">
            <v>45468</v>
          </cell>
          <cell r="H913">
            <v>27.69</v>
          </cell>
          <cell r="M913" t="str">
            <v>KIM</v>
          </cell>
        </row>
        <row r="914">
          <cell r="A914">
            <v>45468</v>
          </cell>
          <cell r="M914" t="str">
            <v>KIM</v>
          </cell>
        </row>
        <row r="915">
          <cell r="A915">
            <v>45469</v>
          </cell>
          <cell r="H915">
            <v>72621.039999999994</v>
          </cell>
          <cell r="M915" t="str">
            <v>KIM</v>
          </cell>
        </row>
        <row r="916">
          <cell r="A916">
            <v>45469</v>
          </cell>
          <cell r="H916">
            <v>167</v>
          </cell>
          <cell r="M916" t="str">
            <v>KIM</v>
          </cell>
        </row>
        <row r="917">
          <cell r="A917">
            <v>45469</v>
          </cell>
          <cell r="H917">
            <v>108</v>
          </cell>
          <cell r="M917" t="str">
            <v>KIM</v>
          </cell>
        </row>
        <row r="918">
          <cell r="A918">
            <v>45469</v>
          </cell>
          <cell r="H918">
            <v>9.5500000000000007</v>
          </cell>
          <cell r="M918" t="str">
            <v>KIM</v>
          </cell>
        </row>
        <row r="919">
          <cell r="A919">
            <v>45470</v>
          </cell>
          <cell r="H919">
            <v>4830</v>
          </cell>
          <cell r="M919" t="str">
            <v>KIM</v>
          </cell>
        </row>
        <row r="920">
          <cell r="A920">
            <v>45470</v>
          </cell>
          <cell r="H920">
            <v>5.94</v>
          </cell>
          <cell r="M920" t="str">
            <v>KIM</v>
          </cell>
        </row>
        <row r="921">
          <cell r="A921">
            <v>45471</v>
          </cell>
          <cell r="H921">
            <v>10000</v>
          </cell>
          <cell r="M921" t="str">
            <v>KIM</v>
          </cell>
        </row>
        <row r="922">
          <cell r="A922">
            <v>45471</v>
          </cell>
          <cell r="H922">
            <v>5000</v>
          </cell>
          <cell r="M922" t="str">
            <v>KIM</v>
          </cell>
        </row>
        <row r="923">
          <cell r="A923">
            <v>45471</v>
          </cell>
          <cell r="H923">
            <v>3340.34</v>
          </cell>
          <cell r="M923" t="str">
            <v>KIM</v>
          </cell>
        </row>
        <row r="924">
          <cell r="A924">
            <v>45471</v>
          </cell>
          <cell r="H924">
            <v>3000</v>
          </cell>
          <cell r="M924" t="str">
            <v>KIM</v>
          </cell>
        </row>
        <row r="925">
          <cell r="A925">
            <v>45471</v>
          </cell>
          <cell r="M925" t="str">
            <v>tacom</v>
          </cell>
        </row>
        <row r="926">
          <cell r="A926">
            <v>45471</v>
          </cell>
          <cell r="M926" t="str">
            <v>TACOM</v>
          </cell>
        </row>
        <row r="927">
          <cell r="A927">
            <v>45471</v>
          </cell>
          <cell r="M927" t="str">
            <v>TACOM</v>
          </cell>
        </row>
        <row r="928">
          <cell r="A928">
            <v>45471</v>
          </cell>
          <cell r="M928" t="str">
            <v>KIM</v>
          </cell>
        </row>
        <row r="929">
          <cell r="A929">
            <v>45471</v>
          </cell>
          <cell r="M929" t="str">
            <v>KIM</v>
          </cell>
        </row>
        <row r="930">
          <cell r="A930">
            <v>45471</v>
          </cell>
          <cell r="M930" t="str">
            <v>KIM</v>
          </cell>
        </row>
        <row r="931">
          <cell r="A931">
            <v>45471</v>
          </cell>
          <cell r="M931" t="str">
            <v>KIM</v>
          </cell>
        </row>
        <row r="932">
          <cell r="A932">
            <v>45471</v>
          </cell>
          <cell r="M932" t="str">
            <v>KIM</v>
          </cell>
        </row>
        <row r="933">
          <cell r="A933">
            <v>45471</v>
          </cell>
          <cell r="M933" t="str">
            <v>KIM</v>
          </cell>
        </row>
        <row r="934">
          <cell r="A934">
            <v>45474</v>
          </cell>
          <cell r="H934">
            <v>44890.1</v>
          </cell>
          <cell r="M934" t="str">
            <v>KIM</v>
          </cell>
        </row>
        <row r="935">
          <cell r="A935">
            <v>45474</v>
          </cell>
          <cell r="H935">
            <v>18888.73</v>
          </cell>
          <cell r="M935" t="str">
            <v>KIM</v>
          </cell>
        </row>
        <row r="936">
          <cell r="A936">
            <v>45474</v>
          </cell>
          <cell r="H936">
            <v>15432.37</v>
          </cell>
          <cell r="M936" t="str">
            <v>KIM</v>
          </cell>
        </row>
        <row r="937">
          <cell r="A937">
            <v>45474</v>
          </cell>
          <cell r="H937">
            <v>10670</v>
          </cell>
          <cell r="M937" t="str">
            <v>KIM</v>
          </cell>
        </row>
        <row r="938">
          <cell r="A938">
            <v>45474</v>
          </cell>
          <cell r="H938">
            <v>8000</v>
          </cell>
          <cell r="M938" t="str">
            <v>KIM</v>
          </cell>
        </row>
        <row r="939">
          <cell r="A939">
            <v>45474</v>
          </cell>
          <cell r="H939">
            <v>2310.9299999999998</v>
          </cell>
          <cell r="M939" t="str">
            <v>KIM</v>
          </cell>
        </row>
        <row r="940">
          <cell r="A940">
            <v>45474</v>
          </cell>
          <cell r="H940">
            <v>2255.34</v>
          </cell>
          <cell r="M940" t="str">
            <v>KIM</v>
          </cell>
        </row>
        <row r="941">
          <cell r="A941">
            <v>45474</v>
          </cell>
          <cell r="H941">
            <v>490</v>
          </cell>
          <cell r="M941" t="str">
            <v>KIM</v>
          </cell>
        </row>
        <row r="942">
          <cell r="A942">
            <v>45474</v>
          </cell>
          <cell r="H942">
            <v>220</v>
          </cell>
          <cell r="M942" t="str">
            <v>KIM</v>
          </cell>
        </row>
        <row r="943">
          <cell r="A943">
            <v>45474</v>
          </cell>
          <cell r="H943">
            <v>215.96</v>
          </cell>
          <cell r="M943" t="str">
            <v>KIM</v>
          </cell>
        </row>
        <row r="944">
          <cell r="A944">
            <v>45474</v>
          </cell>
          <cell r="H944">
            <v>75.599999999999994</v>
          </cell>
          <cell r="M944" t="str">
            <v>KIM</v>
          </cell>
        </row>
        <row r="945">
          <cell r="A945">
            <v>45474</v>
          </cell>
          <cell r="H945">
            <v>25.27</v>
          </cell>
          <cell r="M945" t="str">
            <v>KIM</v>
          </cell>
        </row>
        <row r="946">
          <cell r="A946">
            <v>45474</v>
          </cell>
          <cell r="H946">
            <v>2.5</v>
          </cell>
          <cell r="M946" t="str">
            <v>KIM</v>
          </cell>
        </row>
        <row r="947">
          <cell r="A947">
            <v>45474</v>
          </cell>
        </row>
        <row r="948">
          <cell r="A948">
            <v>45474</v>
          </cell>
        </row>
        <row r="949">
          <cell r="A949">
            <v>45474</v>
          </cell>
        </row>
        <row r="950">
          <cell r="A950">
            <v>45474</v>
          </cell>
        </row>
        <row r="951">
          <cell r="A951">
            <v>45474</v>
          </cell>
        </row>
        <row r="952">
          <cell r="A952">
            <v>45474</v>
          </cell>
        </row>
        <row r="953">
          <cell r="A953">
            <v>45474</v>
          </cell>
        </row>
        <row r="954">
          <cell r="A954">
            <v>45474</v>
          </cell>
        </row>
        <row r="955">
          <cell r="A955">
            <v>45474</v>
          </cell>
        </row>
        <row r="956">
          <cell r="A956">
            <v>45474</v>
          </cell>
        </row>
        <row r="957">
          <cell r="A957">
            <v>45474</v>
          </cell>
        </row>
        <row r="958">
          <cell r="A958">
            <v>45474</v>
          </cell>
        </row>
        <row r="959">
          <cell r="A959">
            <v>45475</v>
          </cell>
          <cell r="H959">
            <v>2.5</v>
          </cell>
          <cell r="M959" t="str">
            <v>KIM</v>
          </cell>
        </row>
        <row r="960">
          <cell r="A960">
            <v>45478</v>
          </cell>
          <cell r="H960">
            <v>82665.69</v>
          </cell>
          <cell r="M960" t="str">
            <v>tacom</v>
          </cell>
        </row>
        <row r="961">
          <cell r="A961">
            <v>45478</v>
          </cell>
          <cell r="H961">
            <v>32847.5</v>
          </cell>
          <cell r="M961" t="str">
            <v>KIM</v>
          </cell>
        </row>
        <row r="962">
          <cell r="A962">
            <v>45478</v>
          </cell>
          <cell r="H962">
            <v>25000</v>
          </cell>
          <cell r="M962" t="str">
            <v>KIM</v>
          </cell>
        </row>
        <row r="963">
          <cell r="A963">
            <v>45478</v>
          </cell>
          <cell r="H963">
            <v>22251.55</v>
          </cell>
          <cell r="M963" t="str">
            <v>tacom</v>
          </cell>
        </row>
        <row r="964">
          <cell r="A964">
            <v>45478</v>
          </cell>
          <cell r="H964">
            <v>19413.7</v>
          </cell>
          <cell r="M964" t="str">
            <v>KIM</v>
          </cell>
        </row>
        <row r="965">
          <cell r="A965">
            <v>45478</v>
          </cell>
          <cell r="H965">
            <v>8655.2000000000007</v>
          </cell>
          <cell r="M965" t="str">
            <v>KIM</v>
          </cell>
        </row>
        <row r="966">
          <cell r="A966">
            <v>45478</v>
          </cell>
          <cell r="H966">
            <v>6744.56</v>
          </cell>
          <cell r="M966" t="str">
            <v>tacom</v>
          </cell>
        </row>
        <row r="967">
          <cell r="A967">
            <v>45478</v>
          </cell>
          <cell r="H967">
            <v>1158</v>
          </cell>
          <cell r="M967" t="str">
            <v>tacom</v>
          </cell>
        </row>
        <row r="968">
          <cell r="A968">
            <v>45478</v>
          </cell>
          <cell r="H968">
            <v>933.67</v>
          </cell>
          <cell r="M968" t="str">
            <v>TACOM</v>
          </cell>
        </row>
        <row r="969">
          <cell r="A969">
            <v>45478</v>
          </cell>
          <cell r="H969">
            <v>558.33000000000004</v>
          </cell>
          <cell r="M969" t="str">
            <v>KIM</v>
          </cell>
        </row>
        <row r="970">
          <cell r="A970">
            <v>45478</v>
          </cell>
          <cell r="H970">
            <v>414.91</v>
          </cell>
          <cell r="M970" t="str">
            <v>tacom</v>
          </cell>
        </row>
        <row r="971">
          <cell r="A971">
            <v>45478</v>
          </cell>
          <cell r="H971">
            <v>354.47</v>
          </cell>
          <cell r="M971" t="str">
            <v>tacom</v>
          </cell>
        </row>
        <row r="972">
          <cell r="A972">
            <v>45478</v>
          </cell>
          <cell r="H972">
            <v>51.38</v>
          </cell>
          <cell r="M972" t="str">
            <v>KIM</v>
          </cell>
        </row>
        <row r="973">
          <cell r="A973">
            <v>45478</v>
          </cell>
          <cell r="H973">
            <v>48.64</v>
          </cell>
          <cell r="M973" t="str">
            <v>KIM</v>
          </cell>
        </row>
        <row r="974">
          <cell r="A974">
            <v>45481</v>
          </cell>
          <cell r="H974">
            <v>9140.08</v>
          </cell>
          <cell r="M974" t="str">
            <v>KIM</v>
          </cell>
        </row>
        <row r="975">
          <cell r="A975">
            <v>45481</v>
          </cell>
          <cell r="H975">
            <v>3762.99</v>
          </cell>
          <cell r="M975" t="str">
            <v>KIM</v>
          </cell>
        </row>
        <row r="976">
          <cell r="A976">
            <v>45482</v>
          </cell>
          <cell r="H976">
            <v>2500</v>
          </cell>
          <cell r="M976" t="str">
            <v>KIM</v>
          </cell>
        </row>
        <row r="977">
          <cell r="A977">
            <v>45482</v>
          </cell>
          <cell r="H977">
            <v>160</v>
          </cell>
          <cell r="M977" t="str">
            <v>KIM</v>
          </cell>
        </row>
        <row r="978">
          <cell r="A978">
            <v>45483</v>
          </cell>
          <cell r="H978">
            <v>189085.9</v>
          </cell>
          <cell r="M978" t="str">
            <v>KIM</v>
          </cell>
        </row>
        <row r="979">
          <cell r="A979">
            <v>45483</v>
          </cell>
          <cell r="H979">
            <v>45000</v>
          </cell>
          <cell r="M979" t="str">
            <v>KIM</v>
          </cell>
        </row>
        <row r="980">
          <cell r="A980">
            <v>45483</v>
          </cell>
          <cell r="H980">
            <v>40662.21</v>
          </cell>
          <cell r="M980" t="str">
            <v>KIM</v>
          </cell>
        </row>
        <row r="981">
          <cell r="A981">
            <v>45483</v>
          </cell>
          <cell r="H981">
            <v>25300</v>
          </cell>
          <cell r="M981" t="str">
            <v>KIM</v>
          </cell>
        </row>
        <row r="982">
          <cell r="A982">
            <v>45483</v>
          </cell>
          <cell r="H982">
            <v>19264.86</v>
          </cell>
          <cell r="M982" t="str">
            <v>tacom</v>
          </cell>
        </row>
        <row r="983">
          <cell r="A983">
            <v>45483</v>
          </cell>
          <cell r="H983">
            <v>18000</v>
          </cell>
          <cell r="M983" t="str">
            <v>KIM</v>
          </cell>
        </row>
        <row r="984">
          <cell r="A984">
            <v>45483</v>
          </cell>
          <cell r="H984">
            <v>17863.599999999999</v>
          </cell>
          <cell r="M984" t="str">
            <v>KIM</v>
          </cell>
        </row>
        <row r="985">
          <cell r="A985">
            <v>45483</v>
          </cell>
          <cell r="H985">
            <v>17751.18</v>
          </cell>
          <cell r="M985" t="str">
            <v>KIM</v>
          </cell>
        </row>
        <row r="986">
          <cell r="A986">
            <v>45483</v>
          </cell>
          <cell r="H986">
            <v>17000</v>
          </cell>
          <cell r="M986" t="str">
            <v>KIM</v>
          </cell>
        </row>
        <row r="987">
          <cell r="A987">
            <v>45483</v>
          </cell>
          <cell r="H987">
            <v>17000</v>
          </cell>
          <cell r="M987" t="str">
            <v>tacom</v>
          </cell>
        </row>
        <row r="988">
          <cell r="A988">
            <v>45483</v>
          </cell>
          <cell r="H988">
            <v>16800</v>
          </cell>
          <cell r="M988" t="str">
            <v>KIM</v>
          </cell>
        </row>
        <row r="989">
          <cell r="A989">
            <v>45483</v>
          </cell>
          <cell r="H989">
            <v>16318.4</v>
          </cell>
          <cell r="M989" t="str">
            <v>KIM</v>
          </cell>
        </row>
        <row r="990">
          <cell r="A990">
            <v>45483</v>
          </cell>
          <cell r="H990">
            <v>16000</v>
          </cell>
          <cell r="M990" t="str">
            <v>KIM</v>
          </cell>
        </row>
        <row r="991">
          <cell r="A991">
            <v>45483</v>
          </cell>
          <cell r="H991">
            <v>16000</v>
          </cell>
          <cell r="M991" t="str">
            <v>KIM</v>
          </cell>
        </row>
        <row r="992">
          <cell r="A992">
            <v>45483</v>
          </cell>
          <cell r="H992">
            <v>15000</v>
          </cell>
          <cell r="M992" t="str">
            <v>KIM</v>
          </cell>
        </row>
        <row r="993">
          <cell r="A993">
            <v>45483</v>
          </cell>
          <cell r="H993">
            <v>15000</v>
          </cell>
          <cell r="M993" t="str">
            <v>KIM</v>
          </cell>
        </row>
        <row r="994">
          <cell r="A994">
            <v>45483</v>
          </cell>
          <cell r="H994">
            <v>15000</v>
          </cell>
          <cell r="M994" t="str">
            <v>TACOM</v>
          </cell>
        </row>
        <row r="995">
          <cell r="A995">
            <v>45483</v>
          </cell>
          <cell r="H995">
            <v>14077.5</v>
          </cell>
          <cell r="M995" t="str">
            <v>KIM</v>
          </cell>
        </row>
        <row r="996">
          <cell r="A996">
            <v>45483</v>
          </cell>
          <cell r="H996">
            <v>13806.62</v>
          </cell>
          <cell r="M996" t="str">
            <v>KIM</v>
          </cell>
        </row>
        <row r="997">
          <cell r="A997">
            <v>45483</v>
          </cell>
          <cell r="H997">
            <v>13503</v>
          </cell>
          <cell r="M997" t="str">
            <v>tacom</v>
          </cell>
        </row>
        <row r="998">
          <cell r="A998">
            <v>45483</v>
          </cell>
          <cell r="H998">
            <v>12000</v>
          </cell>
          <cell r="M998" t="str">
            <v>KIM</v>
          </cell>
        </row>
        <row r="999">
          <cell r="A999">
            <v>45483</v>
          </cell>
          <cell r="H999">
            <v>6000</v>
          </cell>
          <cell r="M999" t="str">
            <v>KIM</v>
          </cell>
        </row>
        <row r="1000">
          <cell r="A1000">
            <v>45483</v>
          </cell>
          <cell r="H1000">
            <v>1689.3</v>
          </cell>
          <cell r="M1000" t="str">
            <v>KIM</v>
          </cell>
        </row>
        <row r="1001">
          <cell r="A1001">
            <v>45483</v>
          </cell>
          <cell r="H1001">
            <v>483.28</v>
          </cell>
          <cell r="M1001" t="str">
            <v>KIM</v>
          </cell>
        </row>
        <row r="1002">
          <cell r="A1002">
            <v>45483</v>
          </cell>
          <cell r="H1002">
            <v>444.12</v>
          </cell>
          <cell r="M1002" t="str">
            <v>KIM</v>
          </cell>
        </row>
        <row r="1003">
          <cell r="A1003">
            <v>45483</v>
          </cell>
          <cell r="H1003">
            <v>204.38</v>
          </cell>
          <cell r="M1003" t="str">
            <v>KIM</v>
          </cell>
        </row>
        <row r="1004">
          <cell r="A1004">
            <v>45483</v>
          </cell>
          <cell r="H1004">
            <v>0</v>
          </cell>
          <cell r="M1004" t="str">
            <v>KIM</v>
          </cell>
        </row>
        <row r="1005">
          <cell r="A1005">
            <v>45483</v>
          </cell>
          <cell r="H1005">
            <v>0</v>
          </cell>
          <cell r="M1005" t="str">
            <v>TACOM</v>
          </cell>
        </row>
        <row r="1006">
          <cell r="A1006">
            <v>45483</v>
          </cell>
          <cell r="H1006">
            <v>0</v>
          </cell>
          <cell r="M1006" t="str">
            <v>KIM</v>
          </cell>
        </row>
        <row r="1007">
          <cell r="A1007">
            <v>45483</v>
          </cell>
          <cell r="M1007" t="str">
            <v>KIM</v>
          </cell>
        </row>
        <row r="1008">
          <cell r="A1008">
            <v>45488</v>
          </cell>
          <cell r="H1008">
            <v>14000</v>
          </cell>
          <cell r="M1008" t="str">
            <v>KIM</v>
          </cell>
        </row>
        <row r="1009">
          <cell r="A1009">
            <v>45488</v>
          </cell>
          <cell r="H1009">
            <v>12502.7</v>
          </cell>
          <cell r="M1009" t="str">
            <v>KIM</v>
          </cell>
        </row>
        <row r="1010">
          <cell r="A1010">
            <v>45488</v>
          </cell>
          <cell r="H1010">
            <v>1818.66</v>
          </cell>
          <cell r="M1010" t="str">
            <v>KIM</v>
          </cell>
        </row>
        <row r="1011">
          <cell r="A1011">
            <v>45488</v>
          </cell>
          <cell r="H1011">
            <v>1000</v>
          </cell>
          <cell r="M1011" t="str">
            <v>KIM</v>
          </cell>
        </row>
        <row r="1012">
          <cell r="A1012">
            <v>45488</v>
          </cell>
          <cell r="H1012">
            <v>81</v>
          </cell>
          <cell r="M1012" t="str">
            <v>KIM</v>
          </cell>
        </row>
        <row r="1013">
          <cell r="A1013">
            <v>45489</v>
          </cell>
          <cell r="H1013">
            <v>2.5</v>
          </cell>
          <cell r="M1013" t="str">
            <v>KIM</v>
          </cell>
        </row>
        <row r="1014">
          <cell r="A1014">
            <v>45490</v>
          </cell>
          <cell r="H1014">
            <v>494.3</v>
          </cell>
          <cell r="M1014" t="str">
            <v>KIM</v>
          </cell>
        </row>
        <row r="1015">
          <cell r="A1015">
            <v>45490</v>
          </cell>
          <cell r="H1015">
            <v>68.84</v>
          </cell>
          <cell r="M1015" t="str">
            <v>KIM</v>
          </cell>
        </row>
        <row r="1016">
          <cell r="A1016">
            <v>45490</v>
          </cell>
          <cell r="H1016">
            <v>38.96</v>
          </cell>
          <cell r="M1016" t="str">
            <v>KIM</v>
          </cell>
        </row>
        <row r="1017">
          <cell r="A1017">
            <v>45492</v>
          </cell>
          <cell r="H1017">
            <v>15085.84</v>
          </cell>
          <cell r="M1017" t="str">
            <v>KIM</v>
          </cell>
        </row>
        <row r="1018">
          <cell r="A1018">
            <v>45492</v>
          </cell>
          <cell r="H1018">
            <v>10000</v>
          </cell>
          <cell r="M1018" t="str">
            <v>KIM</v>
          </cell>
        </row>
        <row r="1019">
          <cell r="A1019">
            <v>45492</v>
          </cell>
          <cell r="H1019">
            <v>3334.08</v>
          </cell>
          <cell r="M1019" t="str">
            <v>KIM</v>
          </cell>
        </row>
        <row r="1020">
          <cell r="A1020">
            <v>45492</v>
          </cell>
          <cell r="H1020">
            <v>2371.54</v>
          </cell>
          <cell r="M1020" t="str">
            <v>KIM</v>
          </cell>
        </row>
        <row r="1021">
          <cell r="A1021">
            <v>45492</v>
          </cell>
          <cell r="H1021">
            <v>1111.3599999999999</v>
          </cell>
          <cell r="M1021" t="str">
            <v>KIM</v>
          </cell>
        </row>
        <row r="1022">
          <cell r="A1022">
            <v>45492</v>
          </cell>
          <cell r="H1022">
            <v>722.38</v>
          </cell>
          <cell r="M1022" t="str">
            <v>KIM</v>
          </cell>
        </row>
        <row r="1023">
          <cell r="A1023">
            <v>45492</v>
          </cell>
          <cell r="H1023">
            <v>538.62</v>
          </cell>
          <cell r="M1023" t="str">
            <v>KIM</v>
          </cell>
        </row>
        <row r="1024">
          <cell r="A1024">
            <v>45492</v>
          </cell>
          <cell r="H1024">
            <v>36.9</v>
          </cell>
          <cell r="M1024" t="str">
            <v>KIM</v>
          </cell>
        </row>
        <row r="1025">
          <cell r="A1025">
            <v>45492</v>
          </cell>
          <cell r="H1025">
            <v>2.5</v>
          </cell>
          <cell r="M1025" t="str">
            <v>KIM</v>
          </cell>
        </row>
        <row r="1026">
          <cell r="A1026">
            <v>45495</v>
          </cell>
          <cell r="H1026">
            <v>95405.94</v>
          </cell>
          <cell r="M1026" t="str">
            <v>KIM</v>
          </cell>
        </row>
        <row r="1027">
          <cell r="A1027">
            <v>45495</v>
          </cell>
          <cell r="H1027">
            <v>34769.75</v>
          </cell>
          <cell r="M1027" t="str">
            <v>KIM</v>
          </cell>
        </row>
        <row r="1028">
          <cell r="A1028">
            <v>45495</v>
          </cell>
          <cell r="H1028">
            <v>18489.240000000002</v>
          </cell>
          <cell r="M1028" t="str">
            <v>KIM</v>
          </cell>
        </row>
        <row r="1029">
          <cell r="A1029">
            <v>45495</v>
          </cell>
          <cell r="H1029">
            <v>12698.7</v>
          </cell>
          <cell r="M1029" t="str">
            <v>KIM</v>
          </cell>
        </row>
        <row r="1030">
          <cell r="A1030">
            <v>45495</v>
          </cell>
          <cell r="H1030">
            <v>12502.7</v>
          </cell>
          <cell r="M1030" t="str">
            <v>KIM</v>
          </cell>
        </row>
        <row r="1031">
          <cell r="A1031">
            <v>45495</v>
          </cell>
          <cell r="H1031">
            <v>12000</v>
          </cell>
          <cell r="M1031" t="str">
            <v>KIM</v>
          </cell>
        </row>
        <row r="1032">
          <cell r="A1032">
            <v>45495</v>
          </cell>
          <cell r="H1032">
            <v>10000</v>
          </cell>
          <cell r="M1032" t="str">
            <v>KIM</v>
          </cell>
        </row>
        <row r="1033">
          <cell r="A1033">
            <v>45495</v>
          </cell>
          <cell r="H1033">
            <v>5999.9</v>
          </cell>
          <cell r="M1033" t="str">
            <v>KIM</v>
          </cell>
        </row>
        <row r="1034">
          <cell r="A1034">
            <v>45495</v>
          </cell>
          <cell r="H1034">
            <v>5770</v>
          </cell>
          <cell r="M1034" t="str">
            <v>KIM</v>
          </cell>
        </row>
        <row r="1035">
          <cell r="A1035">
            <v>45495</v>
          </cell>
          <cell r="H1035">
            <v>5000</v>
          </cell>
          <cell r="M1035" t="str">
            <v>KIM</v>
          </cell>
        </row>
        <row r="1036">
          <cell r="A1036">
            <v>45495</v>
          </cell>
          <cell r="H1036">
            <v>2965.18</v>
          </cell>
          <cell r="M1036" t="str">
            <v>KIM</v>
          </cell>
        </row>
        <row r="1037">
          <cell r="A1037">
            <v>45495</v>
          </cell>
          <cell r="H1037">
            <v>1155</v>
          </cell>
          <cell r="M1037" t="str">
            <v>KIM</v>
          </cell>
        </row>
        <row r="1038">
          <cell r="A1038">
            <v>45495</v>
          </cell>
          <cell r="H1038">
            <v>1065.46</v>
          </cell>
          <cell r="M1038" t="str">
            <v>KIM</v>
          </cell>
        </row>
        <row r="1039">
          <cell r="A1039">
            <v>45495</v>
          </cell>
          <cell r="H1039">
            <v>1030.98</v>
          </cell>
          <cell r="M1039" t="str">
            <v>KIM</v>
          </cell>
        </row>
        <row r="1040">
          <cell r="A1040">
            <v>45495</v>
          </cell>
          <cell r="H1040">
            <v>830.79</v>
          </cell>
          <cell r="M1040" t="str">
            <v>KIM</v>
          </cell>
        </row>
        <row r="1041">
          <cell r="A1041">
            <v>45495</v>
          </cell>
          <cell r="H1041">
            <v>746.24</v>
          </cell>
          <cell r="M1041" t="str">
            <v>KIM</v>
          </cell>
        </row>
        <row r="1042">
          <cell r="A1042">
            <v>45495</v>
          </cell>
          <cell r="H1042">
            <v>715.28</v>
          </cell>
          <cell r="M1042" t="str">
            <v>KIM</v>
          </cell>
        </row>
        <row r="1043">
          <cell r="A1043">
            <v>45495</v>
          </cell>
          <cell r="H1043">
            <v>517.35</v>
          </cell>
          <cell r="M1043" t="str">
            <v>KIM</v>
          </cell>
        </row>
        <row r="1044">
          <cell r="A1044">
            <v>45495</v>
          </cell>
          <cell r="H1044">
            <v>322.68</v>
          </cell>
          <cell r="M1044" t="str">
            <v>KIM</v>
          </cell>
        </row>
        <row r="1045">
          <cell r="A1045">
            <v>45495</v>
          </cell>
          <cell r="H1045">
            <v>206.84</v>
          </cell>
          <cell r="M1045" t="str">
            <v>KIM</v>
          </cell>
        </row>
        <row r="1046">
          <cell r="A1046">
            <v>45495</v>
          </cell>
          <cell r="H1046">
            <v>198.9</v>
          </cell>
          <cell r="M1046" t="str">
            <v>TACOM</v>
          </cell>
        </row>
        <row r="1047">
          <cell r="A1047">
            <v>45495</v>
          </cell>
          <cell r="H1047">
            <v>134.32</v>
          </cell>
          <cell r="M1047" t="str">
            <v>KIM</v>
          </cell>
        </row>
        <row r="1048">
          <cell r="A1048">
            <v>45495</v>
          </cell>
          <cell r="H1048">
            <v>129.82</v>
          </cell>
          <cell r="M1048" t="str">
            <v>KIM</v>
          </cell>
        </row>
        <row r="1049">
          <cell r="A1049">
            <v>45495</v>
          </cell>
          <cell r="H1049">
            <v>99.15</v>
          </cell>
          <cell r="M1049" t="str">
            <v>KIM</v>
          </cell>
        </row>
        <row r="1050">
          <cell r="A1050">
            <v>45495</v>
          </cell>
          <cell r="H1050">
            <v>43.55</v>
          </cell>
          <cell r="M1050" t="str">
            <v>KIM</v>
          </cell>
        </row>
        <row r="1051">
          <cell r="A1051">
            <v>45495</v>
          </cell>
          <cell r="H1051">
            <v>32.9</v>
          </cell>
          <cell r="M1051" t="str">
            <v>TACOM</v>
          </cell>
        </row>
        <row r="1052">
          <cell r="A1052">
            <v>45495</v>
          </cell>
          <cell r="H1052">
            <v>18.72</v>
          </cell>
          <cell r="M1052" t="str">
            <v>KIM</v>
          </cell>
        </row>
        <row r="1053">
          <cell r="A1053">
            <v>45495</v>
          </cell>
          <cell r="H1053">
            <v>9.5500000000000007</v>
          </cell>
          <cell r="M1053" t="str">
            <v>KIM</v>
          </cell>
        </row>
        <row r="1054">
          <cell r="A1054">
            <v>45495</v>
          </cell>
          <cell r="H1054">
            <v>0</v>
          </cell>
          <cell r="M1054" t="str">
            <v>KIM</v>
          </cell>
        </row>
        <row r="1055">
          <cell r="A1055">
            <v>45495</v>
          </cell>
          <cell r="H1055">
            <v>0</v>
          </cell>
          <cell r="M1055" t="str">
            <v>tacom</v>
          </cell>
        </row>
        <row r="1056">
          <cell r="A1056">
            <v>45495</v>
          </cell>
          <cell r="H1056">
            <v>0</v>
          </cell>
          <cell r="M1056" t="str">
            <v>KIM</v>
          </cell>
        </row>
        <row r="1057">
          <cell r="A1057">
            <v>45495</v>
          </cell>
          <cell r="H1057">
            <v>0</v>
          </cell>
          <cell r="M1057" t="str">
            <v>TACOM</v>
          </cell>
        </row>
        <row r="1058">
          <cell r="A1058">
            <v>45495</v>
          </cell>
          <cell r="H1058">
            <v>0</v>
          </cell>
          <cell r="M1058" t="str">
            <v>KIM</v>
          </cell>
        </row>
        <row r="1059">
          <cell r="A1059">
            <v>45495</v>
          </cell>
          <cell r="M1059" t="str">
            <v>KIM</v>
          </cell>
        </row>
        <row r="1060">
          <cell r="A1060">
            <v>45496</v>
          </cell>
          <cell r="H1060">
            <v>2.5</v>
          </cell>
          <cell r="M1060" t="str">
            <v>KIM</v>
          </cell>
        </row>
        <row r="1061">
          <cell r="A1061">
            <v>45498</v>
          </cell>
          <cell r="H1061">
            <v>10837.16</v>
          </cell>
          <cell r="M1061" t="str">
            <v>KIM</v>
          </cell>
        </row>
        <row r="1062">
          <cell r="A1062">
            <v>45498</v>
          </cell>
          <cell r="H1062">
            <v>7684.19</v>
          </cell>
          <cell r="M1062" t="str">
            <v>KIM</v>
          </cell>
        </row>
        <row r="1063">
          <cell r="A1063">
            <v>45498</v>
          </cell>
          <cell r="H1063">
            <v>2348.0500000000002</v>
          </cell>
          <cell r="M1063" t="str">
            <v>KIM</v>
          </cell>
        </row>
        <row r="1064">
          <cell r="A1064">
            <v>45498</v>
          </cell>
          <cell r="H1064">
            <v>1096.2</v>
          </cell>
          <cell r="M1064" t="str">
            <v>KIM</v>
          </cell>
        </row>
        <row r="1065">
          <cell r="A1065">
            <v>45498</v>
          </cell>
          <cell r="M1065" t="str">
            <v>KIM</v>
          </cell>
        </row>
        <row r="1066">
          <cell r="A1066">
            <v>45503</v>
          </cell>
          <cell r="H1066">
            <v>65715.960000000006</v>
          </cell>
          <cell r="M1066" t="str">
            <v>KIM</v>
          </cell>
        </row>
        <row r="1067">
          <cell r="A1067">
            <v>45503</v>
          </cell>
          <cell r="H1067">
            <v>43320</v>
          </cell>
          <cell r="M1067" t="str">
            <v>KIM</v>
          </cell>
        </row>
        <row r="1068">
          <cell r="A1068">
            <v>45503</v>
          </cell>
          <cell r="H1068">
            <v>37671.14</v>
          </cell>
          <cell r="M1068" t="str">
            <v>KIM</v>
          </cell>
        </row>
        <row r="1069">
          <cell r="A1069">
            <v>45503</v>
          </cell>
          <cell r="H1069">
            <v>34769.75</v>
          </cell>
          <cell r="M1069" t="str">
            <v>KIM</v>
          </cell>
        </row>
        <row r="1070">
          <cell r="A1070">
            <v>45503</v>
          </cell>
          <cell r="H1070">
            <v>25000</v>
          </cell>
          <cell r="M1070" t="str">
            <v>KIM</v>
          </cell>
        </row>
        <row r="1071">
          <cell r="A1071">
            <v>45503</v>
          </cell>
          <cell r="H1071">
            <v>14538.9</v>
          </cell>
          <cell r="M1071" t="str">
            <v>KIM</v>
          </cell>
        </row>
        <row r="1072">
          <cell r="A1072">
            <v>45503</v>
          </cell>
          <cell r="H1072">
            <v>10000</v>
          </cell>
          <cell r="M1072" t="str">
            <v>KIM</v>
          </cell>
        </row>
        <row r="1073">
          <cell r="A1073">
            <v>45503</v>
          </cell>
          <cell r="H1073">
            <v>9656.5499999999993</v>
          </cell>
          <cell r="M1073" t="str">
            <v>KIM</v>
          </cell>
        </row>
        <row r="1074">
          <cell r="A1074">
            <v>45503</v>
          </cell>
          <cell r="H1074">
            <v>8000</v>
          </cell>
          <cell r="M1074" t="str">
            <v>KIM</v>
          </cell>
        </row>
        <row r="1075">
          <cell r="A1075">
            <v>45503</v>
          </cell>
          <cell r="H1075">
            <v>7864.38</v>
          </cell>
          <cell r="M1075" t="str">
            <v>KIM</v>
          </cell>
        </row>
        <row r="1076">
          <cell r="A1076">
            <v>45503</v>
          </cell>
          <cell r="H1076">
            <v>6760.2</v>
          </cell>
          <cell r="M1076" t="str">
            <v>KIM</v>
          </cell>
        </row>
        <row r="1077">
          <cell r="A1077">
            <v>45503</v>
          </cell>
          <cell r="H1077">
            <v>4918.6000000000004</v>
          </cell>
          <cell r="M1077" t="str">
            <v>KIM</v>
          </cell>
        </row>
        <row r="1078">
          <cell r="A1078">
            <v>45503</v>
          </cell>
          <cell r="H1078">
            <v>4060</v>
          </cell>
          <cell r="M1078" t="str">
            <v>KIM</v>
          </cell>
        </row>
        <row r="1079">
          <cell r="A1079">
            <v>45503</v>
          </cell>
          <cell r="H1079">
            <v>3754</v>
          </cell>
          <cell r="M1079" t="str">
            <v>KIM</v>
          </cell>
        </row>
        <row r="1080">
          <cell r="A1080">
            <v>45503</v>
          </cell>
          <cell r="H1080">
            <v>3340.34</v>
          </cell>
          <cell r="M1080" t="str">
            <v>TACOM</v>
          </cell>
        </row>
        <row r="1081">
          <cell r="A1081">
            <v>45503</v>
          </cell>
          <cell r="H1081">
            <v>2000</v>
          </cell>
          <cell r="M1081" t="str">
            <v>KIM</v>
          </cell>
        </row>
        <row r="1082">
          <cell r="A1082">
            <v>45503</v>
          </cell>
          <cell r="H1082">
            <v>1496.65</v>
          </cell>
          <cell r="M1082" t="str">
            <v>KIM</v>
          </cell>
        </row>
        <row r="1083">
          <cell r="A1083">
            <v>45503</v>
          </cell>
          <cell r="H1083">
            <v>1445</v>
          </cell>
          <cell r="M1083" t="str">
            <v>KIM</v>
          </cell>
        </row>
        <row r="1084">
          <cell r="A1084">
            <v>45503</v>
          </cell>
          <cell r="H1084">
            <v>1268</v>
          </cell>
          <cell r="M1084" t="str">
            <v>KIM</v>
          </cell>
        </row>
        <row r="1085">
          <cell r="A1085">
            <v>45503</v>
          </cell>
          <cell r="H1085">
            <v>1248</v>
          </cell>
          <cell r="M1085" t="str">
            <v>KIM</v>
          </cell>
        </row>
        <row r="1086">
          <cell r="A1086">
            <v>45503</v>
          </cell>
          <cell r="H1086">
            <v>1140.5999999999999</v>
          </cell>
          <cell r="M1086" t="str">
            <v>KIM</v>
          </cell>
        </row>
        <row r="1087">
          <cell r="A1087">
            <v>45503</v>
          </cell>
          <cell r="H1087">
            <v>1119.49</v>
          </cell>
          <cell r="M1087" t="str">
            <v>KIM</v>
          </cell>
        </row>
        <row r="1088">
          <cell r="A1088">
            <v>45503</v>
          </cell>
          <cell r="H1088">
            <v>670</v>
          </cell>
          <cell r="M1088" t="str">
            <v>KIM</v>
          </cell>
        </row>
        <row r="1089">
          <cell r="A1089">
            <v>45503</v>
          </cell>
          <cell r="H1089">
            <v>560.51</v>
          </cell>
          <cell r="M1089" t="str">
            <v>KIM</v>
          </cell>
        </row>
        <row r="1090">
          <cell r="A1090">
            <v>45503</v>
          </cell>
          <cell r="H1090">
            <v>257.85000000000002</v>
          </cell>
          <cell r="M1090" t="str">
            <v>KIM</v>
          </cell>
        </row>
        <row r="1091">
          <cell r="A1091">
            <v>45503</v>
          </cell>
          <cell r="H1091">
            <v>247.5</v>
          </cell>
          <cell r="M1091" t="str">
            <v>KIM</v>
          </cell>
        </row>
        <row r="1092">
          <cell r="A1092">
            <v>45503</v>
          </cell>
          <cell r="H1092">
            <v>167</v>
          </cell>
          <cell r="M1092" t="str">
            <v>KIM</v>
          </cell>
        </row>
        <row r="1093">
          <cell r="A1093">
            <v>45503</v>
          </cell>
          <cell r="H1093">
            <v>113.6</v>
          </cell>
          <cell r="M1093" t="str">
            <v>KIM</v>
          </cell>
        </row>
        <row r="1094">
          <cell r="A1094">
            <v>45503</v>
          </cell>
          <cell r="H1094">
            <v>90</v>
          </cell>
          <cell r="M1094" t="str">
            <v>KIM</v>
          </cell>
        </row>
        <row r="1095">
          <cell r="A1095">
            <v>45503</v>
          </cell>
          <cell r="H1095">
            <v>72</v>
          </cell>
          <cell r="M1095" t="str">
            <v>KIM</v>
          </cell>
        </row>
        <row r="1096">
          <cell r="A1096">
            <v>45503</v>
          </cell>
          <cell r="H1096">
            <v>62.4</v>
          </cell>
          <cell r="M1096" t="str">
            <v>KIM</v>
          </cell>
        </row>
        <row r="1097">
          <cell r="A1097">
            <v>45503</v>
          </cell>
          <cell r="H1097">
            <v>9.5500000000000007</v>
          </cell>
          <cell r="M1097" t="str">
            <v>KIM</v>
          </cell>
        </row>
        <row r="1098">
          <cell r="A1098">
            <v>45503</v>
          </cell>
          <cell r="H1098">
            <v>0</v>
          </cell>
          <cell r="M1098" t="str">
            <v>KIM</v>
          </cell>
        </row>
        <row r="1099">
          <cell r="A1099">
            <v>45503</v>
          </cell>
          <cell r="H1099">
            <v>0</v>
          </cell>
          <cell r="M1099" t="str">
            <v>KIM</v>
          </cell>
        </row>
        <row r="1100">
          <cell r="A1100">
            <v>45503</v>
          </cell>
          <cell r="H1100">
            <v>0</v>
          </cell>
          <cell r="M1100" t="str">
            <v>KIM</v>
          </cell>
        </row>
        <row r="1101">
          <cell r="A1101">
            <v>45503</v>
          </cell>
          <cell r="H1101">
            <v>0</v>
          </cell>
          <cell r="M1101" t="str">
            <v>KIM</v>
          </cell>
        </row>
        <row r="1102">
          <cell r="A1102">
            <v>45503</v>
          </cell>
          <cell r="H1102">
            <v>0</v>
          </cell>
          <cell r="M1102" t="str">
            <v>KIM</v>
          </cell>
        </row>
        <row r="1103">
          <cell r="A1103">
            <v>45503</v>
          </cell>
          <cell r="H1103">
            <v>0</v>
          </cell>
          <cell r="M1103" t="str">
            <v>tacom</v>
          </cell>
        </row>
        <row r="1104">
          <cell r="A1104">
            <v>45503</v>
          </cell>
          <cell r="H1104">
            <v>0</v>
          </cell>
          <cell r="M1104" t="str">
            <v>TACOM</v>
          </cell>
        </row>
        <row r="1105">
          <cell r="A1105">
            <v>45503</v>
          </cell>
          <cell r="H1105">
            <v>0</v>
          </cell>
          <cell r="M1105" t="str">
            <v>TACOM</v>
          </cell>
        </row>
        <row r="1106">
          <cell r="A1106">
            <v>45504</v>
          </cell>
          <cell r="H1106">
            <v>44599.43</v>
          </cell>
          <cell r="M1106" t="str">
            <v>KIM</v>
          </cell>
        </row>
        <row r="1107">
          <cell r="A1107">
            <v>45504</v>
          </cell>
          <cell r="H1107">
            <v>20000</v>
          </cell>
          <cell r="M1107" t="str">
            <v>KIM</v>
          </cell>
        </row>
        <row r="1108">
          <cell r="A1108">
            <v>45504</v>
          </cell>
          <cell r="H1108">
            <v>20000</v>
          </cell>
          <cell r="M1108" t="str">
            <v>KIM</v>
          </cell>
        </row>
        <row r="1109">
          <cell r="A1109">
            <v>45504</v>
          </cell>
          <cell r="H1109">
            <v>10000</v>
          </cell>
          <cell r="M1109" t="str">
            <v>KIM</v>
          </cell>
        </row>
        <row r="1110">
          <cell r="A1110">
            <v>45504</v>
          </cell>
          <cell r="H1110">
            <v>7363.9</v>
          </cell>
          <cell r="M1110" t="str">
            <v>KIM</v>
          </cell>
        </row>
        <row r="1111">
          <cell r="A1111">
            <v>45504</v>
          </cell>
          <cell r="H1111">
            <v>4660</v>
          </cell>
          <cell r="M1111" t="str">
            <v>KIM</v>
          </cell>
        </row>
        <row r="1112">
          <cell r="A1112">
            <v>45504</v>
          </cell>
          <cell r="H1112">
            <v>99.98</v>
          </cell>
          <cell r="M1112" t="str">
            <v>KIM</v>
          </cell>
        </row>
        <row r="1113">
          <cell r="A1113">
            <v>45504</v>
          </cell>
          <cell r="H1113">
            <v>5.94</v>
          </cell>
          <cell r="M1113" t="str">
            <v>KIM</v>
          </cell>
        </row>
        <row r="1114">
          <cell r="A1114">
            <v>45505</v>
          </cell>
          <cell r="H1114">
            <v>20024.330000000002</v>
          </cell>
          <cell r="M1114" t="str">
            <v>KIM</v>
          </cell>
        </row>
        <row r="1115">
          <cell r="A1115">
            <v>45505</v>
          </cell>
          <cell r="H1115">
            <v>1440.86</v>
          </cell>
          <cell r="M1115" t="str">
            <v>KIM</v>
          </cell>
        </row>
        <row r="1116">
          <cell r="A1116">
            <v>45505</v>
          </cell>
          <cell r="H1116">
            <v>490</v>
          </cell>
          <cell r="M1116" t="str">
            <v>KIM</v>
          </cell>
        </row>
        <row r="1117">
          <cell r="A1117">
            <v>45505</v>
          </cell>
          <cell r="H1117">
            <v>331.2</v>
          </cell>
          <cell r="M1117" t="str">
            <v>KIM</v>
          </cell>
        </row>
        <row r="1118">
          <cell r="A1118">
            <v>45505</v>
          </cell>
          <cell r="H1118">
            <v>216</v>
          </cell>
          <cell r="M1118" t="str">
            <v>KIM</v>
          </cell>
        </row>
        <row r="1119">
          <cell r="A1119">
            <v>45505</v>
          </cell>
          <cell r="H1119">
            <v>1838.08</v>
          </cell>
          <cell r="M1119" t="str">
            <v>KIM</v>
          </cell>
        </row>
        <row r="1120">
          <cell r="A1120">
            <v>45505</v>
          </cell>
          <cell r="H1120">
            <v>770</v>
          </cell>
          <cell r="M1120" t="str">
            <v>KIM</v>
          </cell>
        </row>
        <row r="1121">
          <cell r="A1121">
            <v>45505</v>
          </cell>
          <cell r="H1121">
            <v>770</v>
          </cell>
          <cell r="M1121" t="str">
            <v>KIM</v>
          </cell>
        </row>
        <row r="1122">
          <cell r="A1122">
            <v>45505</v>
          </cell>
          <cell r="H1122">
            <v>5</v>
          </cell>
          <cell r="M1122" t="str">
            <v>KIM</v>
          </cell>
        </row>
        <row r="1123">
          <cell r="A1123">
            <v>45505</v>
          </cell>
        </row>
        <row r="1124">
          <cell r="A1124">
            <v>45505</v>
          </cell>
        </row>
        <row r="1125">
          <cell r="A1125">
            <v>45505</v>
          </cell>
        </row>
        <row r="1126">
          <cell r="A1126">
            <v>45505</v>
          </cell>
        </row>
        <row r="1127">
          <cell r="A1127">
            <v>45505</v>
          </cell>
        </row>
        <row r="1128">
          <cell r="A1128">
            <v>45505</v>
          </cell>
        </row>
        <row r="1129">
          <cell r="A1129">
            <v>45505</v>
          </cell>
        </row>
        <row r="1130">
          <cell r="A1130">
            <v>45505</v>
          </cell>
        </row>
        <row r="1131">
          <cell r="A1131">
            <v>45505</v>
          </cell>
        </row>
        <row r="1132">
          <cell r="A1132">
            <v>45505</v>
          </cell>
        </row>
        <row r="1133">
          <cell r="A1133">
            <v>45505</v>
          </cell>
        </row>
        <row r="1134">
          <cell r="A1134">
            <v>45505</v>
          </cell>
        </row>
        <row r="1135">
          <cell r="A1135">
            <v>45506</v>
          </cell>
          <cell r="H1135">
            <v>73</v>
          </cell>
          <cell r="M1135" t="str">
            <v>KIM</v>
          </cell>
        </row>
        <row r="1136">
          <cell r="A1136">
            <v>45509</v>
          </cell>
          <cell r="H1136">
            <v>29705.08</v>
          </cell>
          <cell r="M1136" t="str">
            <v>tacom</v>
          </cell>
        </row>
        <row r="1137">
          <cell r="A1137">
            <v>45509</v>
          </cell>
          <cell r="H1137">
            <v>87463.319999999992</v>
          </cell>
          <cell r="M1137" t="str">
            <v>tacom</v>
          </cell>
        </row>
        <row r="1138">
          <cell r="A1138">
            <v>45509</v>
          </cell>
          <cell r="H1138">
            <v>7109.06</v>
          </cell>
          <cell r="M1138" t="str">
            <v>tacom</v>
          </cell>
        </row>
        <row r="1139">
          <cell r="A1139">
            <v>45509</v>
          </cell>
          <cell r="H1139">
            <v>10912.43</v>
          </cell>
          <cell r="M1139" t="str">
            <v>TACOM</v>
          </cell>
        </row>
        <row r="1140">
          <cell r="A1140">
            <v>45509</v>
          </cell>
          <cell r="H1140">
            <v>1221.2</v>
          </cell>
          <cell r="M1140" t="str">
            <v>TACOM</v>
          </cell>
        </row>
        <row r="1141">
          <cell r="A1141">
            <v>45509</v>
          </cell>
          <cell r="M1141" t="str">
            <v>tacom</v>
          </cell>
        </row>
        <row r="1142">
          <cell r="A1142">
            <v>45509</v>
          </cell>
          <cell r="H1142">
            <v>1000</v>
          </cell>
          <cell r="M1142" t="str">
            <v>KIM</v>
          </cell>
        </row>
        <row r="1143">
          <cell r="A1143">
            <v>45509</v>
          </cell>
          <cell r="H1143">
            <v>136.09</v>
          </cell>
          <cell r="M1143" t="str">
            <v>KIM</v>
          </cell>
        </row>
        <row r="1144">
          <cell r="A1144">
            <v>45509</v>
          </cell>
          <cell r="H1144">
            <v>431.86</v>
          </cell>
          <cell r="M1144" t="str">
            <v>TACOM</v>
          </cell>
        </row>
        <row r="1145">
          <cell r="A1145">
            <v>45509</v>
          </cell>
          <cell r="H1145">
            <v>119</v>
          </cell>
          <cell r="M1145" t="str">
            <v>tacom</v>
          </cell>
        </row>
        <row r="1146">
          <cell r="A1146">
            <v>45510</v>
          </cell>
          <cell r="H1146">
            <v>25000</v>
          </cell>
          <cell r="M1146" t="str">
            <v>KIM</v>
          </cell>
        </row>
        <row r="1147">
          <cell r="A1147">
            <v>45511</v>
          </cell>
          <cell r="H1147">
            <v>37540</v>
          </cell>
          <cell r="M1147" t="str">
            <v>KIM</v>
          </cell>
        </row>
        <row r="1148">
          <cell r="A1148">
            <v>45512</v>
          </cell>
          <cell r="H1148">
            <v>9140.08</v>
          </cell>
          <cell r="M1148" t="str">
            <v>KIM</v>
          </cell>
        </row>
        <row r="1149">
          <cell r="A1149">
            <v>45512</v>
          </cell>
          <cell r="H1149">
            <v>3157.05</v>
          </cell>
          <cell r="M1149" t="str">
            <v>KIM</v>
          </cell>
        </row>
        <row r="1150">
          <cell r="A1150">
            <v>45513</v>
          </cell>
          <cell r="H1150">
            <v>17000</v>
          </cell>
          <cell r="M1150" t="str">
            <v>tacom</v>
          </cell>
        </row>
        <row r="1151">
          <cell r="A1151">
            <v>45513</v>
          </cell>
          <cell r="H1151">
            <v>15000</v>
          </cell>
          <cell r="M1151" t="str">
            <v>TACOM</v>
          </cell>
        </row>
        <row r="1152">
          <cell r="A1152">
            <v>45513</v>
          </cell>
          <cell r="H1152">
            <v>12420</v>
          </cell>
          <cell r="M1152" t="str">
            <v>KIM</v>
          </cell>
        </row>
        <row r="1153">
          <cell r="A1153">
            <v>45513</v>
          </cell>
          <cell r="H1153">
            <v>0</v>
          </cell>
          <cell r="M1153" t="str">
            <v>KIM</v>
          </cell>
        </row>
        <row r="1154">
          <cell r="A1154">
            <v>45513</v>
          </cell>
          <cell r="H1154">
            <v>0</v>
          </cell>
          <cell r="M1154" t="str">
            <v>KIM</v>
          </cell>
        </row>
        <row r="1155">
          <cell r="A1155">
            <v>45513</v>
          </cell>
          <cell r="H1155">
            <v>13506.63</v>
          </cell>
          <cell r="M1155" t="str">
            <v>tacom</v>
          </cell>
        </row>
        <row r="1156">
          <cell r="A1156">
            <v>45513</v>
          </cell>
          <cell r="H1156">
            <v>0</v>
          </cell>
          <cell r="M1156" t="str">
            <v>KIM</v>
          </cell>
        </row>
        <row r="1157">
          <cell r="A1157">
            <v>45513</v>
          </cell>
          <cell r="H1157">
            <v>0</v>
          </cell>
          <cell r="M1157" t="str">
            <v>KIM</v>
          </cell>
        </row>
        <row r="1158">
          <cell r="A1158">
            <v>45513</v>
          </cell>
          <cell r="M1158" t="str">
            <v>TACOM</v>
          </cell>
        </row>
        <row r="1159">
          <cell r="A1159">
            <v>45516</v>
          </cell>
          <cell r="H1159">
            <v>191141.66</v>
          </cell>
          <cell r="M1159" t="str">
            <v>KIM</v>
          </cell>
        </row>
        <row r="1160">
          <cell r="A1160">
            <v>45516</v>
          </cell>
          <cell r="H1160">
            <v>45000</v>
          </cell>
          <cell r="M1160" t="str">
            <v>KIM</v>
          </cell>
        </row>
        <row r="1161">
          <cell r="A1161">
            <v>45516</v>
          </cell>
          <cell r="H1161">
            <v>40662.21</v>
          </cell>
          <cell r="M1161" t="str">
            <v>KIM</v>
          </cell>
        </row>
        <row r="1162">
          <cell r="A1162">
            <v>45516</v>
          </cell>
          <cell r="H1162">
            <v>25300</v>
          </cell>
          <cell r="M1162" t="str">
            <v>KIM</v>
          </cell>
        </row>
        <row r="1163">
          <cell r="A1163">
            <v>45516</v>
          </cell>
          <cell r="H1163">
            <v>25000</v>
          </cell>
          <cell r="M1163" t="str">
            <v>KIM</v>
          </cell>
        </row>
        <row r="1164">
          <cell r="A1164">
            <v>45516</v>
          </cell>
          <cell r="H1164">
            <v>25000</v>
          </cell>
          <cell r="M1164" t="str">
            <v>KIM</v>
          </cell>
        </row>
        <row r="1165">
          <cell r="A1165">
            <v>45516</v>
          </cell>
          <cell r="H1165">
            <v>17751.18</v>
          </cell>
          <cell r="M1165" t="str">
            <v>KIM</v>
          </cell>
        </row>
        <row r="1166">
          <cell r="A1166">
            <v>45516</v>
          </cell>
          <cell r="H1166">
            <v>18000</v>
          </cell>
          <cell r="M1166" t="str">
            <v>KIM</v>
          </cell>
        </row>
        <row r="1167">
          <cell r="A1167">
            <v>45516</v>
          </cell>
          <cell r="H1167">
            <v>17863.599999999999</v>
          </cell>
          <cell r="M1167" t="str">
            <v>KIM</v>
          </cell>
        </row>
        <row r="1168">
          <cell r="A1168">
            <v>45516</v>
          </cell>
          <cell r="H1168">
            <v>17000</v>
          </cell>
          <cell r="M1168" t="str">
            <v>KIM</v>
          </cell>
        </row>
        <row r="1169">
          <cell r="A1169">
            <v>45516</v>
          </cell>
          <cell r="H1169">
            <v>0</v>
          </cell>
          <cell r="M1169" t="str">
            <v>KIM</v>
          </cell>
        </row>
        <row r="1170">
          <cell r="A1170">
            <v>45516</v>
          </cell>
          <cell r="H1170">
            <v>16800</v>
          </cell>
          <cell r="M1170" t="str">
            <v>KIM</v>
          </cell>
        </row>
        <row r="1171">
          <cell r="A1171">
            <v>45516</v>
          </cell>
          <cell r="H1171">
            <v>16318.4</v>
          </cell>
          <cell r="M1171" t="str">
            <v>KIM</v>
          </cell>
        </row>
        <row r="1172">
          <cell r="A1172">
            <v>45516</v>
          </cell>
          <cell r="H1172">
            <v>16000</v>
          </cell>
          <cell r="M1172" t="str">
            <v>KIM</v>
          </cell>
        </row>
        <row r="1173">
          <cell r="A1173">
            <v>45516</v>
          </cell>
          <cell r="H1173">
            <v>16000</v>
          </cell>
          <cell r="M1173" t="str">
            <v>KIM</v>
          </cell>
        </row>
        <row r="1174">
          <cell r="A1174">
            <v>45516</v>
          </cell>
          <cell r="H1174">
            <v>15000</v>
          </cell>
          <cell r="M1174" t="str">
            <v>KIM</v>
          </cell>
        </row>
        <row r="1175">
          <cell r="A1175">
            <v>45516</v>
          </cell>
          <cell r="H1175">
            <v>15000</v>
          </cell>
          <cell r="M1175" t="str">
            <v>KIM</v>
          </cell>
        </row>
        <row r="1176">
          <cell r="A1176">
            <v>45516</v>
          </cell>
          <cell r="H1176">
            <v>15000</v>
          </cell>
          <cell r="M1176" t="str">
            <v>KIM</v>
          </cell>
        </row>
        <row r="1177">
          <cell r="A1177">
            <v>45516</v>
          </cell>
          <cell r="H1177">
            <v>14077.5</v>
          </cell>
          <cell r="M1177" t="str">
            <v>KIM</v>
          </cell>
        </row>
        <row r="1178">
          <cell r="A1178">
            <v>45516</v>
          </cell>
          <cell r="H1178">
            <v>14000</v>
          </cell>
          <cell r="M1178" t="str">
            <v>KIM</v>
          </cell>
        </row>
        <row r="1179">
          <cell r="A1179">
            <v>45516</v>
          </cell>
          <cell r="H1179">
            <v>13806.63</v>
          </cell>
          <cell r="M1179" t="str">
            <v>KIM</v>
          </cell>
        </row>
        <row r="1180">
          <cell r="A1180">
            <v>45516</v>
          </cell>
          <cell r="H1180">
            <v>12000</v>
          </cell>
          <cell r="M1180" t="str">
            <v>KIM</v>
          </cell>
        </row>
        <row r="1181">
          <cell r="A1181">
            <v>45516</v>
          </cell>
          <cell r="H1181">
            <v>6000</v>
          </cell>
          <cell r="M1181" t="str">
            <v>KIM</v>
          </cell>
        </row>
        <row r="1182">
          <cell r="A1182">
            <v>45516</v>
          </cell>
          <cell r="H1182">
            <v>1689.3</v>
          </cell>
          <cell r="M1182" t="str">
            <v>KIM</v>
          </cell>
        </row>
        <row r="1183">
          <cell r="A1183">
            <v>45516</v>
          </cell>
          <cell r="H1183">
            <v>483.28</v>
          </cell>
          <cell r="M1183" t="str">
            <v>KIM</v>
          </cell>
        </row>
        <row r="1184">
          <cell r="A1184">
            <v>45516</v>
          </cell>
          <cell r="H1184">
            <v>521.16</v>
          </cell>
          <cell r="M1184" t="str">
            <v>KIM</v>
          </cell>
        </row>
        <row r="1185">
          <cell r="A1185">
            <v>45516</v>
          </cell>
          <cell r="H1185">
            <v>100.45</v>
          </cell>
          <cell r="M1185" t="str">
            <v>KIM</v>
          </cell>
        </row>
        <row r="1186">
          <cell r="A1186">
            <v>45516</v>
          </cell>
          <cell r="H1186">
            <v>12.82</v>
          </cell>
          <cell r="M1186" t="str">
            <v>KIM</v>
          </cell>
        </row>
        <row r="1187">
          <cell r="A1187">
            <v>45518</v>
          </cell>
          <cell r="H1187">
            <v>1654.11</v>
          </cell>
          <cell r="M1187" t="str">
            <v>KIM</v>
          </cell>
        </row>
        <row r="1188">
          <cell r="A1188">
            <v>45524</v>
          </cell>
          <cell r="H1188">
            <v>0</v>
          </cell>
          <cell r="M1188" t="str">
            <v>KIM</v>
          </cell>
        </row>
        <row r="1189">
          <cell r="A1189">
            <v>45524</v>
          </cell>
          <cell r="H1189">
            <v>21262.63</v>
          </cell>
          <cell r="M1189" t="str">
            <v>KIM</v>
          </cell>
        </row>
        <row r="1190">
          <cell r="A1190">
            <v>45524</v>
          </cell>
          <cell r="M1190" t="str">
            <v>KIM</v>
          </cell>
        </row>
        <row r="1191">
          <cell r="A1191">
            <v>45524</v>
          </cell>
          <cell r="M1191" t="str">
            <v>KIM</v>
          </cell>
        </row>
        <row r="1192">
          <cell r="A1192">
            <v>45524</v>
          </cell>
          <cell r="H1192">
            <v>12000</v>
          </cell>
          <cell r="M1192" t="str">
            <v>KIM</v>
          </cell>
        </row>
        <row r="1193">
          <cell r="A1193">
            <v>45524</v>
          </cell>
          <cell r="H1193">
            <v>17249</v>
          </cell>
          <cell r="M1193" t="str">
            <v>KIM</v>
          </cell>
        </row>
        <row r="1194">
          <cell r="A1194">
            <v>45524</v>
          </cell>
          <cell r="H1194">
            <v>8472.32</v>
          </cell>
          <cell r="M1194" t="str">
            <v>KIM</v>
          </cell>
        </row>
        <row r="1195">
          <cell r="A1195">
            <v>45524</v>
          </cell>
          <cell r="H1195">
            <v>0</v>
          </cell>
          <cell r="M1195" t="str">
            <v>tacom</v>
          </cell>
        </row>
        <row r="1196">
          <cell r="A1196">
            <v>45524</v>
          </cell>
          <cell r="H1196">
            <v>7684.19</v>
          </cell>
          <cell r="M1196" t="str">
            <v>KIM</v>
          </cell>
        </row>
        <row r="1197">
          <cell r="A1197">
            <v>45524</v>
          </cell>
          <cell r="H1197">
            <v>6049.7</v>
          </cell>
          <cell r="M1197" t="str">
            <v>KIM</v>
          </cell>
        </row>
        <row r="1198">
          <cell r="A1198">
            <v>45524</v>
          </cell>
          <cell r="H1198">
            <v>0</v>
          </cell>
          <cell r="M1198" t="str">
            <v>KIM</v>
          </cell>
        </row>
        <row r="1199">
          <cell r="A1199">
            <v>45524</v>
          </cell>
          <cell r="H1199">
            <v>3737.28</v>
          </cell>
          <cell r="M1199" t="str">
            <v>KIM</v>
          </cell>
        </row>
        <row r="1200">
          <cell r="A1200">
            <v>45524</v>
          </cell>
          <cell r="H1200">
            <v>2357.7800000000002</v>
          </cell>
          <cell r="M1200" t="str">
            <v>KIM</v>
          </cell>
        </row>
        <row r="1201">
          <cell r="A1201">
            <v>45524</v>
          </cell>
          <cell r="H1201">
            <v>5749.67</v>
          </cell>
          <cell r="M1201" t="str">
            <v>KIM</v>
          </cell>
        </row>
        <row r="1202">
          <cell r="A1202">
            <v>45524</v>
          </cell>
          <cell r="H1202">
            <v>1017.03</v>
          </cell>
          <cell r="M1202" t="str">
            <v>KIM</v>
          </cell>
        </row>
        <row r="1203">
          <cell r="A1203">
            <v>45524</v>
          </cell>
          <cell r="H1203">
            <v>535.74</v>
          </cell>
          <cell r="M1203" t="str">
            <v>KIM</v>
          </cell>
        </row>
        <row r="1204">
          <cell r="A1204">
            <v>45524</v>
          </cell>
          <cell r="H1204">
            <v>451.44</v>
          </cell>
          <cell r="M1204" t="str">
            <v>KIM</v>
          </cell>
        </row>
        <row r="1205">
          <cell r="A1205">
            <v>45524</v>
          </cell>
          <cell r="H1205">
            <v>0</v>
          </cell>
          <cell r="M1205" t="str">
            <v>KIM</v>
          </cell>
        </row>
        <row r="1206">
          <cell r="A1206">
            <v>45524</v>
          </cell>
          <cell r="H1206">
            <v>206.84</v>
          </cell>
          <cell r="M1206" t="str">
            <v>KIM</v>
          </cell>
        </row>
        <row r="1207">
          <cell r="A1207">
            <v>45524</v>
          </cell>
          <cell r="H1207">
            <v>9300</v>
          </cell>
          <cell r="M1207" t="str">
            <v>tacom</v>
          </cell>
        </row>
        <row r="1208">
          <cell r="A1208">
            <v>45524</v>
          </cell>
          <cell r="H1208">
            <v>148.51</v>
          </cell>
          <cell r="M1208" t="str">
            <v>KIM</v>
          </cell>
        </row>
        <row r="1209">
          <cell r="A1209">
            <v>45524</v>
          </cell>
          <cell r="H1209">
            <v>129.82</v>
          </cell>
          <cell r="M1209" t="str">
            <v>KIM</v>
          </cell>
        </row>
        <row r="1210">
          <cell r="A1210">
            <v>45524</v>
          </cell>
          <cell r="H1210">
            <v>35.57</v>
          </cell>
          <cell r="M1210" t="str">
            <v>KIM</v>
          </cell>
        </row>
        <row r="1211">
          <cell r="A1211">
            <v>45524</v>
          </cell>
          <cell r="H1211">
            <v>0</v>
          </cell>
          <cell r="M1211" t="str">
            <v>TACOM</v>
          </cell>
        </row>
        <row r="1212">
          <cell r="A1212">
            <v>45524</v>
          </cell>
          <cell r="H1212">
            <v>12.37</v>
          </cell>
          <cell r="M1212" t="str">
            <v>KIM</v>
          </cell>
        </row>
        <row r="1213">
          <cell r="A1213">
            <v>45524</v>
          </cell>
          <cell r="H1213">
            <v>11147.25</v>
          </cell>
          <cell r="M1213" t="str">
            <v>KIM</v>
          </cell>
        </row>
        <row r="1214">
          <cell r="A1214">
            <v>45524</v>
          </cell>
          <cell r="H1214">
            <v>0</v>
          </cell>
          <cell r="M1214" t="str">
            <v>KIM</v>
          </cell>
        </row>
        <row r="1215">
          <cell r="A1215">
            <v>45524</v>
          </cell>
          <cell r="H1215">
            <v>0</v>
          </cell>
          <cell r="M1215" t="str">
            <v>KIM</v>
          </cell>
        </row>
        <row r="1216">
          <cell r="A1216">
            <v>45524</v>
          </cell>
          <cell r="H1216">
            <v>0</v>
          </cell>
          <cell r="M1216" t="str">
            <v>KIM</v>
          </cell>
        </row>
        <row r="1217">
          <cell r="A1217">
            <v>45524</v>
          </cell>
          <cell r="H1217">
            <v>0</v>
          </cell>
          <cell r="M1217" t="str">
            <v>KIM</v>
          </cell>
        </row>
        <row r="1218">
          <cell r="A1218">
            <v>45524</v>
          </cell>
          <cell r="H1218">
            <v>2074.29</v>
          </cell>
          <cell r="M1218" t="str">
            <v>KIM</v>
          </cell>
        </row>
        <row r="1219">
          <cell r="A1219">
            <v>45524</v>
          </cell>
          <cell r="H1219">
            <v>3349.01</v>
          </cell>
          <cell r="M1219" t="str">
            <v>KIM</v>
          </cell>
        </row>
        <row r="1220">
          <cell r="A1220">
            <v>45524</v>
          </cell>
          <cell r="H1220">
            <v>0</v>
          </cell>
          <cell r="M1220" t="str">
            <v>Tacom</v>
          </cell>
        </row>
        <row r="1221">
          <cell r="A1221">
            <v>45525</v>
          </cell>
          <cell r="H1221">
            <v>2.5</v>
          </cell>
          <cell r="M1221" t="str">
            <v>KIM</v>
          </cell>
        </row>
        <row r="1222">
          <cell r="A1222">
            <v>45527</v>
          </cell>
          <cell r="H1222">
            <v>93028.81</v>
          </cell>
          <cell r="M1222" t="str">
            <v>KIM</v>
          </cell>
        </row>
        <row r="1223">
          <cell r="A1223">
            <v>45527</v>
          </cell>
          <cell r="H1223">
            <v>10904.53</v>
          </cell>
          <cell r="M1223" t="str">
            <v>KIM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tor Alves Batista Leite" id="{DD8BF074-290F-474F-9FE0-8EA7387F0CDD}" userId="S::vitor.leite@usekim.com.br::68a300dc-706f-4f20-8fe0-a1b28b9da91e" providerId="AD"/>
  <person displayName="Igor Miranda" id="{5483A58D-FD6C-41C5-9D6C-1A6A90EB3DC5}" userId="S::igor@motivabeneficios.com.br::af717360-c3d0-458a-82d9-47a7be4425a8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lstício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53000"/>
              </a:schemeClr>
            </a:gs>
            <a:gs pos="50000">
              <a:schemeClr val="phClr">
                <a:tint val="42000"/>
                <a:satMod val="255000"/>
              </a:schemeClr>
            </a:gs>
            <a:gs pos="97000">
              <a:schemeClr val="phClr">
                <a:tint val="53000"/>
                <a:satMod val="260000"/>
              </a:schemeClr>
            </a:gs>
            <a:gs pos="100000">
              <a:schemeClr val="phClr">
                <a:tint val="56000"/>
                <a:satMod val="275000"/>
              </a:schemeClr>
            </a:gs>
          </a:gsLst>
          <a:path path="circle">
            <a:fillToRect l="50000" t="50000" r="50000" b="50000"/>
          </a:path>
        </a:gradFill>
        <a:gradFill rotWithShape="1">
          <a:gsLst>
            <a:gs pos="0">
              <a:schemeClr val="phClr">
                <a:tint val="92000"/>
                <a:satMod val="170000"/>
              </a:schemeClr>
            </a:gs>
            <a:gs pos="15000">
              <a:schemeClr val="phClr">
                <a:tint val="92000"/>
                <a:shade val="99000"/>
                <a:satMod val="170000"/>
              </a:schemeClr>
            </a:gs>
            <a:gs pos="62000">
              <a:schemeClr val="phClr">
                <a:tint val="96000"/>
                <a:shade val="80000"/>
                <a:satMod val="170000"/>
              </a:schemeClr>
            </a:gs>
            <a:gs pos="97000">
              <a:schemeClr val="phClr">
                <a:tint val="98000"/>
                <a:shade val="63000"/>
                <a:satMod val="170000"/>
              </a:schemeClr>
            </a:gs>
            <a:gs pos="100000">
              <a:schemeClr val="phClr">
                <a:shade val="62000"/>
                <a:satMod val="170000"/>
              </a:schemeClr>
            </a:gs>
          </a:gsLst>
          <a:path path="circle">
            <a:fillToRect l="50000" t="50000" r="50000" b="5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 contourW="12700">
            <a:bevelT w="0" h="0"/>
            <a:contourClr>
              <a:schemeClr val="phClr">
                <a:shade val="80000"/>
              </a:schemeClr>
            </a:contourClr>
          </a:sp3d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5400000"/>
            </a:lightRig>
          </a:scene3d>
          <a:sp3d contourW="12700">
            <a:bevelT w="25400" h="50800" prst="angle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5-02-15T16:08:27.90" personId="{5483A58D-FD6C-41C5-9D6C-1A6A90EB3DC5}" id="{CF61CED1-DFB2-4E8C-AF69-B4346C9DEC30}">
    <text>Contabilidade - 600,00
Financeiro - 1.000,00</text>
  </threadedComment>
  <threadedComment ref="D12" dT="2025-02-15T16:08:27.90" personId="{5483A58D-FD6C-41C5-9D6C-1A6A90EB3DC5}" id="{5ADFE5D8-EF50-4013-8CD2-317C921EAB4A}">
    <text>Contabilidade - 600,00
Financeiro - 1.000,00</text>
  </threadedComment>
  <threadedComment ref="E12" dT="2025-02-15T16:08:27.90" personId="{5483A58D-FD6C-41C5-9D6C-1A6A90EB3DC5}" id="{150C0BE0-BC3B-4807-BB19-6BA1785FAE2C}">
    <text>Contabilidade - 600,00
Financeiro - 1.000,00</text>
  </threadedComment>
  <threadedComment ref="F12" dT="2025-02-15T16:08:27.90" personId="{5483A58D-FD6C-41C5-9D6C-1A6A90EB3DC5}" id="{4DEA0BA0-A7ED-4A0E-B665-83C9CFFD5CDB}">
    <text>Contabilidade - 1140,00
Financeiro - 1.000,00</text>
  </threadedComment>
  <threadedComment ref="G12" dT="2025-02-15T16:08:27.90" personId="{5483A58D-FD6C-41C5-9D6C-1A6A90EB3DC5}" id="{BC65F854-6E9B-4605-97F5-E83BBEB1CAC4}">
    <text>Contabilidade - 600,00
Financeiro - 1.000,00</text>
  </threadedComment>
  <threadedComment ref="H12" dT="2025-02-15T16:08:27.90" personId="{5483A58D-FD6C-41C5-9D6C-1A6A90EB3DC5}" id="{9B73F784-3144-45EF-A0EE-02F2FEAEF523}">
    <text>Contabilidade - 600,00
Financeiro - 1.000,00</text>
  </threadedComment>
  <threadedComment ref="I12" dT="2025-02-15T16:08:27.90" personId="{5483A58D-FD6C-41C5-9D6C-1A6A90EB3DC5}" id="{7756FAC5-A340-42BA-926E-62CE4D6F51F7}">
    <text>Contabilidade - 600,00
Financeiro - 1.000,00</text>
  </threadedComment>
  <threadedComment ref="J12" dT="2025-02-15T16:08:27.90" personId="{5483A58D-FD6C-41C5-9D6C-1A6A90EB3DC5}" id="{A7A2DDF9-E036-4D54-A54C-D1C229D10679}">
    <text>Contabilidade - 640,00
Financeiro - 1.000,00</text>
  </threadedComment>
  <threadedComment ref="K12" dT="2025-02-15T16:08:27.90" personId="{5483A58D-FD6C-41C5-9D6C-1A6A90EB3DC5}" id="{59EA3B7A-1724-4706-B405-D1BA408500AC}">
    <text>Contabilidade - 600,00
Financeiro - 1.000,00</text>
  </threadedComment>
  <threadedComment ref="M12" dT="2025-02-15T16:08:27.90" personId="{5483A58D-FD6C-41C5-9D6C-1A6A90EB3DC5}" id="{EC12D7C2-F13C-4C9B-BCEF-CD55A96C39B7}">
    <text>Contabilidade - 600,00
Financeiro - 1.000,00</text>
  </threadedComment>
  <threadedComment ref="O12" dT="2025-02-15T16:08:27.90" personId="{5483A58D-FD6C-41C5-9D6C-1A6A90EB3DC5}" id="{F67BFB43-2D55-49B6-A87D-A25F06CCB49E}">
    <text>Contabilidade - 600,00
Financeiro - 1.000,00</text>
  </threadedComment>
  <threadedComment ref="Q12" dT="2025-02-15T16:08:27.90" personId="{5483A58D-FD6C-41C5-9D6C-1A6A90EB3DC5}" id="{C4D1E64F-23F4-4B8F-9657-E20ECB3A47D8}">
    <text>Contabilidade - 600,00
Financeiro - 1.000,00</text>
  </threadedComment>
  <threadedComment ref="S12" dT="2025-02-15T16:08:27.90" personId="{5483A58D-FD6C-41C5-9D6C-1A6A90EB3DC5}" id="{77976F01-EBF3-4CF4-B227-58730400F57D}">
    <text>Contabilidade - 600,00
Financeiro - 1.000,00</text>
  </threadedComment>
  <threadedComment ref="U12" dT="2025-02-15T16:08:27.90" personId="{5483A58D-FD6C-41C5-9D6C-1A6A90EB3DC5}" id="{942941E1-1F08-4C8B-9CA2-853785F6DD87}">
    <text>Contabilidade - 600,00
Financeiro - 1.000,00</text>
  </threadedComment>
  <threadedComment ref="W12" dT="2025-02-15T16:08:27.90" personId="{5483A58D-FD6C-41C5-9D6C-1A6A90EB3DC5}" id="{F2C4203D-551E-4AD6-9F2A-A6FCFAB87A26}">
    <text>Contabilidade - 600,00
Financeiro - 1.000,00</text>
  </threadedComment>
  <threadedComment ref="Y12" dT="2025-02-15T16:08:27.90" personId="{5483A58D-FD6C-41C5-9D6C-1A6A90EB3DC5}" id="{5CC5F5F2-A145-43C8-87BF-E315DFA940A3}">
    <text>Contabilidade - 600,00
Financeiro - 1.000,00</text>
  </threadedComment>
  <threadedComment ref="C14" dT="2025-03-28T20:04:56.48" personId="{5483A58D-FD6C-41C5-9D6C-1A6A90EB3DC5}" id="{49565ED2-EAD1-44C7-A591-BAD295B9016E}">
    <text>Bling</text>
  </threadedComment>
  <threadedComment ref="D14" dT="2025-03-28T20:04:56.48" personId="{5483A58D-FD6C-41C5-9D6C-1A6A90EB3DC5}" id="{C21D37AC-04A5-4011-A13F-781F7E9B82FC}">
    <text>Bling</text>
  </threadedComment>
  <threadedComment ref="E14" dT="2025-03-28T20:04:56.48" personId="{5483A58D-FD6C-41C5-9D6C-1A6A90EB3DC5}" id="{E7FEE614-2D41-4CF3-8058-D7B49BF32807}">
    <text>Bling</text>
  </threadedComment>
  <threadedComment ref="F14" dT="2025-03-28T20:04:56.48" personId="{5483A58D-FD6C-41C5-9D6C-1A6A90EB3DC5}" id="{913E656C-0D63-4ED5-AB9F-C9733523E126}">
    <text>Bling</text>
  </threadedComment>
  <threadedComment ref="G14" dT="2025-03-28T20:04:56.48" personId="{5483A58D-FD6C-41C5-9D6C-1A6A90EB3DC5}" id="{41DDBFC5-E9C9-48C0-8A10-ED9DFA2D8280}">
    <text>Bling</text>
  </threadedComment>
  <threadedComment ref="H14" dT="2025-03-28T20:04:56.48" personId="{5483A58D-FD6C-41C5-9D6C-1A6A90EB3DC5}" id="{384AD2BD-C04B-4D44-8D34-E55CDB81C341}">
    <text>Bling</text>
  </threadedComment>
  <threadedComment ref="I14" dT="2025-03-28T20:04:56.48" personId="{5483A58D-FD6C-41C5-9D6C-1A6A90EB3DC5}" id="{7970071E-BFE1-4B68-B1B5-606E0B0B7B33}">
    <text>Bling</text>
  </threadedComment>
  <threadedComment ref="J14" dT="2025-03-28T20:04:56.48" personId="{5483A58D-FD6C-41C5-9D6C-1A6A90EB3DC5}" id="{02DC1F1D-31B1-4D33-B08C-21804A4F912C}">
    <text>Bling</text>
  </threadedComment>
  <threadedComment ref="K14" dT="2025-03-28T20:04:56.48" personId="{5483A58D-FD6C-41C5-9D6C-1A6A90EB3DC5}" id="{9B3AA747-52B4-4BFC-9B7B-A05B49C00EB5}">
    <text>Bling</text>
  </threadedComment>
  <threadedComment ref="L14" dT="2025-03-28T20:04:56.48" personId="{5483A58D-FD6C-41C5-9D6C-1A6A90EB3DC5}" id="{6B334338-1C03-45CB-95F0-C7D0200AF9A8}">
    <text>Bling</text>
  </threadedComment>
  <threadedComment ref="M14" dT="2025-03-28T20:04:56.48" personId="{5483A58D-FD6C-41C5-9D6C-1A6A90EB3DC5}" id="{ACB791A1-415A-4A06-BB28-F5E2E6BE0838}">
    <text>Bling</text>
  </threadedComment>
  <threadedComment ref="N14" dT="2025-03-28T20:04:56.48" personId="{5483A58D-FD6C-41C5-9D6C-1A6A90EB3DC5}" id="{9427ACC3-5D2F-40B7-9EBA-60A195873A75}">
    <text>Bling</text>
  </threadedComment>
  <threadedComment ref="O14" dT="2025-03-28T20:04:56.48" personId="{5483A58D-FD6C-41C5-9D6C-1A6A90EB3DC5}" id="{13FCACBF-2FF3-405E-92E2-649EBCBEB9C1}">
    <text>Bling</text>
  </threadedComment>
  <threadedComment ref="P14" dT="2025-03-28T20:04:56.48" personId="{5483A58D-FD6C-41C5-9D6C-1A6A90EB3DC5}" id="{CA46F3AE-18DB-46EB-9CE0-B4EE98F761C9}">
    <text>Bling</text>
  </threadedComment>
  <threadedComment ref="Q14" dT="2025-03-28T20:04:56.48" personId="{5483A58D-FD6C-41C5-9D6C-1A6A90EB3DC5}" id="{40AC3B4F-F54B-410C-AF6B-8615EE62726C}">
    <text>Bling</text>
  </threadedComment>
  <threadedComment ref="R14" dT="2025-03-28T20:04:56.48" personId="{5483A58D-FD6C-41C5-9D6C-1A6A90EB3DC5}" id="{75E46D71-424D-4691-830A-45D61AD17BFF}">
    <text>Bling</text>
  </threadedComment>
  <threadedComment ref="S14" dT="2025-03-28T20:04:56.48" personId="{5483A58D-FD6C-41C5-9D6C-1A6A90EB3DC5}" id="{393020D8-7132-48F8-9582-E8ACD45FC5E0}">
    <text>Bling</text>
  </threadedComment>
  <threadedComment ref="T14" dT="2025-03-28T20:04:56.48" personId="{5483A58D-FD6C-41C5-9D6C-1A6A90EB3DC5}" id="{8FE97D56-067D-4D3F-BA9C-2ED45104C3C5}">
    <text>Bling</text>
  </threadedComment>
  <threadedComment ref="U14" dT="2025-03-28T20:04:56.48" personId="{5483A58D-FD6C-41C5-9D6C-1A6A90EB3DC5}" id="{3405E2CE-995F-4D94-BF8D-4FFD807FF49A}">
    <text>Bling</text>
  </threadedComment>
  <threadedComment ref="V14" dT="2025-03-28T20:04:56.48" personId="{5483A58D-FD6C-41C5-9D6C-1A6A90EB3DC5}" id="{6BE071E8-4BFF-4BF0-82D1-B40C83146715}">
    <text>Bling</text>
  </threadedComment>
  <threadedComment ref="W14" dT="2025-03-28T20:04:56.48" personId="{5483A58D-FD6C-41C5-9D6C-1A6A90EB3DC5}" id="{75837D1D-0C80-4803-B6DE-0BF0165BF6FC}">
    <text>Bling</text>
  </threadedComment>
  <threadedComment ref="X14" dT="2025-03-28T20:04:56.48" personId="{5483A58D-FD6C-41C5-9D6C-1A6A90EB3DC5}" id="{404DDF73-5261-44EA-A8E7-BDD869096F77}">
    <text>Bling</text>
  </threadedComment>
  <threadedComment ref="Y14" dT="2025-03-28T20:04:56.48" personId="{5483A58D-FD6C-41C5-9D6C-1A6A90EB3DC5}" id="{A62BAD91-A169-4D83-8919-41C0777F5120}">
    <text>Bling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3" dT="2025-02-15T15:57:40.80" personId="{5483A58D-FD6C-41C5-9D6C-1A6A90EB3DC5}" id="{069A7B9E-C5BF-4269-BA1C-95486F3DEE4D}">
    <text>Aluguel - 2.150,00
Luz - 850,00
Agua - 250,00
Cartão de credito - 5.000,00</text>
  </threadedComment>
  <threadedComment ref="D13" dT="2025-02-15T15:57:40.80" personId="{5483A58D-FD6C-41C5-9D6C-1A6A90EB3DC5}" id="{50ED93E1-615C-4BDC-9CE7-64C62743E115}">
    <text>Aluguel - 2.150,00
Luz - 857,07
Agua - 250,00
Cartão de credito - 2.795,79</text>
  </threadedComment>
  <threadedComment ref="E13" dT="2025-02-15T15:57:40.80" personId="{5483A58D-FD6C-41C5-9D6C-1A6A90EB3DC5}" id="{21112280-D46B-41E5-9B40-7CCAA5FE13C0}">
    <text>Aluguel - 2.150,00
Luz - 850,00
Agua - 250,00
Cartão de credito - 5.000,00</text>
  </threadedComment>
  <threadedComment ref="F13" dT="2025-02-15T15:57:40.80" personId="{5483A58D-FD6C-41C5-9D6C-1A6A90EB3DC5}" id="{DC52C889-8C1D-40E0-8129-780DD206ACDD}">
    <text xml:space="preserve">Aluguel - 2.150,00
Luz - 850,00
Agua - 250,00
Cartão de credito - 5.000,00
Iptu - 1822,82
</text>
  </threadedComment>
  <threadedComment ref="G13" dT="2025-02-15T15:57:40.80" personId="{5483A58D-FD6C-41C5-9D6C-1A6A90EB3DC5}" id="{DCF0A2A2-C166-46DA-9487-CD4D348B66B6}">
    <text>Aluguel - 2.150,00
Luz - 850,00
Agua - 250,00
Cartão de credito - 5.000,00</text>
  </threadedComment>
  <threadedComment ref="H13" dT="2025-02-15T15:57:40.80" personId="{5483A58D-FD6C-41C5-9D6C-1A6A90EB3DC5}" id="{45723936-14F1-4DF7-82F2-FE810F18A61C}">
    <text>Aluguel - 1.100,00
Luz - 826,94
Agua - 250,00
Cartão de credito - 2.844,98</text>
  </threadedComment>
  <threadedComment ref="I13" dT="2025-02-15T15:57:40.80" personId="{5483A58D-FD6C-41C5-9D6C-1A6A90EB3DC5}" id="{5FB424BF-EFE1-448B-93F1-06E515554343}">
    <text>Aluguel - 2.150,00
Luz - 850,00
Agua - 250,00
Cartão de credito - 5.000,00</text>
  </threadedComment>
  <threadedComment ref="J13" dT="2025-02-15T15:57:40.80" personId="{5483A58D-FD6C-41C5-9D6C-1A6A90EB3DC5}" id="{75572DA7-85B1-45D7-ACBE-0C68DAD8D1EB}">
    <text>Aluguel - 2.100,00
Condomínio - 161,39
Luz - 826,94
Agua - 250,00
Cartão de credito -3393,01</text>
  </threadedComment>
  <threadedComment ref="K13" dT="2025-02-15T15:57:40.80" personId="{5483A58D-FD6C-41C5-9D6C-1A6A90EB3DC5}" id="{B5CA5306-936B-4110-A03F-29E856F46609}">
    <text>Aluguel - 2.150,00
Luz - 850,00
Agua - 250,00
Cartão de credito - 5.000,00</text>
  </threadedComment>
  <threadedComment ref="M13" dT="2025-02-15T15:57:40.80" personId="{5483A58D-FD6C-41C5-9D6C-1A6A90EB3DC5}" id="{C95BF4F4-0ACF-4772-9C11-A58C626327D7}">
    <text>Aluguel - 2.150,00
Luz - 850,00
Agua - 250,00
Cartão de credito - 5.000,00</text>
  </threadedComment>
  <threadedComment ref="O13" dT="2025-02-15T15:57:40.80" personId="{5483A58D-FD6C-41C5-9D6C-1A6A90EB3DC5}" id="{29592D5E-B49B-47EF-BCC1-1B8803FE0576}">
    <text>Aluguel - 2.150,00
Luz - 850,00
Agua - 250,00
Cartão de credito - 5.000,00</text>
  </threadedComment>
  <threadedComment ref="Q13" dT="2025-02-15T15:57:40.80" personId="{5483A58D-FD6C-41C5-9D6C-1A6A90EB3DC5}" id="{C5D3F533-15D3-43B5-9A65-BBE7A23DF673}">
    <text>Aluguel - 2.150,00
Luz - 850,00
Agua - 250,00
Cartão de credito - 5.000,00</text>
  </threadedComment>
  <threadedComment ref="S13" dT="2025-02-15T15:57:40.80" personId="{5483A58D-FD6C-41C5-9D6C-1A6A90EB3DC5}" id="{9C31DA49-D282-446C-8E69-A94DDE450D05}">
    <text>Aluguel - 2.150,00
Luz - 850,00
Agua - 250,00
Cartão de credito - 5.000,00</text>
  </threadedComment>
  <threadedComment ref="U13" dT="2025-02-15T15:57:40.80" personId="{5483A58D-FD6C-41C5-9D6C-1A6A90EB3DC5}" id="{804921A2-B691-49B4-BCF1-D655EDB45598}">
    <text>Aluguel - 2.150,00
Luz - 850,00
Agua - 250,00
Cartão de credito - 5.000,00</text>
  </threadedComment>
  <threadedComment ref="W13" dT="2025-02-15T15:57:40.80" personId="{5483A58D-FD6C-41C5-9D6C-1A6A90EB3DC5}" id="{1537B41C-C53C-488A-B4D2-E6AE41AD1306}">
    <text>Aluguel - 2.150,00
Luz - 850,00
Agua - 250,00
Cartão de credito - 5.000,00</text>
  </threadedComment>
  <threadedComment ref="Y13" dT="2025-02-15T15:57:40.80" personId="{5483A58D-FD6C-41C5-9D6C-1A6A90EB3DC5}" id="{8E23235F-0023-4C16-9C2F-E20ED64D1519}">
    <text>Aluguel - 2.150,00
Luz - 850,00
Agua - 250,00
Cartão de credito - 5.000,00</text>
  </threadedComment>
  <threadedComment ref="C14" dT="2025-03-28T20:04:56.48" personId="{5483A58D-FD6C-41C5-9D6C-1A6A90EB3DC5}" id="{D51E27AC-AEF4-4F82-A7D2-97F7723BC857}">
    <text>Bling</text>
  </threadedComment>
  <threadedComment ref="D14" dT="2025-03-28T20:04:56.48" personId="{5483A58D-FD6C-41C5-9D6C-1A6A90EB3DC5}" id="{C3EFA61E-97AE-4902-A1F4-97C3E37B7BD9}">
    <text>Bling</text>
  </threadedComment>
  <threadedComment ref="E14" dT="2025-03-28T20:04:56.48" personId="{5483A58D-FD6C-41C5-9D6C-1A6A90EB3DC5}" id="{576C7723-563C-40FC-B493-CF241E094944}">
    <text>Bling</text>
  </threadedComment>
  <threadedComment ref="F14" dT="2025-03-28T20:04:56.48" personId="{5483A58D-FD6C-41C5-9D6C-1A6A90EB3DC5}" id="{E9CB25A7-EB5D-45E6-BCD0-99438385F87C}">
    <text>Bling</text>
  </threadedComment>
  <threadedComment ref="G14" dT="2025-03-28T20:04:56.48" personId="{5483A58D-FD6C-41C5-9D6C-1A6A90EB3DC5}" id="{C1D3ECE2-95FD-4821-942B-6848C202C5E9}">
    <text>Bling</text>
  </threadedComment>
  <threadedComment ref="H14" dT="2025-03-28T20:04:56.48" personId="{5483A58D-FD6C-41C5-9D6C-1A6A90EB3DC5}" id="{02BEF5FC-03D4-48E0-911C-CE60CF8F6C9B}">
    <text>Bling - 200
Compra PC - 500,00</text>
  </threadedComment>
  <threadedComment ref="I14" dT="2025-03-28T20:04:56.48" personId="{5483A58D-FD6C-41C5-9D6C-1A6A90EB3DC5}" id="{2BA3BA78-6213-4B16-9395-32E0212BFEF8}">
    <text>Bling - 200
Compra PC - 250,00</text>
  </threadedComment>
  <threadedComment ref="J14" dT="2025-03-28T20:04:56.48" personId="{5483A58D-FD6C-41C5-9D6C-1A6A90EB3DC5}" id="{2DFC0E6D-7986-461F-B52E-1E173318F280}">
    <text>Bling - 200
Compra PC - 250,00
Certificado Digital - 149,00</text>
  </threadedComment>
  <threadedComment ref="K14" dT="2025-03-28T20:04:56.48" personId="{5483A58D-FD6C-41C5-9D6C-1A6A90EB3DC5}" id="{044DE6A3-F932-4AE7-9229-FA314558E048}">
    <text>Bling</text>
  </threadedComment>
  <threadedComment ref="L14" dT="2025-03-28T20:04:56.48" personId="{5483A58D-FD6C-41C5-9D6C-1A6A90EB3DC5}" id="{F7F3276A-E3D9-4742-A487-D597BDF0A7E0}">
    <text>Bling</text>
  </threadedComment>
  <threadedComment ref="M14" dT="2025-03-28T20:04:56.48" personId="{5483A58D-FD6C-41C5-9D6C-1A6A90EB3DC5}" id="{88F42F36-9E95-4A32-9345-861F4265CD10}">
    <text>Bling</text>
  </threadedComment>
  <threadedComment ref="N14" dT="2025-03-28T20:04:56.48" personId="{5483A58D-FD6C-41C5-9D6C-1A6A90EB3DC5}" id="{9281C6CE-A9EB-4A19-B041-490B29FD9AE9}">
    <text>Bling</text>
  </threadedComment>
  <threadedComment ref="O14" dT="2025-03-28T20:04:56.48" personId="{5483A58D-FD6C-41C5-9D6C-1A6A90EB3DC5}" id="{8805239C-824B-49C5-9C76-3DB5D0A12C07}">
    <text>Bling</text>
  </threadedComment>
  <threadedComment ref="P14" dT="2025-03-28T20:04:56.48" personId="{5483A58D-FD6C-41C5-9D6C-1A6A90EB3DC5}" id="{8B9F1E4B-0675-4AD4-A3CF-494E3D52971E}">
    <text>Bling</text>
  </threadedComment>
  <threadedComment ref="Q14" dT="2025-03-28T20:04:56.48" personId="{5483A58D-FD6C-41C5-9D6C-1A6A90EB3DC5}" id="{EE452E6C-1A47-4AB8-BC75-12316DDDF884}">
    <text>Bling</text>
  </threadedComment>
  <threadedComment ref="R14" dT="2025-03-28T20:04:56.48" personId="{5483A58D-FD6C-41C5-9D6C-1A6A90EB3DC5}" id="{6A5EC7D0-858A-4717-A365-1B9090832B59}">
    <text>Bling</text>
  </threadedComment>
  <threadedComment ref="S14" dT="2025-03-28T20:04:56.48" personId="{5483A58D-FD6C-41C5-9D6C-1A6A90EB3DC5}" id="{31C6DE1A-4874-4F1F-8144-EC60075A581B}">
    <text>Bling</text>
  </threadedComment>
  <threadedComment ref="T14" dT="2025-03-28T20:04:56.48" personId="{5483A58D-FD6C-41C5-9D6C-1A6A90EB3DC5}" id="{1A002A28-F7A8-48E4-AE76-5F6908CFA8CB}">
    <text>Bling</text>
  </threadedComment>
  <threadedComment ref="U14" dT="2025-03-28T20:04:56.48" personId="{5483A58D-FD6C-41C5-9D6C-1A6A90EB3DC5}" id="{04D09ECD-B3A2-4EF2-9D3E-8EE06C843091}">
    <text>Bling</text>
  </threadedComment>
  <threadedComment ref="V14" dT="2025-03-28T20:04:56.48" personId="{5483A58D-FD6C-41C5-9D6C-1A6A90EB3DC5}" id="{82D42D27-BFC4-4944-9005-1F275454453C}">
    <text>Bling</text>
  </threadedComment>
  <threadedComment ref="W14" dT="2025-03-28T20:04:56.48" personId="{5483A58D-FD6C-41C5-9D6C-1A6A90EB3DC5}" id="{C4335BEB-1B21-4ACF-B0BA-1E5E8709764D}">
    <text>Bling</text>
  </threadedComment>
  <threadedComment ref="X14" dT="2025-03-28T20:04:56.48" personId="{5483A58D-FD6C-41C5-9D6C-1A6A90EB3DC5}" id="{A4146F9B-69B6-4317-A5EE-3A0B40A9C0D3}">
    <text>Bling</text>
  </threadedComment>
  <threadedComment ref="Y14" dT="2025-03-28T20:04:56.48" personId="{5483A58D-FD6C-41C5-9D6C-1A6A90EB3DC5}" id="{308684A2-621B-42A8-9C63-E7BAEF64704E}">
    <text>Bling</text>
  </threadedComment>
  <threadedComment ref="H17" dT="2026-04-16T23:30:17.44" personId="{5483A58D-FD6C-41C5-9D6C-1A6A90EB3DC5}" id="{C0437167-42F7-4C43-B951-551DAF8CA93C}">
    <text>Registro de marca</text>
  </threadedComment>
  <threadedComment ref="J17" dT="2026-05-31T19:13:55.69" personId="{5483A58D-FD6C-41C5-9D6C-1A6A90EB3DC5}" id="{EAE25DDB-7DF4-4205-A21B-A8E43EA88460}">
    <text>patrocínio trilhão Timóteo -500,00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2" dT="2025-02-15T16:08:27.90" personId="{5483A58D-FD6C-41C5-9D6C-1A6A90EB3DC5}" id="{6AEDFE6E-16A6-4CEA-AAE3-3FF3B4B1230C}">
    <text>Contabilidade - 600,00
Financeiro - 1.000,00</text>
  </threadedComment>
  <threadedComment ref="D12" dT="2025-02-15T16:08:27.90" personId="{5483A58D-FD6C-41C5-9D6C-1A6A90EB3DC5}" id="{8BD41E3E-60DA-4487-BF04-4AA66D3CE0B8}">
    <text>Contabilidade - 600,00
Financeiro - 1.000,00</text>
  </threadedComment>
  <threadedComment ref="E12" dT="2025-02-15T16:08:27.90" personId="{5483A58D-FD6C-41C5-9D6C-1A6A90EB3DC5}" id="{A2B432B4-1880-4220-A6C4-420FA25709CC}">
    <text>Contabilidade - 600,00
Financeiro - 1.000,00</text>
  </threadedComment>
  <threadedComment ref="F12" dT="2025-02-15T16:08:27.90" personId="{5483A58D-FD6C-41C5-9D6C-1A6A90EB3DC5}" id="{ED384F58-C9CF-4C6D-8B93-699289DA4AA1}">
    <text>Contabilidade - 1140,00
Financeiro - 1.000,00</text>
  </threadedComment>
  <threadedComment ref="G12" dT="2025-02-15T16:08:27.90" personId="{5483A58D-FD6C-41C5-9D6C-1A6A90EB3DC5}" id="{4B503845-0C6C-4C57-8E6B-C839FC7C9934}">
    <text>Contabilidade - 600,00
Financeiro - 1.000,00</text>
  </threadedComment>
  <threadedComment ref="H12" dT="2025-02-15T16:08:27.90" personId="{5483A58D-FD6C-41C5-9D6C-1A6A90EB3DC5}" id="{F9BFA8B0-09F4-41EF-8F0B-B6CF4DEBFA72}">
    <text>Contabilidade - 600,00
Financeiro - 1.000,00</text>
  </threadedComment>
  <threadedComment ref="I12" dT="2025-02-15T16:08:27.90" personId="{5483A58D-FD6C-41C5-9D6C-1A6A90EB3DC5}" id="{7B7293E6-D7DB-483D-A364-5A3296CB04F6}">
    <text>Contabilidade - 600,00
Financeiro - 1.000,00</text>
  </threadedComment>
  <threadedComment ref="J12" dT="2025-02-15T16:08:27.90" personId="{5483A58D-FD6C-41C5-9D6C-1A6A90EB3DC5}" id="{2B0676E9-4DF7-4AFB-B9AA-C15D3578E9AC}">
    <text>Contabilidade - 640,00
Financeiro - 1.000,00</text>
  </threadedComment>
  <threadedComment ref="K12" dT="2025-02-15T16:08:27.90" personId="{5483A58D-FD6C-41C5-9D6C-1A6A90EB3DC5}" id="{E27F2CB2-7923-4801-A35A-F83552EEFF63}">
    <text>Contabilidade - 600,00
Financeiro - 1.000,00</text>
  </threadedComment>
  <threadedComment ref="M12" dT="2025-02-15T16:08:27.90" personId="{5483A58D-FD6C-41C5-9D6C-1A6A90EB3DC5}" id="{D4559C10-B911-489A-8E6F-76B7075A8A84}">
    <text>Contabilidade - 600,00
Financeiro - 1.000,00</text>
  </threadedComment>
  <threadedComment ref="O12" dT="2025-02-15T16:08:27.90" personId="{5483A58D-FD6C-41C5-9D6C-1A6A90EB3DC5}" id="{8530BFF5-314F-43D3-90EE-14A2D20C829A}">
    <text>Contabilidade - 600,00
Financeiro - 1.000,00</text>
  </threadedComment>
  <threadedComment ref="Q12" dT="2025-02-15T16:08:27.90" personId="{5483A58D-FD6C-41C5-9D6C-1A6A90EB3DC5}" id="{D8235502-D0C0-4654-8FBA-BDF45DF05BC2}">
    <text>Contabilidade - 600,00
Financeiro - 1.000,00</text>
  </threadedComment>
  <threadedComment ref="S12" dT="2025-02-15T16:08:27.90" personId="{5483A58D-FD6C-41C5-9D6C-1A6A90EB3DC5}" id="{675438E9-D04B-42B2-AB9D-A8C8452B434E}">
    <text>Contabilidade - 600,00
Financeiro - 1.000,00</text>
  </threadedComment>
  <threadedComment ref="U12" dT="2025-02-15T16:08:27.90" personId="{5483A58D-FD6C-41C5-9D6C-1A6A90EB3DC5}" id="{229898EC-FBBD-4381-AB7E-74C2F5F134EE}">
    <text>Contabilidade - 600,00
Financeiro - 1.000,00</text>
  </threadedComment>
  <threadedComment ref="W12" dT="2025-02-15T16:08:27.90" personId="{5483A58D-FD6C-41C5-9D6C-1A6A90EB3DC5}" id="{3C08E12F-8CE8-4B43-886D-D429763150A0}">
    <text>Contabilidade - 600,00
Financeiro - 1.000,00</text>
  </threadedComment>
  <threadedComment ref="Y12" dT="2025-02-15T16:08:27.90" personId="{5483A58D-FD6C-41C5-9D6C-1A6A90EB3DC5}" id="{4D4D79B2-C4A8-4774-96E8-82C763A206FD}">
    <text>Contabilidade - 600,00
Financeiro - 1.000,00</text>
  </threadedComment>
  <threadedComment ref="C14" dT="2025-03-28T20:04:56.48" personId="{5483A58D-FD6C-41C5-9D6C-1A6A90EB3DC5}" id="{DDD4160D-90B5-4D00-8DB5-30CF1209146B}">
    <text>Bling</text>
  </threadedComment>
  <threadedComment ref="D14" dT="2025-03-28T20:04:56.48" personId="{5483A58D-FD6C-41C5-9D6C-1A6A90EB3DC5}" id="{FE2D837F-F30B-4786-9C5C-3CD6D19CECCB}">
    <text>Bling</text>
  </threadedComment>
  <threadedComment ref="E14" dT="2025-03-28T20:04:56.48" personId="{5483A58D-FD6C-41C5-9D6C-1A6A90EB3DC5}" id="{172513F7-0A4C-403D-92DE-991ADEFEB66D}">
    <text>Bling</text>
  </threadedComment>
  <threadedComment ref="F14" dT="2025-03-28T20:04:56.48" personId="{5483A58D-FD6C-41C5-9D6C-1A6A90EB3DC5}" id="{AF65E02B-346C-49B4-A7AB-6072E100444A}">
    <text>Bling</text>
  </threadedComment>
  <threadedComment ref="G14" dT="2025-03-28T20:04:56.48" personId="{5483A58D-FD6C-41C5-9D6C-1A6A90EB3DC5}" id="{6683A06B-28EC-47F4-A3BB-D9ED754474B0}">
    <text>Bling</text>
  </threadedComment>
  <threadedComment ref="H14" dT="2025-03-28T20:04:56.48" personId="{5483A58D-FD6C-41C5-9D6C-1A6A90EB3DC5}" id="{21DC26C6-F4B1-423D-856F-03741CE25BB0}">
    <text>Bling</text>
  </threadedComment>
  <threadedComment ref="I14" dT="2025-03-28T20:04:56.48" personId="{5483A58D-FD6C-41C5-9D6C-1A6A90EB3DC5}" id="{B6F72479-1CC1-4F97-ABBF-9E075B488A26}">
    <text>Bling</text>
  </threadedComment>
  <threadedComment ref="J14" dT="2025-03-28T20:04:56.48" personId="{5483A58D-FD6C-41C5-9D6C-1A6A90EB3DC5}" id="{3841387A-D6B8-49C3-BCF0-BCA7955A2E02}">
    <text>Bling</text>
  </threadedComment>
  <threadedComment ref="K14" dT="2025-03-28T20:04:56.48" personId="{5483A58D-FD6C-41C5-9D6C-1A6A90EB3DC5}" id="{4167217B-AD84-422C-96BC-DE9818587633}">
    <text>Bling</text>
  </threadedComment>
  <threadedComment ref="L14" dT="2025-03-28T20:04:56.48" personId="{5483A58D-FD6C-41C5-9D6C-1A6A90EB3DC5}" id="{F313E7DB-6811-49CC-9767-94F05AE122F7}">
    <text>Bling</text>
  </threadedComment>
  <threadedComment ref="M14" dT="2025-03-28T20:04:56.48" personId="{5483A58D-FD6C-41C5-9D6C-1A6A90EB3DC5}" id="{6F6C8019-4C0C-4905-8C7B-6FC1F16BD924}">
    <text>Bling</text>
  </threadedComment>
  <threadedComment ref="N14" dT="2025-03-28T20:04:56.48" personId="{5483A58D-FD6C-41C5-9D6C-1A6A90EB3DC5}" id="{368C796F-CA96-4A92-AB3A-0A813CDA787F}">
    <text>Bling</text>
  </threadedComment>
  <threadedComment ref="O14" dT="2025-03-28T20:04:56.48" personId="{5483A58D-FD6C-41C5-9D6C-1A6A90EB3DC5}" id="{08D0E99A-F8FA-4B06-9919-C5954E019D0A}">
    <text>Bling</text>
  </threadedComment>
  <threadedComment ref="P14" dT="2025-03-28T20:04:56.48" personId="{5483A58D-FD6C-41C5-9D6C-1A6A90EB3DC5}" id="{482FD12B-A422-4118-BC52-21DF7C8F5A55}">
    <text>Bling</text>
  </threadedComment>
  <threadedComment ref="Q14" dT="2025-03-28T20:04:56.48" personId="{5483A58D-FD6C-41C5-9D6C-1A6A90EB3DC5}" id="{F1AD84BE-8090-41EB-874B-C5DBADF2A28A}">
    <text>Bling</text>
  </threadedComment>
  <threadedComment ref="R14" dT="2025-03-28T20:04:56.48" personId="{5483A58D-FD6C-41C5-9D6C-1A6A90EB3DC5}" id="{0DD072B8-D687-40A4-8B85-B5C9232AB565}">
    <text>Bling</text>
  </threadedComment>
  <threadedComment ref="S14" dT="2025-03-28T20:04:56.48" personId="{5483A58D-FD6C-41C5-9D6C-1A6A90EB3DC5}" id="{8D86700C-75C7-4AF6-B4EC-A3D25B24AEA3}">
    <text>Bling</text>
  </threadedComment>
  <threadedComment ref="T14" dT="2025-03-28T20:04:56.48" personId="{5483A58D-FD6C-41C5-9D6C-1A6A90EB3DC5}" id="{AB9B0A7E-C2E7-43FB-AA5A-CFCB1F753D4D}">
    <text>Bling</text>
  </threadedComment>
  <threadedComment ref="U14" dT="2025-03-28T20:04:56.48" personId="{5483A58D-FD6C-41C5-9D6C-1A6A90EB3DC5}" id="{AB0530F6-225D-4A2A-83D2-5F0C4CAF1018}">
    <text>Bling</text>
  </threadedComment>
  <threadedComment ref="V14" dT="2025-03-28T20:04:56.48" personId="{5483A58D-FD6C-41C5-9D6C-1A6A90EB3DC5}" id="{52354BB5-66D7-465F-8A74-CD12073AB031}">
    <text>Bling</text>
  </threadedComment>
  <threadedComment ref="W14" dT="2025-03-28T20:04:56.48" personId="{5483A58D-FD6C-41C5-9D6C-1A6A90EB3DC5}" id="{FE08C21F-66EA-4B7B-B13E-89194A3BCA26}">
    <text>Bling</text>
  </threadedComment>
  <threadedComment ref="X14" dT="2025-03-28T20:04:56.48" personId="{5483A58D-FD6C-41C5-9D6C-1A6A90EB3DC5}" id="{D5CBE8DF-3638-471F-A578-A6B3D8A0DEFB}">
    <text>Bling</text>
  </threadedComment>
  <threadedComment ref="Y14" dT="2025-03-28T20:04:56.48" personId="{5483A58D-FD6C-41C5-9D6C-1A6A90EB3DC5}" id="{ED72A646-E2F8-48B3-BB21-E69499F74803}">
    <text>Bling</text>
  </threadedComment>
  <threadedComment ref="C39" dT="2025-02-15T15:57:40.80" personId="{5483A58D-FD6C-41C5-9D6C-1A6A90EB3DC5}" id="{D8DF5588-7B8D-4B66-8A58-35B1B7725839}">
    <text>Aluguel - 2.150,00
Luz - 850,00
Agua - 250,00
Cartão de credito - 5.000,00</text>
  </threadedComment>
  <threadedComment ref="D39" dT="2025-02-15T15:57:40.80" personId="{5483A58D-FD6C-41C5-9D6C-1A6A90EB3DC5}" id="{AF6BCF62-0668-485B-984C-434313697F51}">
    <text>Aluguel - 2.150,00
Luz - 857,07
Agua - 250,00
Cartão de credito - 2.795,79</text>
  </threadedComment>
  <threadedComment ref="E39" dT="2025-02-15T15:57:40.80" personId="{5483A58D-FD6C-41C5-9D6C-1A6A90EB3DC5}" id="{D9CC10A7-A112-4156-892E-8FD86022CA47}">
    <text>Aluguel - 2.150,00
Luz - 850,00
Agua - 250,00
Cartão de credito - 5.000,00</text>
  </threadedComment>
  <threadedComment ref="F39" dT="2025-02-15T15:57:40.80" personId="{5483A58D-FD6C-41C5-9D6C-1A6A90EB3DC5}" id="{1FAF1CA9-CBBA-4168-9196-847E8366FC4D}">
    <text xml:space="preserve">Aluguel - 2.150,00
Luz - 850,00
Agua - 250,00
Cartão de credito - 5.000,00
Iptu - 1822,82
</text>
  </threadedComment>
  <threadedComment ref="G39" dT="2025-02-15T15:57:40.80" personId="{5483A58D-FD6C-41C5-9D6C-1A6A90EB3DC5}" id="{8A8083EA-5554-4981-AF7D-2DF87B86E152}">
    <text>Aluguel - 2.150,00
Luz - 850,00
Agua - 250,00
Cartão de credito - 5.000,00</text>
  </threadedComment>
  <threadedComment ref="H39" dT="2025-02-15T15:57:40.80" personId="{5483A58D-FD6C-41C5-9D6C-1A6A90EB3DC5}" id="{4E67C580-5A42-44EE-A462-481E47B24334}">
    <text>Aluguel - 1.100,00
Luz - 826,94
Agua - 250,00
Cartão de credito - 2.844,98</text>
  </threadedComment>
  <threadedComment ref="I39" dT="2025-02-15T15:57:40.80" personId="{5483A58D-FD6C-41C5-9D6C-1A6A90EB3DC5}" id="{9A1CCADD-8826-4B03-BCD9-9C815585668F}">
    <text>Aluguel - 2.150,00
Luz - 850,00
Agua - 250,00
Cartão de credito - 5.000,00</text>
  </threadedComment>
  <threadedComment ref="J39" dT="2025-02-15T15:57:40.80" personId="{5483A58D-FD6C-41C5-9D6C-1A6A90EB3DC5}" id="{BB85C5FF-A32F-43CA-8657-F048B07EA927}">
    <text>Aluguel - 2.100,00
Condomínio - 161,39
Luz - 826,94
Agua - 250,00
Cartão de credito -3393,01</text>
  </threadedComment>
  <threadedComment ref="K39" dT="2025-02-15T15:57:40.80" personId="{5483A58D-FD6C-41C5-9D6C-1A6A90EB3DC5}" id="{DE6C6FB0-1686-4D60-AB61-DF851607D796}">
    <text>Aluguel - 2.150,00
Luz - 850,00
Agua - 250,00
Cartão de credito - 5.000,00</text>
  </threadedComment>
  <threadedComment ref="M39" dT="2025-02-15T15:57:40.80" personId="{5483A58D-FD6C-41C5-9D6C-1A6A90EB3DC5}" id="{74668D58-07BD-4C41-9DAE-5F079814C3A3}">
    <text>Aluguel - 2.150,00
Luz - 850,00
Agua - 250,00
Cartão de credito - 5.000,00</text>
  </threadedComment>
  <threadedComment ref="O39" dT="2025-02-15T15:57:40.80" personId="{5483A58D-FD6C-41C5-9D6C-1A6A90EB3DC5}" id="{C120E275-3816-4106-87EA-30B72DF6A411}">
    <text>Aluguel - 2.150,00
Luz - 850,00
Agua - 250,00
Cartão de credito - 5.000,00</text>
  </threadedComment>
  <threadedComment ref="Q39" dT="2025-02-15T15:57:40.80" personId="{5483A58D-FD6C-41C5-9D6C-1A6A90EB3DC5}" id="{11DED1B4-A55A-4F9E-8771-D379942B6293}">
    <text>Aluguel - 2.150,00
Luz - 850,00
Agua - 250,00
Cartão de credito - 5.000,00</text>
  </threadedComment>
  <threadedComment ref="S39" dT="2025-02-15T15:57:40.80" personId="{5483A58D-FD6C-41C5-9D6C-1A6A90EB3DC5}" id="{850DF2F3-7BA0-41E0-8054-B6F174E72302}">
    <text>Aluguel - 2.150,00
Luz - 850,00
Agua - 250,00
Cartão de credito - 5.000,00</text>
  </threadedComment>
  <threadedComment ref="U39" dT="2025-02-15T15:57:40.80" personId="{5483A58D-FD6C-41C5-9D6C-1A6A90EB3DC5}" id="{D8D63043-4760-446B-A11A-45924B727F3F}">
    <text>Aluguel - 2.150,00
Luz - 850,00
Agua - 250,00
Cartão de credito - 5.000,00</text>
  </threadedComment>
  <threadedComment ref="W39" dT="2025-02-15T15:57:40.80" personId="{5483A58D-FD6C-41C5-9D6C-1A6A90EB3DC5}" id="{6308C3C8-6F48-4AF6-BFB6-B5465AA2E8F7}">
    <text>Aluguel - 2.150,00
Luz - 850,00
Agua - 250,00
Cartão de credito - 5.000,00</text>
  </threadedComment>
  <threadedComment ref="Y39" dT="2025-02-15T15:57:40.80" personId="{5483A58D-FD6C-41C5-9D6C-1A6A90EB3DC5}" id="{D3683E6A-A935-4C48-B337-C2F6C3020CAC}">
    <text>Aluguel - 2.150,00
Luz - 850,00
Agua - 250,00
Cartão de credito - 5.000,00</text>
  </threadedComment>
  <threadedComment ref="C40" dT="2025-03-28T20:04:56.48" personId="{5483A58D-FD6C-41C5-9D6C-1A6A90EB3DC5}" id="{03D3A89D-9424-4F4B-9F04-141486CE4B66}">
    <text>Bling</text>
  </threadedComment>
  <threadedComment ref="D40" dT="2025-03-28T20:04:56.48" personId="{5483A58D-FD6C-41C5-9D6C-1A6A90EB3DC5}" id="{AF0CA560-B6DD-4488-9C08-29CD7B72E949}">
    <text>Bling</text>
  </threadedComment>
  <threadedComment ref="E40" dT="2025-03-28T20:04:56.48" personId="{5483A58D-FD6C-41C5-9D6C-1A6A90EB3DC5}" id="{AECE8805-3F37-4BDB-9E62-272EEFC40CEF}">
    <text>Bling</text>
  </threadedComment>
  <threadedComment ref="F40" dT="2025-03-28T20:04:56.48" personId="{5483A58D-FD6C-41C5-9D6C-1A6A90EB3DC5}" id="{D5948940-DE37-4C03-BC2E-31BE47420364}">
    <text>Bling</text>
  </threadedComment>
  <threadedComment ref="G40" dT="2025-03-28T20:04:56.48" personId="{5483A58D-FD6C-41C5-9D6C-1A6A90EB3DC5}" id="{64EF67F0-5D14-43A6-9970-4C4B2DEBD2BA}">
    <text>Bling</text>
  </threadedComment>
  <threadedComment ref="H40" dT="2025-03-28T20:04:56.48" personId="{5483A58D-FD6C-41C5-9D6C-1A6A90EB3DC5}" id="{5DD75784-CAE2-46AE-85C6-C864A1F2F1BF}">
    <text>Bling - 200
Compra PC - 500,00</text>
  </threadedComment>
  <threadedComment ref="I40" dT="2025-03-28T20:04:56.48" personId="{5483A58D-FD6C-41C5-9D6C-1A6A90EB3DC5}" id="{C117DBC1-527F-4D57-A6DE-D12CD88619FF}">
    <text>Bling - 200
Compra PC - 250,00</text>
  </threadedComment>
  <threadedComment ref="J40" dT="2025-03-28T20:04:56.48" personId="{5483A58D-FD6C-41C5-9D6C-1A6A90EB3DC5}" id="{EBB7974A-38EE-4854-BBD6-8B21252BF350}">
    <text>Bling - 200
Compra PC - 250,00
Certificado Digital - 149,00</text>
  </threadedComment>
  <threadedComment ref="K40" dT="2025-03-28T20:04:56.48" personId="{5483A58D-FD6C-41C5-9D6C-1A6A90EB3DC5}" id="{156B15E6-C355-4809-B894-4A7C5A4AA69D}">
    <text>Bling</text>
  </threadedComment>
  <threadedComment ref="L40" dT="2025-03-28T20:04:56.48" personId="{5483A58D-FD6C-41C5-9D6C-1A6A90EB3DC5}" id="{D1BAFB1F-1A8C-4E7E-ADF5-F2ABB659821E}">
    <text>Bling</text>
  </threadedComment>
  <threadedComment ref="M40" dT="2025-03-28T20:04:56.48" personId="{5483A58D-FD6C-41C5-9D6C-1A6A90EB3DC5}" id="{0C094010-3E50-445A-81AA-3EC258A43A99}">
    <text>Bling</text>
  </threadedComment>
  <threadedComment ref="N40" dT="2025-03-28T20:04:56.48" personId="{5483A58D-FD6C-41C5-9D6C-1A6A90EB3DC5}" id="{51B224B1-7140-47DF-B1A9-B92316476D97}">
    <text>Bling</text>
  </threadedComment>
  <threadedComment ref="O40" dT="2025-03-28T20:04:56.48" personId="{5483A58D-FD6C-41C5-9D6C-1A6A90EB3DC5}" id="{FA130E5B-ED16-49B9-A380-FA39271FC64F}">
    <text>Bling</text>
  </threadedComment>
  <threadedComment ref="P40" dT="2025-03-28T20:04:56.48" personId="{5483A58D-FD6C-41C5-9D6C-1A6A90EB3DC5}" id="{8E8AC548-BD9D-460C-A892-654CF111B45D}">
    <text>Bling</text>
  </threadedComment>
  <threadedComment ref="Q40" dT="2025-03-28T20:04:56.48" personId="{5483A58D-FD6C-41C5-9D6C-1A6A90EB3DC5}" id="{85526092-1DCF-4644-B64E-A5623C8C4AA4}">
    <text>Bling</text>
  </threadedComment>
  <threadedComment ref="R40" dT="2025-03-28T20:04:56.48" personId="{5483A58D-FD6C-41C5-9D6C-1A6A90EB3DC5}" id="{8F9FBF61-1179-48D2-BFF9-07D1E40DFB40}">
    <text>Bling</text>
  </threadedComment>
  <threadedComment ref="S40" dT="2025-03-28T20:04:56.48" personId="{5483A58D-FD6C-41C5-9D6C-1A6A90EB3DC5}" id="{6E73D87C-27B0-49BB-B423-432D65B7C542}">
    <text>Bling</text>
  </threadedComment>
  <threadedComment ref="T40" dT="2025-03-28T20:04:56.48" personId="{5483A58D-FD6C-41C5-9D6C-1A6A90EB3DC5}" id="{A50F8AE3-BE36-4D0D-9F47-B93A9BCC0986}">
    <text>Bling</text>
  </threadedComment>
  <threadedComment ref="U40" dT="2025-03-28T20:04:56.48" personId="{5483A58D-FD6C-41C5-9D6C-1A6A90EB3DC5}" id="{24071B26-8442-481E-9D7C-AE2B52D4CF00}">
    <text>Bling</text>
  </threadedComment>
  <threadedComment ref="V40" dT="2025-03-28T20:04:56.48" personId="{5483A58D-FD6C-41C5-9D6C-1A6A90EB3DC5}" id="{11DA4AC3-4D19-40F6-B44C-79BBF282C587}">
    <text>Bling</text>
  </threadedComment>
  <threadedComment ref="W40" dT="2025-03-28T20:04:56.48" personId="{5483A58D-FD6C-41C5-9D6C-1A6A90EB3DC5}" id="{F5770B65-5559-4705-9387-79AEFAEE1FF5}">
    <text>Bling</text>
  </threadedComment>
  <threadedComment ref="X40" dT="2025-03-28T20:04:56.48" personId="{5483A58D-FD6C-41C5-9D6C-1A6A90EB3DC5}" id="{079CB8EF-AF9D-4006-A471-E338E06D568E}">
    <text>Bling</text>
  </threadedComment>
  <threadedComment ref="Y40" dT="2025-03-28T20:04:56.48" personId="{5483A58D-FD6C-41C5-9D6C-1A6A90EB3DC5}" id="{1E11E3AC-5BEF-4A65-B293-A0781049500C}">
    <text>Bling</text>
  </threadedComment>
  <threadedComment ref="H43" dT="2026-04-16T23:30:17.44" personId="{5483A58D-FD6C-41C5-9D6C-1A6A90EB3DC5}" id="{2048AE6D-B5D0-488B-B29B-084B4B2E801B}">
    <text>Registro de marca</text>
  </threadedComment>
  <threadedComment ref="J43" dT="2026-05-31T19:13:55.69" personId="{5483A58D-FD6C-41C5-9D6C-1A6A90EB3DC5}" id="{944684A1-D0A2-4D82-ABB1-68AA0413E4F8}">
    <text>patrocínio trilhão Timóteo -500,00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92" dT="2024-08-02T17:04:42.06" personId="{DD8BF074-290F-474F-9FE0-8EA7387F0CDD}" id="{021E1251-E1A8-4207-8EE9-7CB7F341450E}">
    <text>Despesa ref a Junho paga em Julho  (R$ 12.502,70)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192" dT="2024-08-02T17:04:42.06" personId="{DD8BF074-290F-474F-9FE0-8EA7387F0CDD}" id="{773EE3C3-7B14-44D8-AEE5-C799697D56A7}">
    <text>Despesa ref a Junho paga em Julho  (R$ 12.502,70)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12" dT="2025-12-23T14:39:00.53" personId="{5483A58D-FD6C-41C5-9D6C-1A6A90EB3DC5}" id="{E0DF2036-E13E-4A58-9137-28FDE533660A}">
    <text>Mesa - 180,00
Cadeira - 230,00
Notebook - 900,00
Kit Teclado + Mouse - 150,00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A44A-8CFA-46EF-A688-7DF97557C87B}">
  <sheetPr>
    <tabColor rgb="FFC00000"/>
  </sheetPr>
  <dimension ref="A1:M89"/>
  <sheetViews>
    <sheetView showGridLines="0" workbookViewId="0">
      <selection activeCell="H6" sqref="H6"/>
    </sheetView>
  </sheetViews>
  <sheetFormatPr defaultColWidth="8.88671875" defaultRowHeight="12" x14ac:dyDescent="0.25"/>
  <cols>
    <col min="1" max="1" width="2" style="1" customWidth="1"/>
    <col min="2" max="2" width="9.109375" style="1" customWidth="1"/>
    <col min="3" max="3" width="9" style="1" bestFit="1" customWidth="1"/>
    <col min="4" max="4" width="12.5546875" style="1" bestFit="1" customWidth="1"/>
    <col min="5" max="5" width="10.44140625" style="1" bestFit="1" customWidth="1"/>
    <col min="6" max="6" width="11.44140625" style="1" bestFit="1" customWidth="1"/>
    <col min="7" max="7" width="10.6640625" style="1" customWidth="1"/>
    <col min="8" max="8" width="11.5546875" style="1" customWidth="1"/>
    <col min="9" max="10" width="8.88671875" style="1"/>
    <col min="11" max="11" width="2.33203125" style="1" customWidth="1"/>
    <col min="12" max="12" width="11.33203125" style="1" customWidth="1"/>
    <col min="13" max="13" width="12.33203125" style="1" customWidth="1"/>
    <col min="14" max="16384" width="8.88671875" style="1"/>
  </cols>
  <sheetData>
    <row r="1" spans="1:13" ht="12.6" thickBot="1" x14ac:dyDescent="0.3"/>
    <row r="2" spans="1:13" ht="39.6" customHeight="1" thickBot="1" x14ac:dyDescent="0.3">
      <c r="A2" s="69"/>
      <c r="B2" s="511" t="s">
        <v>0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70"/>
    </row>
    <row r="3" spans="1:13" ht="12.6" customHeight="1" x14ac:dyDescent="0.25"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1:13" ht="15.6" x14ac:dyDescent="0.3">
      <c r="B4" s="36" t="s">
        <v>1</v>
      </c>
    </row>
    <row r="5" spans="1:13" ht="6" customHeight="1" x14ac:dyDescent="0.25"/>
    <row r="6" spans="1:13" x14ac:dyDescent="0.25">
      <c r="B6" s="42" t="s">
        <v>2</v>
      </c>
      <c r="C6" s="42" t="s">
        <v>3</v>
      </c>
      <c r="D6" s="42" t="s">
        <v>4</v>
      </c>
      <c r="E6" s="42" t="s">
        <v>5</v>
      </c>
      <c r="F6" s="42" t="s">
        <v>6</v>
      </c>
      <c r="G6" s="42" t="s">
        <v>7</v>
      </c>
      <c r="H6" s="42" t="s">
        <v>8</v>
      </c>
    </row>
    <row r="7" spans="1:13" x14ac:dyDescent="0.25">
      <c r="B7" s="41">
        <v>45078</v>
      </c>
      <c r="C7" s="39">
        <v>675712</v>
      </c>
      <c r="D7" s="51">
        <v>15995584</v>
      </c>
      <c r="E7" s="51" t="e">
        <f>#REF!</f>
        <v>#REF!</v>
      </c>
      <c r="F7" s="53">
        <f>D7/C7</f>
        <v>23.672191702974047</v>
      </c>
      <c r="G7" s="54" t="e">
        <f>E7/C7</f>
        <v>#REF!</v>
      </c>
      <c r="H7" s="44" t="e">
        <f>E7/D7</f>
        <v>#REF!</v>
      </c>
    </row>
    <row r="8" spans="1:13" x14ac:dyDescent="0.25">
      <c r="B8" s="41">
        <v>45108</v>
      </c>
      <c r="C8" s="39">
        <v>751665</v>
      </c>
      <c r="D8" s="51">
        <v>17966884</v>
      </c>
      <c r="E8" s="51" t="e">
        <f>#REF!</f>
        <v>#REF!</v>
      </c>
      <c r="F8" s="53">
        <f>D8/C8</f>
        <v>23.90278115916</v>
      </c>
      <c r="G8" s="54" t="e">
        <f t="shared" ref="G8:G10" si="0">E8/C8</f>
        <v>#REF!</v>
      </c>
      <c r="H8" s="44" t="e">
        <f t="shared" ref="H8:H10" si="1">E8/D8</f>
        <v>#REF!</v>
      </c>
    </row>
    <row r="9" spans="1:13" x14ac:dyDescent="0.25">
      <c r="B9" s="41">
        <v>45139</v>
      </c>
      <c r="C9" s="39">
        <v>851310</v>
      </c>
      <c r="D9" s="51">
        <v>20565837</v>
      </c>
      <c r="E9" s="51" t="e">
        <f>#REF!</f>
        <v>#REF!</v>
      </c>
      <c r="F9" s="53">
        <f>D9/C9</f>
        <v>24.157870810867955</v>
      </c>
      <c r="G9" s="54" t="e">
        <f t="shared" si="0"/>
        <v>#REF!</v>
      </c>
      <c r="H9" s="44" t="e">
        <f t="shared" si="1"/>
        <v>#REF!</v>
      </c>
    </row>
    <row r="10" spans="1:13" x14ac:dyDescent="0.25">
      <c r="B10" s="37" t="s">
        <v>9</v>
      </c>
      <c r="C10" s="40">
        <f>SUM(C7:C9)</f>
        <v>2278687</v>
      </c>
      <c r="D10" s="52">
        <f>SUM(D7:D9)</f>
        <v>54528305</v>
      </c>
      <c r="E10" s="52" t="e">
        <f>SUM(E7:E9)</f>
        <v>#REF!</v>
      </c>
      <c r="F10" s="55">
        <f>D10/C10</f>
        <v>23.929703816276653</v>
      </c>
      <c r="G10" s="56" t="e">
        <f t="shared" si="0"/>
        <v>#REF!</v>
      </c>
      <c r="H10" s="45" t="e">
        <f t="shared" si="1"/>
        <v>#REF!</v>
      </c>
    </row>
    <row r="11" spans="1:13" ht="6" customHeight="1" x14ac:dyDescent="0.25"/>
    <row r="12" spans="1:13" ht="15.6" x14ac:dyDescent="0.3">
      <c r="B12" s="46" t="s">
        <v>10</v>
      </c>
    </row>
    <row r="13" spans="1:13" ht="6" customHeight="1" x14ac:dyDescent="0.25"/>
    <row r="14" spans="1:13" x14ac:dyDescent="0.25">
      <c r="B14" s="47" t="s">
        <v>2</v>
      </c>
      <c r="C14" s="47" t="s">
        <v>3</v>
      </c>
      <c r="D14" s="47" t="s">
        <v>11</v>
      </c>
      <c r="E14" s="47" t="s">
        <v>12</v>
      </c>
      <c r="F14" s="47" t="s">
        <v>9</v>
      </c>
      <c r="G14" s="47" t="s">
        <v>13</v>
      </c>
      <c r="H14" s="47" t="s">
        <v>14</v>
      </c>
    </row>
    <row r="15" spans="1:13" x14ac:dyDescent="0.25">
      <c r="B15" s="41">
        <f>B7</f>
        <v>45078</v>
      </c>
      <c r="C15" s="2">
        <f>C7</f>
        <v>675712</v>
      </c>
      <c r="D15" s="51" t="e">
        <f>#REF!+#REF!</f>
        <v>#REF!</v>
      </c>
      <c r="E15" s="51" t="e">
        <f>#REF!+E57</f>
        <v>#REF!</v>
      </c>
      <c r="F15" s="57" t="e">
        <f>SUM(D15:E15)</f>
        <v>#REF!</v>
      </c>
      <c r="G15" s="53" t="e">
        <f>F15/C15</f>
        <v>#REF!</v>
      </c>
      <c r="H15" s="44" t="e">
        <f>F15/D7</f>
        <v>#REF!</v>
      </c>
    </row>
    <row r="16" spans="1:13" x14ac:dyDescent="0.25">
      <c r="B16" s="41">
        <f t="shared" ref="B16:C17" si="2">B8</f>
        <v>45108</v>
      </c>
      <c r="C16" s="2">
        <f t="shared" si="2"/>
        <v>751665</v>
      </c>
      <c r="D16" s="51" t="e">
        <f>#REF!+#REF!</f>
        <v>#REF!</v>
      </c>
      <c r="E16" s="51" t="e">
        <f>#REF!+E58</f>
        <v>#REF!</v>
      </c>
      <c r="F16" s="57" t="e">
        <f t="shared" ref="F16:F17" si="3">SUM(D16:E16)</f>
        <v>#REF!</v>
      </c>
      <c r="G16" s="53" t="e">
        <f t="shared" ref="G16:G18" si="4">F16/C16</f>
        <v>#REF!</v>
      </c>
      <c r="H16" s="44" t="e">
        <f t="shared" ref="H16:H18" si="5">F16/D8</f>
        <v>#REF!</v>
      </c>
    </row>
    <row r="17" spans="2:11" x14ac:dyDescent="0.25">
      <c r="B17" s="41">
        <f t="shared" si="2"/>
        <v>45139</v>
      </c>
      <c r="C17" s="2">
        <f t="shared" si="2"/>
        <v>851310</v>
      </c>
      <c r="D17" s="51" t="e">
        <f>#REF!+#REF!</f>
        <v>#REF!</v>
      </c>
      <c r="E17" s="51" t="e">
        <f>#REF!+E59</f>
        <v>#REF!</v>
      </c>
      <c r="F17" s="57" t="e">
        <f t="shared" si="3"/>
        <v>#REF!</v>
      </c>
      <c r="G17" s="53" t="e">
        <f t="shared" si="4"/>
        <v>#REF!</v>
      </c>
      <c r="H17" s="44" t="e">
        <f t="shared" si="5"/>
        <v>#REF!</v>
      </c>
    </row>
    <row r="18" spans="2:11" x14ac:dyDescent="0.25">
      <c r="B18" s="47" t="s">
        <v>9</v>
      </c>
      <c r="C18" s="71">
        <f>SUM(C15:C17)</f>
        <v>2278687</v>
      </c>
      <c r="D18" s="72" t="e">
        <f>SUM(D15:D17)</f>
        <v>#REF!</v>
      </c>
      <c r="E18" s="72" t="e">
        <f>SUM(E15:E17)</f>
        <v>#REF!</v>
      </c>
      <c r="F18" s="72" t="e">
        <f>SUM(F15:F17)</f>
        <v>#REF!</v>
      </c>
      <c r="G18" s="73" t="e">
        <f t="shared" si="4"/>
        <v>#REF!</v>
      </c>
      <c r="H18" s="74" t="e">
        <f t="shared" si="5"/>
        <v>#REF!</v>
      </c>
    </row>
    <row r="19" spans="2:11" x14ac:dyDescent="0.25">
      <c r="B19" s="49" t="s">
        <v>15</v>
      </c>
    </row>
    <row r="20" spans="2:11" x14ac:dyDescent="0.25">
      <c r="B20" s="49" t="s">
        <v>16</v>
      </c>
    </row>
    <row r="21" spans="2:11" ht="6" customHeight="1" x14ac:dyDescent="0.25">
      <c r="B21" s="49"/>
    </row>
    <row r="22" spans="2:11" ht="15.6" x14ac:dyDescent="0.3">
      <c r="B22" s="46" t="s">
        <v>17</v>
      </c>
    </row>
    <row r="23" spans="2:11" ht="6" customHeight="1" x14ac:dyDescent="0.3">
      <c r="B23" s="46"/>
    </row>
    <row r="24" spans="2:11" x14ac:dyDescent="0.25">
      <c r="B24" s="47" t="s">
        <v>2</v>
      </c>
      <c r="C24" s="47" t="s">
        <v>3</v>
      </c>
      <c r="D24" s="47" t="s">
        <v>18</v>
      </c>
      <c r="E24" s="47" t="s">
        <v>19</v>
      </c>
      <c r="F24" s="47" t="s">
        <v>20</v>
      </c>
      <c r="G24" s="47" t="s">
        <v>9</v>
      </c>
      <c r="H24" s="47" t="s">
        <v>21</v>
      </c>
      <c r="I24" s="47" t="s">
        <v>14</v>
      </c>
    </row>
    <row r="25" spans="2:11" x14ac:dyDescent="0.25">
      <c r="B25" s="41">
        <f>B15</f>
        <v>45078</v>
      </c>
      <c r="C25" s="2">
        <f>C15</f>
        <v>675712</v>
      </c>
      <c r="D25" s="57" t="e">
        <f>F51</f>
        <v>#REF!</v>
      </c>
      <c r="E25" s="51" t="e">
        <f>#REF!</f>
        <v>#REF!</v>
      </c>
      <c r="F25" s="51" t="e">
        <f>#REF!</f>
        <v>#REF!</v>
      </c>
      <c r="G25" s="57" t="e">
        <f>SUM(D25:F25)</f>
        <v>#REF!</v>
      </c>
      <c r="H25" s="53" t="e">
        <f>G25/C25</f>
        <v>#REF!</v>
      </c>
      <c r="I25" s="44" t="e">
        <f>G25/D7</f>
        <v>#REF!</v>
      </c>
    </row>
    <row r="26" spans="2:11" x14ac:dyDescent="0.25">
      <c r="B26" s="41">
        <f t="shared" ref="B26:B27" si="6">B16</f>
        <v>45108</v>
      </c>
      <c r="C26" s="2">
        <f t="shared" ref="C26:C27" si="7">C16</f>
        <v>751665</v>
      </c>
      <c r="D26" s="57" t="e">
        <f>G51</f>
        <v>#REF!</v>
      </c>
      <c r="E26" s="51" t="e">
        <f>#REF!</f>
        <v>#REF!</v>
      </c>
      <c r="F26" s="51" t="e">
        <f>#REF!</f>
        <v>#REF!</v>
      </c>
      <c r="G26" s="57" t="e">
        <f t="shared" ref="G26:G27" si="8">SUM(D26:F26)</f>
        <v>#REF!</v>
      </c>
      <c r="H26" s="53" t="e">
        <f t="shared" ref="H26:H28" si="9">G26/C26</f>
        <v>#REF!</v>
      </c>
      <c r="I26" s="44" t="e">
        <f t="shared" ref="I26:I28" si="10">G26/D8</f>
        <v>#REF!</v>
      </c>
    </row>
    <row r="27" spans="2:11" x14ac:dyDescent="0.25">
      <c r="B27" s="41">
        <f t="shared" si="6"/>
        <v>45139</v>
      </c>
      <c r="C27" s="2">
        <f t="shared" si="7"/>
        <v>851310</v>
      </c>
      <c r="D27" s="57" t="e">
        <f>H51</f>
        <v>#REF!</v>
      </c>
      <c r="E27" s="51" t="e">
        <f>#REF!</f>
        <v>#REF!</v>
      </c>
      <c r="F27" s="51" t="e">
        <f>#REF!</f>
        <v>#REF!</v>
      </c>
      <c r="G27" s="57" t="e">
        <f t="shared" si="8"/>
        <v>#REF!</v>
      </c>
      <c r="H27" s="53" t="e">
        <f t="shared" si="9"/>
        <v>#REF!</v>
      </c>
      <c r="I27" s="44" t="e">
        <f t="shared" si="10"/>
        <v>#REF!</v>
      </c>
    </row>
    <row r="28" spans="2:11" x14ac:dyDescent="0.25">
      <c r="B28" s="47" t="s">
        <v>9</v>
      </c>
      <c r="C28" s="71">
        <f>SUM(C25:C27)</f>
        <v>2278687</v>
      </c>
      <c r="D28" s="72" t="e">
        <f t="shared" ref="D28:G28" si="11">SUM(D25:D27)</f>
        <v>#REF!</v>
      </c>
      <c r="E28" s="72" t="e">
        <f t="shared" si="11"/>
        <v>#REF!</v>
      </c>
      <c r="F28" s="72" t="e">
        <f t="shared" si="11"/>
        <v>#REF!</v>
      </c>
      <c r="G28" s="72" t="e">
        <f t="shared" si="11"/>
        <v>#REF!</v>
      </c>
      <c r="H28" s="73" t="e">
        <f t="shared" si="9"/>
        <v>#REF!</v>
      </c>
      <c r="I28" s="74" t="e">
        <f t="shared" si="10"/>
        <v>#REF!</v>
      </c>
    </row>
    <row r="29" spans="2:11" ht="6" customHeight="1" x14ac:dyDescent="0.3">
      <c r="B29" s="46"/>
    </row>
    <row r="30" spans="2:11" ht="15.6" x14ac:dyDescent="0.3">
      <c r="B30" s="46" t="s">
        <v>22</v>
      </c>
    </row>
    <row r="31" spans="2:11" ht="6" customHeight="1" x14ac:dyDescent="0.3">
      <c r="B31" s="46"/>
    </row>
    <row r="32" spans="2:11" x14ac:dyDescent="0.25">
      <c r="B32" s="47" t="s">
        <v>2</v>
      </c>
      <c r="C32" s="47" t="s">
        <v>3</v>
      </c>
      <c r="D32" s="47" t="s">
        <v>23</v>
      </c>
      <c r="E32" s="47" t="s">
        <v>24</v>
      </c>
      <c r="F32" s="47" t="s">
        <v>25</v>
      </c>
      <c r="G32" s="47" t="s">
        <v>26</v>
      </c>
      <c r="H32" s="47" t="s">
        <v>9</v>
      </c>
      <c r="I32" s="47" t="s">
        <v>27</v>
      </c>
      <c r="J32" s="47" t="s">
        <v>14</v>
      </c>
      <c r="K32" s="65"/>
    </row>
    <row r="33" spans="2:13" x14ac:dyDescent="0.25">
      <c r="B33" s="41">
        <f>B25</f>
        <v>45078</v>
      </c>
      <c r="C33" s="2">
        <f>C25</f>
        <v>675712</v>
      </c>
      <c r="D33" s="57" t="e">
        <f>#REF!+#REF!-#REF!</f>
        <v>#REF!</v>
      </c>
      <c r="E33" s="51" t="e">
        <f>#REF!</f>
        <v>#REF!</v>
      </c>
      <c r="F33" s="51" t="e">
        <f>#REF!</f>
        <v>#REF!</v>
      </c>
      <c r="G33" s="51" t="e">
        <f>#REF!-SUM(D33:F33)-F15-G25</f>
        <v>#REF!</v>
      </c>
      <c r="H33" s="51" t="e">
        <f>SUM(D33:G33)</f>
        <v>#REF!</v>
      </c>
      <c r="I33" s="53" t="e">
        <f>H33/C33</f>
        <v>#REF!</v>
      </c>
      <c r="J33" s="44" t="e">
        <f>H33/D7</f>
        <v>#REF!</v>
      </c>
      <c r="K33" s="66"/>
    </row>
    <row r="34" spans="2:13" x14ac:dyDescent="0.25">
      <c r="B34" s="41">
        <f t="shared" ref="B34:C35" si="12">B26</f>
        <v>45108</v>
      </c>
      <c r="C34" s="2">
        <f t="shared" si="12"/>
        <v>751665</v>
      </c>
      <c r="D34" s="57" t="e">
        <f>#REF!+#REF!-#REF!</f>
        <v>#REF!</v>
      </c>
      <c r="E34" s="51" t="e">
        <f>#REF!</f>
        <v>#REF!</v>
      </c>
      <c r="F34" s="51" t="e">
        <f>#REF!</f>
        <v>#REF!</v>
      </c>
      <c r="G34" s="51" t="e">
        <f>#REF!-SUM(D34:F34)-F16-G26</f>
        <v>#REF!</v>
      </c>
      <c r="H34" s="51" t="e">
        <f t="shared" ref="H34:H36" si="13">SUM(D34:G34)</f>
        <v>#REF!</v>
      </c>
      <c r="I34" s="53" t="e">
        <f t="shared" ref="I34:I36" si="14">H34/C34</f>
        <v>#REF!</v>
      </c>
      <c r="J34" s="44" t="e">
        <f t="shared" ref="J34:J36" si="15">H34/D8</f>
        <v>#REF!</v>
      </c>
      <c r="K34" s="66"/>
    </row>
    <row r="35" spans="2:13" x14ac:dyDescent="0.25">
      <c r="B35" s="41">
        <f t="shared" si="12"/>
        <v>45139</v>
      </c>
      <c r="C35" s="2">
        <f t="shared" si="12"/>
        <v>851310</v>
      </c>
      <c r="D35" s="57" t="e">
        <f>#REF!+#REF!-#REF!</f>
        <v>#REF!</v>
      </c>
      <c r="E35" s="51" t="e">
        <f>#REF!</f>
        <v>#REF!</v>
      </c>
      <c r="F35" s="51" t="e">
        <f>#REF!</f>
        <v>#REF!</v>
      </c>
      <c r="G35" s="51" t="e">
        <f>#REF!-SUM(D35:F35)-F17-G27</f>
        <v>#REF!</v>
      </c>
      <c r="H35" s="51" t="e">
        <f t="shared" si="13"/>
        <v>#REF!</v>
      </c>
      <c r="I35" s="53" t="e">
        <f t="shared" si="14"/>
        <v>#REF!</v>
      </c>
      <c r="J35" s="44" t="e">
        <f t="shared" si="15"/>
        <v>#REF!</v>
      </c>
      <c r="K35" s="66"/>
    </row>
    <row r="36" spans="2:13" x14ac:dyDescent="0.25">
      <c r="B36" s="47" t="s">
        <v>9</v>
      </c>
      <c r="C36" s="71">
        <f>SUM(C33:C35)</f>
        <v>2278687</v>
      </c>
      <c r="D36" s="72" t="e">
        <f t="shared" ref="D36:G36" si="16">SUM(D33:D35)</f>
        <v>#REF!</v>
      </c>
      <c r="E36" s="72" t="e">
        <f t="shared" si="16"/>
        <v>#REF!</v>
      </c>
      <c r="F36" s="75" t="e">
        <f t="shared" si="16"/>
        <v>#REF!</v>
      </c>
      <c r="G36" s="75" t="e">
        <f t="shared" si="16"/>
        <v>#REF!</v>
      </c>
      <c r="H36" s="75" t="e">
        <f t="shared" si="13"/>
        <v>#REF!</v>
      </c>
      <c r="I36" s="73" t="e">
        <f t="shared" si="14"/>
        <v>#REF!</v>
      </c>
      <c r="J36" s="74" t="e">
        <f t="shared" si="15"/>
        <v>#REF!</v>
      </c>
      <c r="K36" s="67"/>
      <c r="L36" s="508"/>
      <c r="M36" s="509"/>
    </row>
    <row r="37" spans="2:13" x14ac:dyDescent="0.25">
      <c r="B37" s="49" t="s">
        <v>28</v>
      </c>
      <c r="L37" s="508"/>
      <c r="M37" s="509"/>
    </row>
    <row r="38" spans="2:13" ht="15.6" x14ac:dyDescent="0.3">
      <c r="B38" s="46"/>
    </row>
    <row r="39" spans="2:13" ht="16.2" thickBot="1" x14ac:dyDescent="0.35">
      <c r="B39" s="46"/>
    </row>
    <row r="40" spans="2:13" ht="12.6" hidden="1" thickBot="1" x14ac:dyDescent="0.3">
      <c r="F40" s="50">
        <v>45078</v>
      </c>
      <c r="G40" s="50">
        <v>45108</v>
      </c>
      <c r="H40" s="50">
        <v>45139</v>
      </c>
    </row>
    <row r="41" spans="2:13" ht="12.6" hidden="1" thickBot="1" x14ac:dyDescent="0.3">
      <c r="B41" s="1" t="s">
        <v>29</v>
      </c>
      <c r="F41" s="39" t="e">
        <f>#REF!</f>
        <v>#REF!</v>
      </c>
      <c r="G41" s="39" t="e">
        <f>#REF!</f>
        <v>#REF!</v>
      </c>
      <c r="H41" s="39" t="e">
        <f>#REF!</f>
        <v>#REF!</v>
      </c>
    </row>
    <row r="42" spans="2:13" ht="12.6" hidden="1" thickBot="1" x14ac:dyDescent="0.3">
      <c r="B42" s="1" t="e">
        <f>#REF!</f>
        <v>#REF!</v>
      </c>
      <c r="F42" s="39" t="e">
        <f>#REF!</f>
        <v>#REF!</v>
      </c>
      <c r="G42" s="39" t="e">
        <f>#REF!</f>
        <v>#REF!</v>
      </c>
      <c r="H42" s="39" t="e">
        <f>#REF!</f>
        <v>#REF!</v>
      </c>
    </row>
    <row r="43" spans="2:13" ht="12.6" hidden="1" thickBot="1" x14ac:dyDescent="0.3">
      <c r="B43" s="1" t="e">
        <f>#REF!</f>
        <v>#REF!</v>
      </c>
      <c r="F43" s="39" t="e">
        <f>#REF!</f>
        <v>#REF!</v>
      </c>
      <c r="G43" s="39" t="e">
        <f>#REF!</f>
        <v>#REF!</v>
      </c>
      <c r="H43" s="39" t="e">
        <f>#REF!</f>
        <v>#REF!</v>
      </c>
    </row>
    <row r="44" spans="2:13" ht="12.6" hidden="1" thickBot="1" x14ac:dyDescent="0.3">
      <c r="B44" s="1" t="e">
        <f>#REF!</f>
        <v>#REF!</v>
      </c>
      <c r="F44" s="39" t="e">
        <f>#REF!</f>
        <v>#REF!</v>
      </c>
      <c r="G44" s="39" t="e">
        <f>#REF!</f>
        <v>#REF!</v>
      </c>
      <c r="H44" s="39" t="e">
        <f>#REF!</f>
        <v>#REF!</v>
      </c>
    </row>
    <row r="45" spans="2:13" ht="12.6" hidden="1" thickBot="1" x14ac:dyDescent="0.3">
      <c r="B45" s="1" t="e">
        <f>#REF!</f>
        <v>#REF!</v>
      </c>
      <c r="F45" s="39" t="e">
        <f>#REF!</f>
        <v>#REF!</v>
      </c>
      <c r="G45" s="39" t="e">
        <f>#REF!</f>
        <v>#REF!</v>
      </c>
      <c r="H45" s="39" t="e">
        <f>#REF!</f>
        <v>#REF!</v>
      </c>
    </row>
    <row r="46" spans="2:13" ht="12.6" hidden="1" thickBot="1" x14ac:dyDescent="0.3">
      <c r="B46" s="1" t="e">
        <f>#REF!</f>
        <v>#REF!</v>
      </c>
      <c r="F46" s="39" t="e">
        <f>#REF!</f>
        <v>#REF!</v>
      </c>
      <c r="G46" s="39" t="e">
        <f>#REF!</f>
        <v>#REF!</v>
      </c>
      <c r="H46" s="39" t="e">
        <f>#REF!</f>
        <v>#REF!</v>
      </c>
    </row>
    <row r="47" spans="2:13" ht="12.6" hidden="1" thickBot="1" x14ac:dyDescent="0.3">
      <c r="B47" s="1" t="e">
        <f>#REF!</f>
        <v>#REF!</v>
      </c>
      <c r="F47" s="39" t="e">
        <f>#REF!</f>
        <v>#REF!</v>
      </c>
      <c r="G47" s="39" t="e">
        <f>#REF!</f>
        <v>#REF!</v>
      </c>
      <c r="H47" s="39" t="e">
        <f>#REF!</f>
        <v>#REF!</v>
      </c>
    </row>
    <row r="48" spans="2:13" ht="12.6" hidden="1" thickBot="1" x14ac:dyDescent="0.3">
      <c r="B48" s="1" t="e">
        <f>#REF!</f>
        <v>#REF!</v>
      </c>
      <c r="F48" s="39" t="e">
        <f>#REF!</f>
        <v>#REF!</v>
      </c>
      <c r="G48" s="39" t="e">
        <f>#REF!</f>
        <v>#REF!</v>
      </c>
      <c r="H48" s="39" t="e">
        <f>#REF!</f>
        <v>#REF!</v>
      </c>
    </row>
    <row r="49" spans="2:8" ht="12.6" hidden="1" thickBot="1" x14ac:dyDescent="0.3">
      <c r="B49" s="1" t="e">
        <f>#REF!</f>
        <v>#REF!</v>
      </c>
      <c r="F49" s="39" t="e">
        <f>#REF!</f>
        <v>#REF!</v>
      </c>
      <c r="G49" s="39" t="e">
        <f>#REF!</f>
        <v>#REF!</v>
      </c>
      <c r="H49" s="39" t="e">
        <f>#REF!</f>
        <v>#REF!</v>
      </c>
    </row>
    <row r="50" spans="2:8" ht="12.6" hidden="1" thickBot="1" x14ac:dyDescent="0.3">
      <c r="B50" s="1" t="e">
        <f>#REF!</f>
        <v>#REF!</v>
      </c>
      <c r="F50" s="39" t="e">
        <f>#REF!</f>
        <v>#REF!</v>
      </c>
      <c r="G50" s="39" t="e">
        <f>#REF!</f>
        <v>#REF!</v>
      </c>
      <c r="H50" s="39" t="e">
        <f>#REF!</f>
        <v>#REF!</v>
      </c>
    </row>
    <row r="51" spans="2:8" ht="12.6" hidden="1" thickBot="1" x14ac:dyDescent="0.3">
      <c r="B51" s="6" t="s">
        <v>9</v>
      </c>
      <c r="C51" s="6"/>
      <c r="D51" s="6"/>
      <c r="E51" s="6"/>
      <c r="F51" s="19" t="e">
        <f>SUM(F41:F50)</f>
        <v>#REF!</v>
      </c>
      <c r="G51" s="19" t="e">
        <f t="shared" ref="G51:H51" si="17">SUM(G41:G50)</f>
        <v>#REF!</v>
      </c>
      <c r="H51" s="19" t="e">
        <f t="shared" si="17"/>
        <v>#REF!</v>
      </c>
    </row>
    <row r="52" spans="2:8" ht="12.6" hidden="1" thickBot="1" x14ac:dyDescent="0.3"/>
    <row r="53" spans="2:8" ht="12.6" hidden="1" thickBot="1" x14ac:dyDescent="0.3"/>
    <row r="54" spans="2:8" ht="12.6" hidden="1" thickBot="1" x14ac:dyDescent="0.3"/>
    <row r="55" spans="2:8" ht="12.6" hidden="1" thickBot="1" x14ac:dyDescent="0.3"/>
    <row r="56" spans="2:8" ht="12.6" hidden="1" thickBot="1" x14ac:dyDescent="0.3">
      <c r="B56" s="48" t="s">
        <v>30</v>
      </c>
      <c r="C56" s="48" t="s">
        <v>31</v>
      </c>
      <c r="D56" s="48" t="s">
        <v>32</v>
      </c>
      <c r="E56" s="6" t="s">
        <v>33</v>
      </c>
    </row>
    <row r="57" spans="2:8" ht="12.6" hidden="1" thickBot="1" x14ac:dyDescent="0.3">
      <c r="B57" s="38">
        <f>B15</f>
        <v>45078</v>
      </c>
      <c r="C57" s="2" t="e">
        <f>E7*5%</f>
        <v>#REF!</v>
      </c>
      <c r="D57" s="39">
        <v>5604</v>
      </c>
      <c r="E57" s="2" t="e">
        <f>C57-D57</f>
        <v>#REF!</v>
      </c>
    </row>
    <row r="58" spans="2:8" ht="12.6" hidden="1" thickBot="1" x14ac:dyDescent="0.3">
      <c r="B58" s="38">
        <f t="shared" ref="B58:B59" si="18">B16</f>
        <v>45108</v>
      </c>
      <c r="C58" s="2" t="e">
        <f t="shared" ref="C58:C59" si="19">E8*5%</f>
        <v>#REF!</v>
      </c>
      <c r="D58" s="39">
        <v>5604</v>
      </c>
      <c r="E58" s="2" t="e">
        <f>C58-D58</f>
        <v>#REF!</v>
      </c>
    </row>
    <row r="59" spans="2:8" ht="12.6" hidden="1" thickBot="1" x14ac:dyDescent="0.3">
      <c r="B59" s="38">
        <f t="shared" si="18"/>
        <v>45139</v>
      </c>
      <c r="C59" s="2" t="e">
        <f t="shared" si="19"/>
        <v>#REF!</v>
      </c>
      <c r="D59" s="39">
        <v>5604</v>
      </c>
      <c r="E59" s="2" t="e">
        <f>C59-D59</f>
        <v>#REF!</v>
      </c>
    </row>
    <row r="60" spans="2:8" ht="16.2" thickBot="1" x14ac:dyDescent="0.35">
      <c r="B60" s="510" t="s">
        <v>34</v>
      </c>
      <c r="C60" s="510"/>
      <c r="D60" s="510"/>
      <c r="E60" s="510"/>
      <c r="F60" s="510"/>
    </row>
    <row r="61" spans="2:8" x14ac:dyDescent="0.25">
      <c r="E61" s="64" t="s">
        <v>35</v>
      </c>
      <c r="F61" s="64" t="s">
        <v>36</v>
      </c>
    </row>
    <row r="62" spans="2:8" x14ac:dyDescent="0.25">
      <c r="B62" s="59" t="s">
        <v>37</v>
      </c>
    </row>
    <row r="63" spans="2:8" x14ac:dyDescent="0.25">
      <c r="B63" s="60" t="s">
        <v>38</v>
      </c>
      <c r="E63" s="58">
        <f>F10</f>
        <v>23.929703816276653</v>
      </c>
    </row>
    <row r="64" spans="2:8" x14ac:dyDescent="0.25">
      <c r="B64" s="208" t="s">
        <v>39</v>
      </c>
      <c r="C64" s="209"/>
      <c r="D64" s="209"/>
      <c r="E64" s="210" t="e">
        <f>G10</f>
        <v>#REF!</v>
      </c>
      <c r="F64" s="211" t="e">
        <f>H10</f>
        <v>#REF!</v>
      </c>
    </row>
    <row r="65" spans="2:6" ht="6" customHeight="1" x14ac:dyDescent="0.25">
      <c r="B65" s="60"/>
    </row>
    <row r="66" spans="2:6" x14ac:dyDescent="0.25">
      <c r="B66" s="61" t="s">
        <v>40</v>
      </c>
    </row>
    <row r="67" spans="2:6" x14ac:dyDescent="0.25">
      <c r="B67" s="62" t="s">
        <v>41</v>
      </c>
    </row>
    <row r="68" spans="2:6" x14ac:dyDescent="0.25">
      <c r="B68" s="63" t="s">
        <v>42</v>
      </c>
      <c r="E68" s="58" t="e">
        <f>D18/C18</f>
        <v>#REF!</v>
      </c>
      <c r="F68" s="43" t="e">
        <f>D18/D10</f>
        <v>#REF!</v>
      </c>
    </row>
    <row r="69" spans="2:6" x14ac:dyDescent="0.25">
      <c r="B69" s="63" t="s">
        <v>43</v>
      </c>
      <c r="E69" s="58" t="e">
        <f>E18/C18</f>
        <v>#REF!</v>
      </c>
      <c r="F69" s="43" t="e">
        <f>E18/D10</f>
        <v>#REF!</v>
      </c>
    </row>
    <row r="70" spans="2:6" x14ac:dyDescent="0.25">
      <c r="B70" s="212" t="s">
        <v>44</v>
      </c>
      <c r="C70" s="213"/>
      <c r="D70" s="213"/>
      <c r="E70" s="214" t="e">
        <f>G18</f>
        <v>#REF!</v>
      </c>
      <c r="F70" s="215" t="e">
        <f>H18</f>
        <v>#REF!</v>
      </c>
    </row>
    <row r="71" spans="2:6" x14ac:dyDescent="0.25">
      <c r="B71" s="62" t="s">
        <v>45</v>
      </c>
    </row>
    <row r="72" spans="2:6" x14ac:dyDescent="0.25">
      <c r="B72" s="63" t="s">
        <v>46</v>
      </c>
      <c r="E72" s="58" t="e">
        <f>D28/C28</f>
        <v>#REF!</v>
      </c>
      <c r="F72" s="43" t="e">
        <f>D28/D10</f>
        <v>#REF!</v>
      </c>
    </row>
    <row r="73" spans="2:6" x14ac:dyDescent="0.25">
      <c r="B73" s="63" t="s">
        <v>47</v>
      </c>
      <c r="E73" s="58" t="e">
        <f>E28/C28</f>
        <v>#REF!</v>
      </c>
      <c r="F73" s="43" t="e">
        <f>E28/D10</f>
        <v>#REF!</v>
      </c>
    </row>
    <row r="74" spans="2:6" x14ac:dyDescent="0.25">
      <c r="B74" s="63" t="s">
        <v>48</v>
      </c>
      <c r="E74" s="58" t="e">
        <f>F28/C28</f>
        <v>#REF!</v>
      </c>
      <c r="F74" s="43" t="e">
        <f>F28/D10</f>
        <v>#REF!</v>
      </c>
    </row>
    <row r="75" spans="2:6" x14ac:dyDescent="0.25">
      <c r="B75" s="212" t="s">
        <v>49</v>
      </c>
      <c r="C75" s="213"/>
      <c r="D75" s="213"/>
      <c r="E75" s="214" t="e">
        <f>H28</f>
        <v>#REF!</v>
      </c>
      <c r="F75" s="215" t="e">
        <f>I28</f>
        <v>#REF!</v>
      </c>
    </row>
    <row r="76" spans="2:6" x14ac:dyDescent="0.25">
      <c r="B76" s="62" t="s">
        <v>50</v>
      </c>
    </row>
    <row r="77" spans="2:6" x14ac:dyDescent="0.25">
      <c r="B77" s="63" t="s">
        <v>51</v>
      </c>
      <c r="E77" s="58" t="e">
        <f>D36/C36</f>
        <v>#REF!</v>
      </c>
      <c r="F77" s="43" t="e">
        <f>D36/D10</f>
        <v>#REF!</v>
      </c>
    </row>
    <row r="78" spans="2:6" x14ac:dyDescent="0.25">
      <c r="B78" s="63" t="s">
        <v>24</v>
      </c>
      <c r="E78" s="58" t="e">
        <f>E36/C36</f>
        <v>#REF!</v>
      </c>
      <c r="F78" s="43" t="e">
        <f>E36/D10</f>
        <v>#REF!</v>
      </c>
    </row>
    <row r="79" spans="2:6" x14ac:dyDescent="0.25">
      <c r="B79" s="63" t="s">
        <v>25</v>
      </c>
      <c r="E79" s="58" t="e">
        <f>F36/C36</f>
        <v>#REF!</v>
      </c>
      <c r="F79" s="43" t="e">
        <f>F36/D10</f>
        <v>#REF!</v>
      </c>
    </row>
    <row r="80" spans="2:6" x14ac:dyDescent="0.25">
      <c r="B80" s="63" t="s">
        <v>26</v>
      </c>
      <c r="E80" s="58" t="e">
        <f>G36/C36</f>
        <v>#REF!</v>
      </c>
      <c r="F80" s="43" t="e">
        <f>G36/D10</f>
        <v>#REF!</v>
      </c>
    </row>
    <row r="81" spans="2:6" x14ac:dyDescent="0.25">
      <c r="B81" s="212" t="s">
        <v>52</v>
      </c>
      <c r="C81" s="213"/>
      <c r="D81" s="213"/>
      <c r="E81" s="214" t="e">
        <f>I36</f>
        <v>#REF!</v>
      </c>
      <c r="F81" s="215" t="e">
        <f>J36</f>
        <v>#REF!</v>
      </c>
    </row>
    <row r="83" spans="2:6" x14ac:dyDescent="0.25">
      <c r="B83" s="1" t="s">
        <v>53</v>
      </c>
      <c r="E83" s="35" t="e">
        <f>F64</f>
        <v>#REF!</v>
      </c>
    </row>
    <row r="84" spans="2:6" x14ac:dyDescent="0.25">
      <c r="B84" s="1" t="s">
        <v>41</v>
      </c>
      <c r="E84" s="35" t="e">
        <f>-F70</f>
        <v>#REF!</v>
      </c>
    </row>
    <row r="85" spans="2:6" x14ac:dyDescent="0.25">
      <c r="B85" s="216" t="s">
        <v>54</v>
      </c>
      <c r="C85" s="217"/>
      <c r="D85" s="217"/>
      <c r="E85" s="218" t="e">
        <f>SUM(E83:E84)</f>
        <v>#REF!</v>
      </c>
    </row>
    <row r="86" spans="2:6" x14ac:dyDescent="0.25">
      <c r="B86" s="1" t="s">
        <v>45</v>
      </c>
      <c r="E86" s="35" t="e">
        <f>-F75</f>
        <v>#REF!</v>
      </c>
    </row>
    <row r="87" spans="2:6" x14ac:dyDescent="0.25">
      <c r="B87" s="216" t="s">
        <v>54</v>
      </c>
      <c r="C87" s="217"/>
      <c r="D87" s="217"/>
      <c r="E87" s="218" t="e">
        <f>SUM(E85:E86)</f>
        <v>#REF!</v>
      </c>
    </row>
    <row r="88" spans="2:6" x14ac:dyDescent="0.25">
      <c r="B88" s="1" t="s">
        <v>50</v>
      </c>
      <c r="E88" s="35" t="e">
        <f>-F81</f>
        <v>#REF!</v>
      </c>
    </row>
    <row r="89" spans="2:6" x14ac:dyDescent="0.25">
      <c r="B89" s="216" t="s">
        <v>54</v>
      </c>
      <c r="C89" s="217"/>
      <c r="D89" s="217"/>
      <c r="E89" s="218" t="e">
        <f>SUM(E87:E88)</f>
        <v>#REF!</v>
      </c>
    </row>
  </sheetData>
  <mergeCells count="4">
    <mergeCell ref="L36:L37"/>
    <mergeCell ref="M36:M37"/>
    <mergeCell ref="B60:F60"/>
    <mergeCell ref="B2:L2"/>
  </mergeCells>
  <phoneticPr fontId="33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55F7-F3AB-4B0D-B885-74C38B2CA2CB}">
  <sheetPr>
    <tabColor rgb="FF92CDDC"/>
  </sheetPr>
  <dimension ref="A1"/>
  <sheetViews>
    <sheetView workbookViewId="0">
      <selection activeCell="L26" sqref="L26"/>
    </sheetView>
  </sheetViews>
  <sheetFormatPr defaultRowHeight="13.2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4C26-7840-4DDE-9BED-BED30A532BD2}">
  <sheetPr>
    <tabColor rgb="FFFF0000"/>
  </sheetPr>
  <dimension ref="B2:M44"/>
  <sheetViews>
    <sheetView showGridLines="0" workbookViewId="0">
      <selection activeCell="M5" sqref="M5:M10"/>
    </sheetView>
  </sheetViews>
  <sheetFormatPr defaultRowHeight="13.2" x14ac:dyDescent="0.25"/>
  <cols>
    <col min="2" max="2" width="18.33203125" bestFit="1" customWidth="1"/>
    <col min="3" max="3" width="21" bestFit="1" customWidth="1"/>
    <col min="4" max="4" width="10.44140625" bestFit="1" customWidth="1"/>
    <col min="5" max="5" width="9.44140625" bestFit="1" customWidth="1"/>
    <col min="7" max="7" width="20" bestFit="1" customWidth="1"/>
    <col min="8" max="8" width="25.109375" bestFit="1" customWidth="1"/>
    <col min="9" max="9" width="11.44140625" bestFit="1" customWidth="1"/>
    <col min="12" max="12" width="13.33203125" customWidth="1"/>
    <col min="13" max="13" width="11.44140625" bestFit="1" customWidth="1"/>
  </cols>
  <sheetData>
    <row r="2" spans="2:13" x14ac:dyDescent="0.25">
      <c r="B2" s="512" t="s">
        <v>710</v>
      </c>
      <c r="C2" s="512"/>
      <c r="D2" s="512"/>
      <c r="G2" s="513" t="s">
        <v>691</v>
      </c>
      <c r="H2" s="513"/>
      <c r="I2" s="513"/>
      <c r="L2" s="507" t="s">
        <v>776</v>
      </c>
      <c r="M2" s="507"/>
    </row>
    <row r="3" spans="2:13" s="410" customFormat="1" x14ac:dyDescent="0.25">
      <c r="B3" s="444"/>
      <c r="C3" s="444"/>
      <c r="D3" s="444"/>
      <c r="G3" s="445"/>
      <c r="H3" s="445"/>
      <c r="I3" s="445"/>
    </row>
    <row r="4" spans="2:13" x14ac:dyDescent="0.25">
      <c r="B4" s="446" t="s">
        <v>709</v>
      </c>
      <c r="C4" s="446" t="s">
        <v>692</v>
      </c>
      <c r="D4" s="446" t="s">
        <v>693</v>
      </c>
      <c r="G4" s="449" t="s">
        <v>709</v>
      </c>
      <c r="H4" s="449" t="s">
        <v>692</v>
      </c>
      <c r="I4" s="449" t="s">
        <v>693</v>
      </c>
      <c r="L4" s="504" t="s">
        <v>2</v>
      </c>
      <c r="M4" s="504" t="s">
        <v>774</v>
      </c>
    </row>
    <row r="5" spans="2:13" x14ac:dyDescent="0.25">
      <c r="B5" s="491" t="s">
        <v>715</v>
      </c>
      <c r="C5" s="491" t="s">
        <v>694</v>
      </c>
      <c r="D5" s="493">
        <v>9779</v>
      </c>
      <c r="G5" s="491" t="s">
        <v>712</v>
      </c>
      <c r="H5" s="491" t="s">
        <v>701</v>
      </c>
      <c r="I5" s="493">
        <v>5000</v>
      </c>
      <c r="L5" s="503">
        <v>46023</v>
      </c>
      <c r="M5" s="432">
        <f>24124</f>
        <v>24124</v>
      </c>
    </row>
    <row r="6" spans="2:13" x14ac:dyDescent="0.25">
      <c r="B6" s="491" t="s">
        <v>715</v>
      </c>
      <c r="C6" s="491" t="s">
        <v>695</v>
      </c>
      <c r="D6" s="493">
        <v>17000</v>
      </c>
      <c r="G6" s="491" t="s">
        <v>737</v>
      </c>
      <c r="H6" s="491" t="s">
        <v>703</v>
      </c>
      <c r="I6" s="493">
        <v>0</v>
      </c>
      <c r="L6" s="503">
        <v>46054</v>
      </c>
      <c r="M6" s="432">
        <f>'PLANO ORÇAMENTARIO - VIP'!E15</f>
        <v>217067.97</v>
      </c>
    </row>
    <row r="7" spans="2:13" x14ac:dyDescent="0.25">
      <c r="B7" s="491" t="s">
        <v>711</v>
      </c>
      <c r="C7" s="491" t="s">
        <v>696</v>
      </c>
      <c r="D7" s="493">
        <v>1000</v>
      </c>
      <c r="G7" s="491" t="s">
        <v>712</v>
      </c>
      <c r="H7" s="491" t="s">
        <v>25</v>
      </c>
      <c r="I7" s="493">
        <v>3000</v>
      </c>
      <c r="L7" s="503">
        <v>46082</v>
      </c>
      <c r="M7" s="432">
        <f>'PLANO ORÇAMENTARIO - VIP'!G15</f>
        <v>176833.13</v>
      </c>
    </row>
    <row r="8" spans="2:13" x14ac:dyDescent="0.25">
      <c r="B8" s="491" t="s">
        <v>713</v>
      </c>
      <c r="C8" s="491" t="s">
        <v>697</v>
      </c>
      <c r="D8" s="493">
        <v>600</v>
      </c>
      <c r="G8" s="491" t="s">
        <v>713</v>
      </c>
      <c r="H8" s="491" t="s">
        <v>705</v>
      </c>
      <c r="I8" s="492">
        <v>35000</v>
      </c>
      <c r="L8" s="503">
        <v>46113</v>
      </c>
      <c r="M8" s="432">
        <f>'PLANO ORÇAMENTARIO - VIP'!I15</f>
        <v>91175.7</v>
      </c>
    </row>
    <row r="9" spans="2:13" x14ac:dyDescent="0.25">
      <c r="B9" s="491" t="s">
        <v>712</v>
      </c>
      <c r="C9" s="491" t="s">
        <v>698</v>
      </c>
      <c r="D9" s="492">
        <v>2150</v>
      </c>
      <c r="G9" s="491" t="s">
        <v>737</v>
      </c>
      <c r="H9" s="491" t="s">
        <v>706</v>
      </c>
      <c r="I9" s="492">
        <v>0</v>
      </c>
      <c r="L9" s="503">
        <v>46143</v>
      </c>
      <c r="M9" s="432">
        <f>'PLANO ORÇAMENTARIO - VIP'!K15</f>
        <v>48922.879999999997</v>
      </c>
    </row>
    <row r="10" spans="2:13" x14ac:dyDescent="0.25">
      <c r="B10" s="491" t="s">
        <v>712</v>
      </c>
      <c r="C10" s="491" t="s">
        <v>699</v>
      </c>
      <c r="D10" s="492">
        <v>850</v>
      </c>
      <c r="G10" s="491" t="s">
        <v>737</v>
      </c>
      <c r="H10" s="491" t="s">
        <v>707</v>
      </c>
      <c r="I10" s="492">
        <v>0</v>
      </c>
      <c r="L10" s="503">
        <v>46174</v>
      </c>
      <c r="M10" s="432">
        <f>'PLANO ORÇAMENTARIO - VIP'!M15</f>
        <v>21761.119999999999</v>
      </c>
    </row>
    <row r="11" spans="2:13" x14ac:dyDescent="0.25">
      <c r="B11" s="491" t="s">
        <v>712</v>
      </c>
      <c r="C11" s="491" t="s">
        <v>700</v>
      </c>
      <c r="D11" s="492">
        <v>250</v>
      </c>
      <c r="G11" s="450"/>
      <c r="H11" s="450"/>
      <c r="I11" s="451">
        <f>SUM(I5:I10)</f>
        <v>43000</v>
      </c>
      <c r="L11" s="503">
        <v>46204</v>
      </c>
      <c r="M11" s="432">
        <f>'PLANO ORÇAMENTARIO - VIP'!O15</f>
        <v>0</v>
      </c>
    </row>
    <row r="12" spans="2:13" x14ac:dyDescent="0.25">
      <c r="B12" s="491" t="s">
        <v>713</v>
      </c>
      <c r="C12" s="491" t="s">
        <v>702</v>
      </c>
      <c r="D12" s="492">
        <v>450</v>
      </c>
      <c r="L12" s="505" t="s">
        <v>775</v>
      </c>
      <c r="M12" s="506">
        <f>SUM(M5:M11)</f>
        <v>579884.79999999993</v>
      </c>
    </row>
    <row r="13" spans="2:13" x14ac:dyDescent="0.25">
      <c r="B13" s="491" t="s">
        <v>715</v>
      </c>
      <c r="C13" s="491" t="s">
        <v>704</v>
      </c>
      <c r="D13" s="492">
        <v>2000</v>
      </c>
    </row>
    <row r="14" spans="2:13" x14ac:dyDescent="0.25">
      <c r="B14" s="491" t="s">
        <v>714</v>
      </c>
      <c r="C14" s="491" t="s">
        <v>708</v>
      </c>
      <c r="D14" s="492">
        <v>6602</v>
      </c>
    </row>
    <row r="15" spans="2:13" x14ac:dyDescent="0.25">
      <c r="B15" s="447"/>
      <c r="C15" s="447"/>
      <c r="D15" s="448">
        <f>SUM(D5:D14)</f>
        <v>40681</v>
      </c>
    </row>
    <row r="18" spans="2:9" x14ac:dyDescent="0.25">
      <c r="B18" s="514" t="s">
        <v>738</v>
      </c>
      <c r="C18" s="514"/>
      <c r="D18" s="514"/>
      <c r="E18" s="514"/>
    </row>
    <row r="19" spans="2:9" x14ac:dyDescent="0.25">
      <c r="B19" s="496" t="s">
        <v>739</v>
      </c>
      <c r="C19" s="496" t="s">
        <v>740</v>
      </c>
      <c r="D19" s="496" t="s">
        <v>741</v>
      </c>
      <c r="E19" s="496" t="s">
        <v>742</v>
      </c>
    </row>
    <row r="20" spans="2:9" x14ac:dyDescent="0.25">
      <c r="I20" s="419"/>
    </row>
    <row r="21" spans="2:9" x14ac:dyDescent="0.25">
      <c r="H21" s="434"/>
      <c r="I21" s="434"/>
    </row>
    <row r="22" spans="2:9" x14ac:dyDescent="0.25">
      <c r="H22" s="434"/>
      <c r="I22" s="434"/>
    </row>
    <row r="23" spans="2:9" x14ac:dyDescent="0.25">
      <c r="H23" s="434"/>
      <c r="I23" s="434"/>
    </row>
    <row r="24" spans="2:9" x14ac:dyDescent="0.25">
      <c r="H24" s="434"/>
      <c r="I24" s="434"/>
    </row>
    <row r="25" spans="2:9" x14ac:dyDescent="0.25">
      <c r="H25" s="434"/>
      <c r="I25" s="434"/>
    </row>
    <row r="26" spans="2:9" x14ac:dyDescent="0.25">
      <c r="H26" s="434"/>
      <c r="I26" s="434"/>
    </row>
    <row r="27" spans="2:9" x14ac:dyDescent="0.25">
      <c r="H27" s="434"/>
      <c r="I27" s="434"/>
    </row>
    <row r="28" spans="2:9" x14ac:dyDescent="0.25">
      <c r="H28" s="434"/>
      <c r="I28" s="434"/>
    </row>
    <row r="29" spans="2:9" x14ac:dyDescent="0.25">
      <c r="H29" s="434"/>
      <c r="I29" s="434"/>
    </row>
    <row r="30" spans="2:9" x14ac:dyDescent="0.25">
      <c r="H30" s="434"/>
      <c r="I30" s="434"/>
    </row>
    <row r="31" spans="2:9" x14ac:dyDescent="0.25">
      <c r="H31" s="434"/>
      <c r="I31" s="434"/>
    </row>
    <row r="32" spans="2:9" x14ac:dyDescent="0.25">
      <c r="H32" s="434"/>
      <c r="I32" s="434"/>
    </row>
    <row r="33" spans="8:9" x14ac:dyDescent="0.25">
      <c r="H33" s="434"/>
      <c r="I33" s="434"/>
    </row>
    <row r="34" spans="8:9" x14ac:dyDescent="0.25">
      <c r="H34" s="434"/>
      <c r="I34" s="434"/>
    </row>
    <row r="35" spans="8:9" x14ac:dyDescent="0.25">
      <c r="H35" s="434"/>
      <c r="I35" s="434"/>
    </row>
    <row r="36" spans="8:9" x14ac:dyDescent="0.25">
      <c r="H36" s="434"/>
      <c r="I36" s="434"/>
    </row>
    <row r="37" spans="8:9" x14ac:dyDescent="0.25">
      <c r="H37" s="434"/>
      <c r="I37" s="434"/>
    </row>
    <row r="38" spans="8:9" x14ac:dyDescent="0.25">
      <c r="H38" s="434"/>
      <c r="I38" s="434"/>
    </row>
    <row r="39" spans="8:9" x14ac:dyDescent="0.25">
      <c r="H39" s="434"/>
      <c r="I39" s="434"/>
    </row>
    <row r="40" spans="8:9" x14ac:dyDescent="0.25">
      <c r="H40" s="434"/>
      <c r="I40" s="434"/>
    </row>
    <row r="41" spans="8:9" x14ac:dyDescent="0.25">
      <c r="H41" s="434"/>
      <c r="I41" s="434"/>
    </row>
    <row r="42" spans="8:9" x14ac:dyDescent="0.25">
      <c r="H42" s="434"/>
      <c r="I42" s="434"/>
    </row>
    <row r="43" spans="8:9" x14ac:dyDescent="0.25">
      <c r="H43" s="434"/>
      <c r="I43" s="434"/>
    </row>
    <row r="44" spans="8:9" x14ac:dyDescent="0.25">
      <c r="H44" s="434"/>
      <c r="I44" s="434"/>
    </row>
  </sheetData>
  <mergeCells count="4">
    <mergeCell ref="B2:D2"/>
    <mergeCell ref="G2:I2"/>
    <mergeCell ref="B18:E18"/>
    <mergeCell ref="L2:M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8E92-A316-46C7-ACA6-CF6B93889AF3}">
  <sheetPr>
    <tabColor rgb="FF92D050"/>
  </sheetPr>
  <dimension ref="B5:N11"/>
  <sheetViews>
    <sheetView showGridLines="0" workbookViewId="0">
      <selection activeCell="F11" sqref="F11"/>
    </sheetView>
  </sheetViews>
  <sheetFormatPr defaultRowHeight="13.2" x14ac:dyDescent="0.25"/>
  <cols>
    <col min="2" max="2" width="14.77734375" bestFit="1" customWidth="1"/>
    <col min="3" max="3" width="15.6640625" bestFit="1" customWidth="1"/>
    <col min="4" max="4" width="14.44140625" bestFit="1" customWidth="1"/>
    <col min="5" max="5" width="15.6640625" bestFit="1" customWidth="1"/>
    <col min="6" max="6" width="15.5546875" bestFit="1" customWidth="1"/>
    <col min="10" max="14" width="8.33203125" bestFit="1" customWidth="1"/>
  </cols>
  <sheetData>
    <row r="5" spans="2:14" x14ac:dyDescent="0.25">
      <c r="B5" s="515" t="s">
        <v>689</v>
      </c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</row>
    <row r="7" spans="2:14" ht="13.8" x14ac:dyDescent="0.25">
      <c r="B7" s="436" t="s">
        <v>686</v>
      </c>
      <c r="C7" s="437">
        <v>46023</v>
      </c>
      <c r="D7" s="437">
        <v>46054</v>
      </c>
      <c r="E7" s="437">
        <v>46082</v>
      </c>
      <c r="F7" s="437">
        <v>46113</v>
      </c>
      <c r="G7" s="437">
        <v>46143</v>
      </c>
      <c r="H7" s="437">
        <v>46174</v>
      </c>
      <c r="I7" s="437">
        <v>46204</v>
      </c>
      <c r="J7" s="437">
        <v>46235</v>
      </c>
      <c r="K7" s="437">
        <v>46266</v>
      </c>
      <c r="L7" s="437">
        <v>46296</v>
      </c>
      <c r="M7" s="437">
        <v>46327</v>
      </c>
      <c r="N7" s="437">
        <v>46357</v>
      </c>
    </row>
    <row r="8" spans="2:14" ht="13.8" x14ac:dyDescent="0.25">
      <c r="B8" s="438" t="s">
        <v>687</v>
      </c>
      <c r="C8" s="440">
        <f>'PLANO ORÇAMENTARIO - VIP'!D24</f>
        <v>-4409.7800000000279</v>
      </c>
      <c r="D8" s="440">
        <f>'PLANO ORÇAMENTARIO - VIP'!F24</f>
        <v>-26198.189999999944</v>
      </c>
      <c r="E8" s="440">
        <f>'PLANO ORÇAMENTARIO - VIP'!H24</f>
        <v>-18203.489999999991</v>
      </c>
      <c r="F8" s="440">
        <f>'PLANO ORÇAMENTARIO - VIP'!J24</f>
        <v>136391.74</v>
      </c>
      <c r="G8" s="440">
        <f>'VIP MX'!G273</f>
        <v>0</v>
      </c>
      <c r="H8" s="440">
        <f>'VIP MX'!H273</f>
        <v>0</v>
      </c>
      <c r="I8" s="440">
        <f>'VIP MX'!I273</f>
        <v>0</v>
      </c>
      <c r="J8" s="440">
        <f>'VIP MX'!J273</f>
        <v>0</v>
      </c>
      <c r="K8" s="440">
        <f>'VIP MX'!K273</f>
        <v>0</v>
      </c>
      <c r="L8" s="440">
        <f>'VIP MX'!L273</f>
        <v>0</v>
      </c>
      <c r="M8" s="440">
        <f>'VIP MX'!M273</f>
        <v>0</v>
      </c>
      <c r="N8" s="440">
        <f>'VIP MX'!N273</f>
        <v>0</v>
      </c>
    </row>
    <row r="9" spans="2:14" ht="13.8" x14ac:dyDescent="0.25">
      <c r="B9" s="438" t="s">
        <v>688</v>
      </c>
      <c r="C9" s="435">
        <f>'PLANO ORÇAMENTARIO - VIDAL'!D24</f>
        <v>125409.35000000002</v>
      </c>
      <c r="D9" s="435">
        <f>'PLANO ORÇAMENTARIO - VIDAL'!F24</f>
        <v>80361.999999999971</v>
      </c>
      <c r="E9" s="435">
        <f>'PLANO ORÇAMENTARIO - VIDAL'!H24</f>
        <v>127304.9</v>
      </c>
      <c r="F9" s="435">
        <f>'PLANO ORÇAMENTARIO - VIDAL'!J24</f>
        <v>115201.03000000003</v>
      </c>
      <c r="G9" s="435">
        <f>VIDAL!G275</f>
        <v>0</v>
      </c>
      <c r="H9" s="435">
        <f>VIDAL!H275</f>
        <v>0</v>
      </c>
      <c r="I9" s="435">
        <f>VIDAL!I275</f>
        <v>0</v>
      </c>
      <c r="J9" s="435">
        <f>VIDAL!J275</f>
        <v>0</v>
      </c>
      <c r="K9" s="435">
        <f>VIDAL!K275</f>
        <v>0</v>
      </c>
      <c r="L9" s="435">
        <f>VIDAL!L275</f>
        <v>0</v>
      </c>
      <c r="M9" s="435">
        <f>VIDAL!M275</f>
        <v>0</v>
      </c>
      <c r="N9" s="435">
        <f>VIDAL!N275</f>
        <v>0</v>
      </c>
    </row>
    <row r="10" spans="2:14" ht="13.8" x14ac:dyDescent="0.25">
      <c r="B10" s="438" t="s">
        <v>652</v>
      </c>
      <c r="C10" s="435">
        <f>'PLANO ORÇAMENTARIO - V3'!D22</f>
        <v>2128</v>
      </c>
      <c r="D10" s="435">
        <f>'PLANO ORÇAMENTARIO - V3'!F22</f>
        <v>2771.72</v>
      </c>
      <c r="E10" s="435">
        <f>'PLANO ORÇAMENTARIO - V3'!H22</f>
        <v>2707.46</v>
      </c>
      <c r="F10" s="435">
        <f>'PLANO ORÇAMENTARIO - V3'!I22</f>
        <v>2739.1</v>
      </c>
      <c r="G10" s="435">
        <f>'V3'!G275</f>
        <v>0</v>
      </c>
      <c r="H10" s="435">
        <f>'V3'!H275</f>
        <v>0</v>
      </c>
      <c r="I10" s="435">
        <f>'V3'!I275</f>
        <v>0</v>
      </c>
      <c r="J10" s="435">
        <f>'V3'!J275</f>
        <v>0</v>
      </c>
      <c r="K10" s="435">
        <f>'V3'!K275</f>
        <v>0</v>
      </c>
      <c r="L10" s="435">
        <f>'V3'!L275</f>
        <v>0</v>
      </c>
      <c r="M10" s="435">
        <f>'V3'!M275</f>
        <v>0</v>
      </c>
      <c r="N10" s="435">
        <f>'V3'!N275</f>
        <v>0</v>
      </c>
    </row>
    <row r="11" spans="2:14" ht="13.8" x14ac:dyDescent="0.25">
      <c r="B11" s="438" t="s">
        <v>667</v>
      </c>
      <c r="C11" s="439">
        <f>C8+C9+C10</f>
        <v>123127.56999999999</v>
      </c>
      <c r="D11" s="439">
        <f t="shared" ref="D11:N11" si="0">D8+D9+D10</f>
        <v>56935.530000000028</v>
      </c>
      <c r="E11" s="439">
        <f t="shared" si="0"/>
        <v>111808.87000000001</v>
      </c>
      <c r="F11" s="439">
        <f t="shared" si="0"/>
        <v>254331.87000000002</v>
      </c>
      <c r="G11" s="439">
        <f t="shared" si="0"/>
        <v>0</v>
      </c>
      <c r="H11" s="439">
        <f t="shared" si="0"/>
        <v>0</v>
      </c>
      <c r="I11" s="439">
        <f t="shared" si="0"/>
        <v>0</v>
      </c>
      <c r="J11" s="439">
        <f t="shared" si="0"/>
        <v>0</v>
      </c>
      <c r="K11" s="439">
        <f t="shared" si="0"/>
        <v>0</v>
      </c>
      <c r="L11" s="439">
        <f t="shared" si="0"/>
        <v>0</v>
      </c>
      <c r="M11" s="439">
        <f t="shared" si="0"/>
        <v>0</v>
      </c>
      <c r="N11" s="439">
        <f t="shared" si="0"/>
        <v>0</v>
      </c>
    </row>
  </sheetData>
  <mergeCells count="1">
    <mergeCell ref="B5:N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6632-B085-46E3-9AFF-3A78376625A8}">
  <sheetPr>
    <tabColor theme="9" tint="-0.249977111117893"/>
  </sheetPr>
  <dimension ref="A1:Z41"/>
  <sheetViews>
    <sheetView workbookViewId="0">
      <selection activeCell="K24" sqref="K24"/>
    </sheetView>
  </sheetViews>
  <sheetFormatPr defaultRowHeight="13.2" outlineLevelRow="1" outlineLevelCol="1" x14ac:dyDescent="0.25"/>
  <cols>
    <col min="1" max="1" width="30.6640625" bestFit="1" customWidth="1"/>
    <col min="2" max="2" width="1.33203125" customWidth="1"/>
    <col min="3" max="4" width="13.21875" customWidth="1" outlineLevel="1"/>
    <col min="5" max="8" width="13" customWidth="1" outlineLevel="1"/>
    <col min="9" max="10" width="12.88671875" customWidth="1" outlineLevel="1"/>
    <col min="11" max="12" width="12.88671875" customWidth="1"/>
    <col min="13" max="16" width="13" customWidth="1"/>
    <col min="17" max="18" width="15.5546875" customWidth="1"/>
    <col min="19" max="20" width="13" customWidth="1"/>
    <col min="21" max="22" width="12.77734375" customWidth="1"/>
    <col min="23" max="26" width="13" customWidth="1"/>
  </cols>
  <sheetData>
    <row r="1" spans="1:26" ht="13.8" x14ac:dyDescent="0.3">
      <c r="A1" s="407" t="s">
        <v>650</v>
      </c>
      <c r="C1" s="204" t="s">
        <v>690</v>
      </c>
      <c r="D1" s="204" t="s">
        <v>55</v>
      </c>
      <c r="E1" s="204" t="s">
        <v>690</v>
      </c>
      <c r="F1" s="204" t="s">
        <v>55</v>
      </c>
      <c r="G1" s="204" t="s">
        <v>690</v>
      </c>
      <c r="H1" s="204" t="s">
        <v>55</v>
      </c>
      <c r="I1" s="204" t="s">
        <v>690</v>
      </c>
      <c r="J1" s="204" t="s">
        <v>55</v>
      </c>
      <c r="K1" s="204" t="s">
        <v>690</v>
      </c>
      <c r="L1" s="204" t="s">
        <v>55</v>
      </c>
      <c r="M1" s="204" t="s">
        <v>690</v>
      </c>
      <c r="N1" s="204" t="s">
        <v>55</v>
      </c>
      <c r="O1" s="204" t="s">
        <v>690</v>
      </c>
      <c r="P1" s="204" t="s">
        <v>55</v>
      </c>
      <c r="Q1" s="204" t="s">
        <v>690</v>
      </c>
      <c r="R1" s="204" t="s">
        <v>55</v>
      </c>
      <c r="S1" s="204" t="s">
        <v>690</v>
      </c>
      <c r="T1" s="204" t="s">
        <v>55</v>
      </c>
      <c r="U1" s="204" t="s">
        <v>690</v>
      </c>
      <c r="V1" s="204" t="s">
        <v>55</v>
      </c>
      <c r="W1" s="204" t="s">
        <v>690</v>
      </c>
      <c r="X1" s="204" t="s">
        <v>55</v>
      </c>
      <c r="Y1" s="204" t="s">
        <v>690</v>
      </c>
      <c r="Z1" s="204" t="s">
        <v>55</v>
      </c>
    </row>
    <row r="2" spans="1:26" ht="13.8" x14ac:dyDescent="0.3">
      <c r="C2" s="408">
        <v>46023</v>
      </c>
      <c r="D2" s="408">
        <v>46023</v>
      </c>
      <c r="E2" s="409">
        <v>46054</v>
      </c>
      <c r="F2" s="409">
        <v>46054</v>
      </c>
      <c r="G2" s="408">
        <v>46082</v>
      </c>
      <c r="H2" s="408">
        <v>46082</v>
      </c>
      <c r="I2" s="409">
        <v>46113</v>
      </c>
      <c r="J2" s="409">
        <v>46113</v>
      </c>
      <c r="K2" s="408">
        <v>46143</v>
      </c>
      <c r="L2" s="408">
        <v>46143</v>
      </c>
      <c r="M2" s="409">
        <v>46174</v>
      </c>
      <c r="N2" s="409">
        <v>46174</v>
      </c>
      <c r="O2" s="408">
        <v>46204</v>
      </c>
      <c r="P2" s="408">
        <v>46204</v>
      </c>
      <c r="Q2" s="409">
        <v>46235</v>
      </c>
      <c r="R2" s="409">
        <v>46235</v>
      </c>
      <c r="S2" s="408">
        <v>46266</v>
      </c>
      <c r="T2" s="408">
        <v>46266</v>
      </c>
      <c r="U2" s="409">
        <v>46296</v>
      </c>
      <c r="V2" s="409">
        <v>46296</v>
      </c>
      <c r="W2" s="408">
        <v>46327</v>
      </c>
      <c r="X2" s="408">
        <v>46327</v>
      </c>
      <c r="Y2" s="409">
        <v>46357</v>
      </c>
      <c r="Z2" s="409">
        <v>46357</v>
      </c>
    </row>
    <row r="3" spans="1:26" ht="13.8" x14ac:dyDescent="0.3">
      <c r="A3" s="411" t="s">
        <v>5</v>
      </c>
      <c r="C3" s="412">
        <f t="shared" ref="C3:Z3" si="0">SUM(C4:C7)</f>
        <v>266500</v>
      </c>
      <c r="D3" s="412">
        <f t="shared" si="0"/>
        <v>435355.47</v>
      </c>
      <c r="E3" s="412">
        <f t="shared" si="0"/>
        <v>266500</v>
      </c>
      <c r="F3" s="412">
        <f t="shared" si="0"/>
        <v>363193.79000000004</v>
      </c>
      <c r="G3" s="412">
        <f t="shared" si="0"/>
        <v>263000</v>
      </c>
      <c r="H3" s="412">
        <f t="shared" si="0"/>
        <v>446257.54000000004</v>
      </c>
      <c r="I3" s="412">
        <f t="shared" si="0"/>
        <v>293150</v>
      </c>
      <c r="J3" s="412">
        <f t="shared" si="0"/>
        <v>545913.32999999996</v>
      </c>
      <c r="K3" s="412">
        <f t="shared" si="0"/>
        <v>293150</v>
      </c>
      <c r="L3" s="412">
        <f t="shared" si="0"/>
        <v>0</v>
      </c>
      <c r="M3" s="412">
        <f t="shared" si="0"/>
        <v>293150</v>
      </c>
      <c r="N3" s="412">
        <f t="shared" si="0"/>
        <v>0</v>
      </c>
      <c r="O3" s="412">
        <f t="shared" si="0"/>
        <v>0</v>
      </c>
      <c r="P3" s="412">
        <f t="shared" si="0"/>
        <v>0</v>
      </c>
      <c r="Q3" s="412">
        <f t="shared" si="0"/>
        <v>0</v>
      </c>
      <c r="R3" s="412">
        <f t="shared" si="0"/>
        <v>0</v>
      </c>
      <c r="S3" s="412">
        <f t="shared" si="0"/>
        <v>0</v>
      </c>
      <c r="T3" s="412">
        <f t="shared" si="0"/>
        <v>0</v>
      </c>
      <c r="U3" s="412">
        <f t="shared" si="0"/>
        <v>0</v>
      </c>
      <c r="V3" s="412">
        <f t="shared" si="0"/>
        <v>0</v>
      </c>
      <c r="W3" s="412">
        <f t="shared" si="0"/>
        <v>0</v>
      </c>
      <c r="X3" s="412">
        <f t="shared" si="0"/>
        <v>0</v>
      </c>
      <c r="Y3" s="412">
        <f t="shared" si="0"/>
        <v>0</v>
      </c>
      <c r="Z3" s="412">
        <f t="shared" si="0"/>
        <v>0</v>
      </c>
    </row>
    <row r="4" spans="1:26" ht="13.8" outlineLevel="1" x14ac:dyDescent="0.3">
      <c r="A4" s="32" t="s">
        <v>654</v>
      </c>
      <c r="C4" s="432">
        <v>260000</v>
      </c>
      <c r="D4" s="432">
        <v>413271.86</v>
      </c>
      <c r="E4" s="432">
        <v>260000</v>
      </c>
      <c r="F4" s="432">
        <v>347450.9</v>
      </c>
      <c r="G4" s="432">
        <v>260000</v>
      </c>
      <c r="H4" s="432">
        <v>412851.33</v>
      </c>
      <c r="I4" s="432">
        <v>286000</v>
      </c>
      <c r="J4" s="432">
        <f>507580.01</f>
        <v>507580.01</v>
      </c>
      <c r="K4" s="432">
        <v>286000</v>
      </c>
      <c r="L4" s="432"/>
      <c r="M4" s="432">
        <v>286000</v>
      </c>
      <c r="N4" s="432"/>
      <c r="O4" s="432"/>
      <c r="P4" s="432"/>
      <c r="Q4" s="432"/>
      <c r="R4" s="432"/>
      <c r="S4" s="432"/>
      <c r="T4" s="432"/>
      <c r="U4" s="432"/>
      <c r="V4" s="432"/>
      <c r="W4" s="432"/>
      <c r="X4" s="432"/>
      <c r="Y4" s="432"/>
      <c r="Z4" s="432"/>
    </row>
    <row r="5" spans="1:26" ht="13.8" outlineLevel="1" x14ac:dyDescent="0.3">
      <c r="A5" s="32" t="s">
        <v>657</v>
      </c>
      <c r="C5" s="432">
        <v>3500</v>
      </c>
      <c r="D5" s="432">
        <v>10223.040000000001</v>
      </c>
      <c r="E5" s="432">
        <v>3500</v>
      </c>
      <c r="F5" s="432">
        <v>0</v>
      </c>
      <c r="G5" s="432">
        <v>0</v>
      </c>
      <c r="H5" s="432"/>
      <c r="I5" s="432">
        <v>3850</v>
      </c>
      <c r="J5" s="432"/>
      <c r="K5" s="432">
        <v>3850</v>
      </c>
      <c r="L5" s="432"/>
      <c r="M5" s="432">
        <v>3850</v>
      </c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  <c r="Z5" s="432"/>
    </row>
    <row r="6" spans="1:26" ht="13.8" outlineLevel="1" x14ac:dyDescent="0.3">
      <c r="A6" s="32" t="s">
        <v>658</v>
      </c>
      <c r="C6" s="432">
        <v>3000</v>
      </c>
      <c r="D6" s="432">
        <v>11860.57</v>
      </c>
      <c r="E6" s="432">
        <v>3000</v>
      </c>
      <c r="F6" s="432">
        <v>15742.89</v>
      </c>
      <c r="G6" s="432">
        <v>3000</v>
      </c>
      <c r="H6" s="432">
        <v>33406.21</v>
      </c>
      <c r="I6" s="432">
        <v>3300</v>
      </c>
      <c r="J6" s="432">
        <v>38333.32</v>
      </c>
      <c r="K6" s="432">
        <v>3300</v>
      </c>
      <c r="L6" s="432"/>
      <c r="M6" s="432">
        <v>3300</v>
      </c>
      <c r="N6" s="432"/>
      <c r="O6" s="432"/>
      <c r="P6" s="432"/>
      <c r="Q6" s="432"/>
      <c r="R6" s="432"/>
      <c r="S6" s="432"/>
      <c r="T6" s="432"/>
      <c r="U6" s="432"/>
      <c r="V6" s="432"/>
      <c r="W6" s="432"/>
      <c r="X6" s="432"/>
      <c r="Y6" s="432"/>
      <c r="Z6" s="432"/>
    </row>
    <row r="7" spans="1:26" ht="13.8" outlineLevel="1" x14ac:dyDescent="0.3">
      <c r="A7" s="32" t="s">
        <v>660</v>
      </c>
      <c r="C7" s="432">
        <v>0</v>
      </c>
      <c r="D7" s="432">
        <v>0</v>
      </c>
      <c r="E7" s="432">
        <v>0</v>
      </c>
      <c r="F7" s="432"/>
      <c r="G7" s="432">
        <v>0</v>
      </c>
      <c r="H7" s="432"/>
      <c r="I7" s="432">
        <f t="shared" ref="I7" si="1">G7*0.1+G7</f>
        <v>0</v>
      </c>
      <c r="J7" s="432"/>
      <c r="K7" s="432">
        <v>0</v>
      </c>
      <c r="L7" s="432"/>
      <c r="M7" s="432">
        <v>0</v>
      </c>
      <c r="N7" s="432"/>
      <c r="O7" s="432"/>
      <c r="P7" s="432"/>
      <c r="Q7" s="432"/>
      <c r="R7" s="432"/>
      <c r="S7" s="432"/>
      <c r="T7" s="432"/>
      <c r="U7" s="432"/>
      <c r="V7" s="432"/>
      <c r="W7" s="432"/>
      <c r="X7" s="432"/>
      <c r="Y7" s="432"/>
      <c r="Z7" s="432"/>
    </row>
    <row r="8" spans="1:26" ht="13.8" x14ac:dyDescent="0.3">
      <c r="A8" s="411"/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413"/>
      <c r="X8" s="413"/>
      <c r="Y8" s="413"/>
      <c r="Z8" s="413"/>
    </row>
    <row r="9" spans="1:26" ht="14.4" thickBot="1" x14ac:dyDescent="0.35">
      <c r="C9" s="31"/>
      <c r="D9" s="31"/>
      <c r="E9" s="207"/>
      <c r="F9" s="207"/>
      <c r="G9" s="33"/>
      <c r="H9" s="33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3.8" x14ac:dyDescent="0.3">
      <c r="A10" s="414" t="s">
        <v>58</v>
      </c>
      <c r="C10" s="443">
        <f>SUM(C11:C23)</f>
        <v>395348.93</v>
      </c>
      <c r="D10" s="443">
        <f t="shared" ref="D10:Z10" si="2">SUM(D11:D23)</f>
        <v>439765.25</v>
      </c>
      <c r="E10" s="443">
        <f t="shared" si="2"/>
        <v>343180.70999999996</v>
      </c>
      <c r="F10" s="443">
        <f t="shared" si="2"/>
        <v>389391.98</v>
      </c>
      <c r="G10" s="443">
        <f t="shared" si="2"/>
        <v>301860.87</v>
      </c>
      <c r="H10" s="443">
        <f t="shared" si="2"/>
        <v>464461.03</v>
      </c>
      <c r="I10" s="443">
        <f t="shared" si="2"/>
        <v>228299.94</v>
      </c>
      <c r="J10" s="443">
        <f t="shared" si="2"/>
        <v>409521.58999999997</v>
      </c>
      <c r="K10" s="443">
        <f t="shared" si="2"/>
        <v>186047.12</v>
      </c>
      <c r="L10" s="443">
        <f t="shared" si="2"/>
        <v>0</v>
      </c>
      <c r="M10" s="443">
        <f t="shared" si="2"/>
        <v>158885.35999999999</v>
      </c>
      <c r="N10" s="443">
        <f t="shared" si="2"/>
        <v>0</v>
      </c>
      <c r="O10" s="443">
        <f t="shared" si="2"/>
        <v>0</v>
      </c>
      <c r="P10" s="443">
        <f t="shared" si="2"/>
        <v>0</v>
      </c>
      <c r="Q10" s="443">
        <f t="shared" si="2"/>
        <v>0</v>
      </c>
      <c r="R10" s="443">
        <f t="shared" si="2"/>
        <v>0</v>
      </c>
      <c r="S10" s="443">
        <f t="shared" si="2"/>
        <v>0</v>
      </c>
      <c r="T10" s="443">
        <f t="shared" si="2"/>
        <v>0</v>
      </c>
      <c r="U10" s="443">
        <f t="shared" si="2"/>
        <v>0</v>
      </c>
      <c r="V10" s="443">
        <f t="shared" si="2"/>
        <v>0</v>
      </c>
      <c r="W10" s="443">
        <f t="shared" si="2"/>
        <v>0</v>
      </c>
      <c r="X10" s="443">
        <f t="shared" si="2"/>
        <v>0</v>
      </c>
      <c r="Y10" s="443">
        <f t="shared" si="2"/>
        <v>0</v>
      </c>
      <c r="Z10" s="441">
        <f t="shared" si="2"/>
        <v>0</v>
      </c>
    </row>
    <row r="11" spans="1:26" ht="13.8" x14ac:dyDescent="0.3">
      <c r="A11" s="415" t="s">
        <v>59</v>
      </c>
      <c r="C11" s="442">
        <f>1788.08+2195.77+2244.39</f>
        <v>6228.24</v>
      </c>
      <c r="D11" s="442">
        <f>1788.08+2195.77+2244.39+547.99+877.48</f>
        <v>7653.7099999999991</v>
      </c>
      <c r="E11" s="442">
        <f>1899+2240.5+1647.2+467.48+791.56</f>
        <v>7045.74</v>
      </c>
      <c r="F11" s="442">
        <f>1788.08+2195.77+1690.53+845.22+499.17</f>
        <v>7018.77</v>
      </c>
      <c r="G11" s="442">
        <f>1899+2240.5+1647.2+467.48+791.56</f>
        <v>7045.74</v>
      </c>
      <c r="H11" s="442">
        <f>2156.17+2195.77+1690.53+531.53+881.63</f>
        <v>7455.63</v>
      </c>
      <c r="I11" s="442">
        <f>1899+2240.5+1647.2+467.48+791.56</f>
        <v>7045.74</v>
      </c>
      <c r="J11" s="442">
        <f>2156.17+3181.6+1690.53+961.58+595.16</f>
        <v>8585.0400000000009</v>
      </c>
      <c r="K11" s="442">
        <f>1899+2240.5+1647.2+467.48+791.56</f>
        <v>7045.74</v>
      </c>
      <c r="L11" s="442"/>
      <c r="M11" s="442">
        <f>1899+2240.5+1647.2+467.48+791.56</f>
        <v>7045.74</v>
      </c>
      <c r="N11" s="442"/>
      <c r="O11" s="442"/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</row>
    <row r="12" spans="1:26" ht="13.8" x14ac:dyDescent="0.3">
      <c r="A12" s="416" t="s">
        <v>661</v>
      </c>
      <c r="C12" s="442">
        <f>1000+600</f>
        <v>1600</v>
      </c>
      <c r="D12" s="442">
        <f>1000+600</f>
        <v>1600</v>
      </c>
      <c r="E12" s="442">
        <f>1000+600</f>
        <v>1600</v>
      </c>
      <c r="F12" s="442">
        <f>1000+1140</f>
        <v>2140</v>
      </c>
      <c r="G12" s="442">
        <f>1000+600</f>
        <v>1600</v>
      </c>
      <c r="H12" s="442">
        <f>1000+600</f>
        <v>1600</v>
      </c>
      <c r="I12" s="442">
        <f>1000+600</f>
        <v>1600</v>
      </c>
      <c r="J12" s="442">
        <f>1000+640</f>
        <v>1640</v>
      </c>
      <c r="K12" s="442">
        <f>1000+600</f>
        <v>1600</v>
      </c>
      <c r="L12" s="442"/>
      <c r="M12" s="442">
        <f>1000+600</f>
        <v>1600</v>
      </c>
      <c r="N12" s="442"/>
      <c r="O12" s="442"/>
      <c r="P12" s="442"/>
      <c r="Q12" s="442"/>
      <c r="R12" s="442"/>
      <c r="S12" s="442"/>
      <c r="T12" s="442"/>
      <c r="U12" s="442"/>
      <c r="V12" s="442"/>
      <c r="W12" s="442"/>
      <c r="X12" s="442"/>
      <c r="Y12" s="442"/>
      <c r="Z12" s="442"/>
    </row>
    <row r="13" spans="1:26" ht="13.8" x14ac:dyDescent="0.3">
      <c r="A13" s="416" t="s">
        <v>60</v>
      </c>
      <c r="C13" s="442">
        <v>0</v>
      </c>
      <c r="D13" s="442">
        <v>0</v>
      </c>
      <c r="E13" s="442">
        <v>0</v>
      </c>
      <c r="F13" s="442">
        <v>0</v>
      </c>
      <c r="G13" s="442">
        <v>0</v>
      </c>
      <c r="H13" s="442">
        <v>0</v>
      </c>
      <c r="I13" s="442">
        <v>0</v>
      </c>
      <c r="J13" s="442">
        <v>0</v>
      </c>
      <c r="K13" s="442">
        <v>0</v>
      </c>
      <c r="L13" s="442">
        <v>0</v>
      </c>
      <c r="M13" s="442">
        <v>0</v>
      </c>
      <c r="N13" s="442">
        <v>0</v>
      </c>
      <c r="O13" s="442"/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2"/>
    </row>
    <row r="14" spans="1:26" ht="13.8" x14ac:dyDescent="0.3">
      <c r="A14" s="416" t="s">
        <v>61</v>
      </c>
      <c r="C14" s="442">
        <v>250</v>
      </c>
      <c r="D14" s="442">
        <v>250</v>
      </c>
      <c r="E14" s="442">
        <v>250</v>
      </c>
      <c r="F14" s="442">
        <v>250</v>
      </c>
      <c r="G14" s="442">
        <v>250</v>
      </c>
      <c r="H14" s="442">
        <v>250</v>
      </c>
      <c r="I14" s="442">
        <v>250</v>
      </c>
      <c r="J14" s="442">
        <v>250</v>
      </c>
      <c r="K14" s="442">
        <v>250</v>
      </c>
      <c r="L14" s="442"/>
      <c r="M14" s="442">
        <v>250</v>
      </c>
      <c r="N14" s="442"/>
      <c r="O14" s="442"/>
      <c r="P14" s="442"/>
      <c r="Q14" s="442"/>
      <c r="R14" s="442"/>
      <c r="S14" s="442"/>
      <c r="T14" s="442"/>
      <c r="U14" s="442"/>
      <c r="V14" s="442"/>
      <c r="W14" s="442"/>
      <c r="X14" s="442"/>
      <c r="Y14" s="442"/>
      <c r="Z14" s="442"/>
    </row>
    <row r="15" spans="1:26" ht="13.8" x14ac:dyDescent="0.3">
      <c r="A15" s="416" t="s">
        <v>662</v>
      </c>
      <c r="C15" s="442">
        <f>239024.48+24129.21</f>
        <v>263153.69</v>
      </c>
      <c r="D15" s="442">
        <v>252772.95</v>
      </c>
      <c r="E15" s="442">
        <v>217067.97</v>
      </c>
      <c r="F15" s="442">
        <v>228525.11</v>
      </c>
      <c r="G15" s="442">
        <v>176833.13</v>
      </c>
      <c r="H15" s="442">
        <v>268703.5</v>
      </c>
      <c r="I15" s="442">
        <v>91175.7</v>
      </c>
      <c r="J15" s="442">
        <v>223982.07</v>
      </c>
      <c r="K15" s="442">
        <v>48922.879999999997</v>
      </c>
      <c r="L15" s="442"/>
      <c r="M15" s="442">
        <v>21761.119999999999</v>
      </c>
      <c r="N15" s="442"/>
      <c r="O15" s="442"/>
      <c r="P15" s="442"/>
      <c r="Q15" s="442"/>
      <c r="R15" s="442"/>
      <c r="S15" s="442"/>
      <c r="T15" s="442"/>
      <c r="U15" s="442"/>
      <c r="V15" s="442"/>
      <c r="W15" s="442"/>
      <c r="X15" s="442"/>
      <c r="Y15" s="442"/>
      <c r="Z15" s="442"/>
    </row>
    <row r="16" spans="1:26" ht="13.8" x14ac:dyDescent="0.3">
      <c r="A16" s="416" t="s">
        <v>62</v>
      </c>
      <c r="C16" s="442">
        <v>2000</v>
      </c>
      <c r="D16" s="442">
        <f>657.97+697.86</f>
        <v>1355.83</v>
      </c>
      <c r="E16" s="442">
        <v>2000</v>
      </c>
      <c r="F16" s="442">
        <v>0</v>
      </c>
      <c r="G16" s="442">
        <v>2000</v>
      </c>
      <c r="H16" s="442">
        <f>772.85+481.63+508.39</f>
        <v>1762.87</v>
      </c>
      <c r="I16" s="442">
        <v>2000</v>
      </c>
      <c r="J16" s="442">
        <f>1281.55</f>
        <v>1281.55</v>
      </c>
      <c r="K16" s="442">
        <v>2000</v>
      </c>
      <c r="L16" s="442"/>
      <c r="M16" s="442">
        <v>2000</v>
      </c>
      <c r="N16" s="442"/>
      <c r="O16" s="442"/>
      <c r="P16" s="442"/>
      <c r="Q16" s="442"/>
      <c r="R16" s="442"/>
      <c r="S16" s="442"/>
      <c r="T16" s="442"/>
      <c r="U16" s="442"/>
      <c r="V16" s="442"/>
      <c r="W16" s="442"/>
      <c r="X16" s="442"/>
      <c r="Y16" s="442"/>
      <c r="Z16" s="442"/>
    </row>
    <row r="17" spans="1:26" ht="13.8" x14ac:dyDescent="0.3">
      <c r="A17" s="416" t="s">
        <v>63</v>
      </c>
      <c r="C17" s="442">
        <v>3000</v>
      </c>
      <c r="D17" s="442">
        <v>0</v>
      </c>
      <c r="E17" s="442">
        <v>3000</v>
      </c>
      <c r="F17" s="442">
        <v>0</v>
      </c>
      <c r="G17" s="442">
        <v>3000</v>
      </c>
      <c r="H17" s="442">
        <v>0</v>
      </c>
      <c r="I17" s="442">
        <v>3250</v>
      </c>
      <c r="J17" s="442"/>
      <c r="K17" s="442">
        <v>3250</v>
      </c>
      <c r="L17" s="442"/>
      <c r="M17" s="442">
        <v>3250</v>
      </c>
      <c r="N17" s="442"/>
      <c r="O17" s="442"/>
      <c r="P17" s="442"/>
      <c r="Q17" s="442"/>
      <c r="R17" s="442"/>
      <c r="S17" s="442"/>
      <c r="T17" s="442"/>
      <c r="U17" s="442"/>
      <c r="V17" s="442"/>
      <c r="W17" s="442"/>
      <c r="X17" s="442"/>
      <c r="Y17" s="442"/>
      <c r="Z17" s="442"/>
    </row>
    <row r="18" spans="1:26" ht="13.8" x14ac:dyDescent="0.3">
      <c r="A18" s="416" t="s">
        <v>64</v>
      </c>
      <c r="C18" s="442">
        <v>0</v>
      </c>
      <c r="D18" s="442">
        <v>0</v>
      </c>
      <c r="E18" s="442">
        <v>0</v>
      </c>
      <c r="F18" s="442">
        <v>0</v>
      </c>
      <c r="G18" s="442">
        <v>0</v>
      </c>
      <c r="H18" s="442"/>
      <c r="I18" s="442">
        <v>0</v>
      </c>
      <c r="J18" s="442"/>
      <c r="K18" s="442">
        <v>0</v>
      </c>
      <c r="L18" s="442"/>
      <c r="M18" s="442">
        <v>0</v>
      </c>
      <c r="N18" s="442"/>
      <c r="O18" s="442"/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</row>
    <row r="19" spans="1:26" ht="13.8" x14ac:dyDescent="0.3">
      <c r="A19" s="416" t="s">
        <v>663</v>
      </c>
      <c r="C19" s="442">
        <f>C4*0.115</f>
        <v>29900</v>
      </c>
      <c r="D19" s="442">
        <f>494.65+28007.24+4855.54</f>
        <v>33357.43</v>
      </c>
      <c r="E19" s="442">
        <v>23000</v>
      </c>
      <c r="F19" s="442">
        <f>25286.06+1261.89</f>
        <v>26547.95</v>
      </c>
      <c r="G19" s="442">
        <v>23000</v>
      </c>
      <c r="H19" s="442">
        <f>31526.88+3684.03</f>
        <v>35210.910000000003</v>
      </c>
      <c r="I19" s="442">
        <v>25500</v>
      </c>
      <c r="J19" s="442">
        <f>37578.42+2450.02</f>
        <v>40028.439999999995</v>
      </c>
      <c r="K19" s="442">
        <v>25500</v>
      </c>
      <c r="L19" s="442"/>
      <c r="M19" s="442">
        <v>25500</v>
      </c>
      <c r="N19" s="442"/>
      <c r="O19" s="442"/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</row>
    <row r="20" spans="1:26" ht="13.8" x14ac:dyDescent="0.3">
      <c r="A20" s="416" t="s">
        <v>65</v>
      </c>
      <c r="C20" s="442">
        <v>0</v>
      </c>
      <c r="D20" s="442">
        <v>0</v>
      </c>
      <c r="E20" s="442">
        <v>0</v>
      </c>
      <c r="F20" s="442">
        <v>0</v>
      </c>
      <c r="G20" s="442">
        <v>0</v>
      </c>
      <c r="H20" s="442"/>
      <c r="I20" s="442">
        <v>0</v>
      </c>
      <c r="J20" s="442"/>
      <c r="K20" s="442">
        <v>0</v>
      </c>
      <c r="L20" s="442"/>
      <c r="M20" s="442">
        <v>0</v>
      </c>
      <c r="N20" s="442"/>
      <c r="O20" s="442"/>
      <c r="P20" s="442"/>
      <c r="Q20" s="442"/>
      <c r="R20" s="442"/>
      <c r="S20" s="442"/>
      <c r="T20" s="442"/>
      <c r="U20" s="442"/>
      <c r="V20" s="442"/>
      <c r="W20" s="442"/>
      <c r="X20" s="442"/>
      <c r="Y20" s="442"/>
      <c r="Z20" s="442"/>
    </row>
    <row r="21" spans="1:26" ht="13.8" x14ac:dyDescent="0.3">
      <c r="A21" s="416" t="s">
        <v>664</v>
      </c>
      <c r="C21" s="442">
        <f>(C4+C5+C6)*0.26</f>
        <v>69290</v>
      </c>
      <c r="D21" s="442">
        <v>100405.73</v>
      </c>
      <c r="E21" s="442">
        <f>(E4+E5+E6)*0.26</f>
        <v>69290</v>
      </c>
      <c r="F21" s="442">
        <f>85892.13</f>
        <v>85892.13</v>
      </c>
      <c r="G21" s="442">
        <f>(G4+G5+G6)*0.26</f>
        <v>68380</v>
      </c>
      <c r="H21" s="442">
        <v>105426.96</v>
      </c>
      <c r="I21" s="442">
        <f>(I4+I5+I6)*0.26</f>
        <v>76219</v>
      </c>
      <c r="J21" s="442">
        <v>78212.990000000005</v>
      </c>
      <c r="K21" s="442">
        <f>(K4+K5+K6)*0.26</f>
        <v>76219</v>
      </c>
      <c r="L21" s="442"/>
      <c r="M21" s="442">
        <f>(M4+M5+M6)*0.26</f>
        <v>76219</v>
      </c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</row>
    <row r="22" spans="1:26" ht="13.8" x14ac:dyDescent="0.3">
      <c r="A22" s="416" t="s">
        <v>665</v>
      </c>
      <c r="C22" s="442">
        <f>(C4+C5+C6)*0.05</f>
        <v>13325</v>
      </c>
      <c r="D22" s="442">
        <v>35767.599999999999</v>
      </c>
      <c r="E22" s="442">
        <f>(E4+E5+E6)*0.05</f>
        <v>13325</v>
      </c>
      <c r="F22" s="442">
        <f>32416.02</f>
        <v>32416.02</v>
      </c>
      <c r="G22" s="442">
        <f>(G4+G5+G6)*0.05</f>
        <v>13150</v>
      </c>
      <c r="H22" s="442">
        <v>37449.160000000003</v>
      </c>
      <c r="I22" s="442">
        <f>(I4+I5+I6)*0.05</f>
        <v>14657.5</v>
      </c>
      <c r="J22" s="442">
        <v>48939.5</v>
      </c>
      <c r="K22" s="442">
        <f>(K4+K5+K6)*0.05</f>
        <v>14657.5</v>
      </c>
      <c r="L22" s="442"/>
      <c r="M22" s="442">
        <f>(M4+M5+M6)*0.05</f>
        <v>14657.5</v>
      </c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2"/>
      <c r="Z22" s="442"/>
    </row>
    <row r="23" spans="1:26" ht="13.8" x14ac:dyDescent="0.3">
      <c r="A23" s="415" t="s">
        <v>666</v>
      </c>
      <c r="C23" s="442">
        <v>6602</v>
      </c>
      <c r="D23" s="442">
        <v>6602</v>
      </c>
      <c r="E23" s="442">
        <v>6602</v>
      </c>
      <c r="F23" s="442">
        <v>6602</v>
      </c>
      <c r="G23" s="442">
        <v>6602</v>
      </c>
      <c r="H23" s="442">
        <v>6602</v>
      </c>
      <c r="I23" s="442">
        <v>6602</v>
      </c>
      <c r="J23" s="442">
        <v>6602</v>
      </c>
      <c r="K23" s="442">
        <v>6602</v>
      </c>
      <c r="L23" s="442"/>
      <c r="M23" s="442">
        <v>6602</v>
      </c>
      <c r="N23" s="442"/>
      <c r="O23" s="442"/>
      <c r="P23" s="442"/>
      <c r="Q23" s="442"/>
      <c r="R23" s="442"/>
      <c r="S23" s="442"/>
      <c r="T23" s="442"/>
      <c r="U23" s="442"/>
      <c r="V23" s="442"/>
      <c r="W23" s="442"/>
      <c r="X23" s="442"/>
      <c r="Y23" s="442"/>
      <c r="Z23" s="442"/>
    </row>
    <row r="24" spans="1:26" ht="14.4" thickBot="1" x14ac:dyDescent="0.35">
      <c r="A24" s="417" t="s">
        <v>667</v>
      </c>
      <c r="C24" s="418">
        <f t="shared" ref="C24:Z24" si="3">C3-C10</f>
        <v>-128848.93</v>
      </c>
      <c r="D24" s="418">
        <f>D3-D10</f>
        <v>-4409.7800000000279</v>
      </c>
      <c r="E24" s="418">
        <f t="shared" si="3"/>
        <v>-76680.709999999963</v>
      </c>
      <c r="F24" s="418">
        <f t="shared" si="3"/>
        <v>-26198.189999999944</v>
      </c>
      <c r="G24" s="418">
        <f t="shared" si="3"/>
        <v>-38860.869999999995</v>
      </c>
      <c r="H24" s="418">
        <f t="shared" si="3"/>
        <v>-18203.489999999991</v>
      </c>
      <c r="I24" s="418">
        <f t="shared" si="3"/>
        <v>64850.06</v>
      </c>
      <c r="J24" s="418">
        <f>J3-J10</f>
        <v>136391.74</v>
      </c>
      <c r="K24" s="418">
        <f t="shared" si="3"/>
        <v>107102.88</v>
      </c>
      <c r="L24" s="418">
        <f t="shared" si="3"/>
        <v>0</v>
      </c>
      <c r="M24" s="418">
        <f t="shared" si="3"/>
        <v>134264.64000000001</v>
      </c>
      <c r="N24" s="418">
        <f t="shared" si="3"/>
        <v>0</v>
      </c>
      <c r="O24" s="418">
        <f t="shared" si="3"/>
        <v>0</v>
      </c>
      <c r="P24" s="418">
        <f t="shared" si="3"/>
        <v>0</v>
      </c>
      <c r="Q24" s="418">
        <f t="shared" si="3"/>
        <v>0</v>
      </c>
      <c r="R24" s="418">
        <f t="shared" si="3"/>
        <v>0</v>
      </c>
      <c r="S24" s="418">
        <f t="shared" si="3"/>
        <v>0</v>
      </c>
      <c r="T24" s="418">
        <f t="shared" si="3"/>
        <v>0</v>
      </c>
      <c r="U24" s="418">
        <f t="shared" si="3"/>
        <v>0</v>
      </c>
      <c r="V24" s="418">
        <f t="shared" si="3"/>
        <v>0</v>
      </c>
      <c r="W24" s="418">
        <f t="shared" si="3"/>
        <v>0</v>
      </c>
      <c r="X24" s="418">
        <f t="shared" si="3"/>
        <v>0</v>
      </c>
      <c r="Y24" s="418">
        <f t="shared" si="3"/>
        <v>0</v>
      </c>
      <c r="Z24" s="418">
        <f t="shared" si="3"/>
        <v>0</v>
      </c>
    </row>
    <row r="25" spans="1:26" x14ac:dyDescent="0.25">
      <c r="Q25" s="419"/>
      <c r="R25" s="419"/>
    </row>
    <row r="26" spans="1:26" x14ac:dyDescent="0.25">
      <c r="A26" s="421"/>
      <c r="G26" s="494"/>
      <c r="J26" s="419"/>
      <c r="K26" s="422"/>
      <c r="L26" s="422"/>
      <c r="Q26" s="423"/>
      <c r="R26" s="423"/>
    </row>
    <row r="27" spans="1:26" x14ac:dyDescent="0.25">
      <c r="C27" s="421"/>
      <c r="D27" s="419"/>
      <c r="E27" s="419"/>
      <c r="H27" s="419"/>
      <c r="J27" s="494"/>
      <c r="L27" s="494"/>
      <c r="N27" s="494"/>
      <c r="Q27" s="421"/>
      <c r="R27" s="421"/>
    </row>
    <row r="28" spans="1:26" x14ac:dyDescent="0.25">
      <c r="A28" s="421"/>
      <c r="C28" s="424"/>
      <c r="J28" s="419"/>
      <c r="Q28" s="434"/>
      <c r="R28" s="434"/>
    </row>
    <row r="29" spans="1:26" x14ac:dyDescent="0.25">
      <c r="A29" s="424"/>
      <c r="C29" s="424"/>
      <c r="E29" s="494"/>
      <c r="H29" s="423"/>
    </row>
    <row r="30" spans="1:26" x14ac:dyDescent="0.25">
      <c r="A30" s="421"/>
      <c r="C30" s="420"/>
      <c r="D30" s="502"/>
    </row>
    <row r="32" spans="1:26" x14ac:dyDescent="0.25">
      <c r="A32" s="420"/>
      <c r="D32" s="419"/>
      <c r="E32" s="419"/>
    </row>
    <row r="41" spans="7:7" x14ac:dyDescent="0.25">
      <c r="G41">
        <f>6*15</f>
        <v>90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45F5-B40E-4A31-9BC4-4D9491ADE455}">
  <sheetPr>
    <tabColor theme="9" tint="-0.249977111117893"/>
  </sheetPr>
  <dimension ref="A1:Z32"/>
  <sheetViews>
    <sheetView zoomScaleNormal="100" zoomScaleSheetLayoutView="100" workbookViewId="0">
      <selection activeCell="L16" sqref="L16"/>
    </sheetView>
  </sheetViews>
  <sheetFormatPr defaultRowHeight="13.2" outlineLevelRow="1" outlineLevelCol="1" x14ac:dyDescent="0.25"/>
  <cols>
    <col min="1" max="1" width="30.6640625" bestFit="1" customWidth="1"/>
    <col min="2" max="2" width="1.33203125" customWidth="1"/>
    <col min="3" max="4" width="13.21875" customWidth="1" outlineLevel="1"/>
    <col min="5" max="8" width="13" customWidth="1" outlineLevel="1"/>
    <col min="9" max="10" width="12.88671875" customWidth="1" outlineLevel="1"/>
    <col min="11" max="12" width="12.88671875" customWidth="1"/>
    <col min="13" max="16" width="13" customWidth="1"/>
    <col min="17" max="17" width="15.5546875" bestFit="1" customWidth="1"/>
    <col min="18" max="18" width="15.5546875" customWidth="1"/>
    <col min="19" max="20" width="13" customWidth="1"/>
    <col min="21" max="22" width="12.77734375" customWidth="1"/>
    <col min="23" max="23" width="13" bestFit="1" customWidth="1"/>
    <col min="24" max="24" width="13" customWidth="1"/>
    <col min="25" max="25" width="13" bestFit="1" customWidth="1"/>
    <col min="26" max="26" width="13" customWidth="1"/>
  </cols>
  <sheetData>
    <row r="1" spans="1:26" ht="13.8" x14ac:dyDescent="0.3">
      <c r="A1" s="407" t="s">
        <v>651</v>
      </c>
      <c r="C1" s="204" t="s">
        <v>690</v>
      </c>
      <c r="D1" s="204" t="s">
        <v>55</v>
      </c>
      <c r="E1" s="204" t="s">
        <v>690</v>
      </c>
      <c r="F1" s="204" t="s">
        <v>55</v>
      </c>
      <c r="G1" s="204" t="s">
        <v>690</v>
      </c>
      <c r="H1" s="204" t="s">
        <v>55</v>
      </c>
      <c r="I1" s="204" t="s">
        <v>690</v>
      </c>
      <c r="J1" s="204" t="s">
        <v>55</v>
      </c>
      <c r="K1" s="204" t="s">
        <v>690</v>
      </c>
      <c r="L1" s="204" t="s">
        <v>55</v>
      </c>
      <c r="M1" s="204" t="s">
        <v>690</v>
      </c>
      <c r="N1" s="204" t="s">
        <v>55</v>
      </c>
      <c r="O1" s="204" t="s">
        <v>690</v>
      </c>
      <c r="P1" s="204" t="s">
        <v>55</v>
      </c>
      <c r="Q1" s="204" t="s">
        <v>690</v>
      </c>
      <c r="R1" s="204" t="s">
        <v>55</v>
      </c>
      <c r="S1" s="204" t="s">
        <v>690</v>
      </c>
      <c r="T1" s="204" t="s">
        <v>55</v>
      </c>
      <c r="U1" s="204" t="s">
        <v>690</v>
      </c>
      <c r="V1" s="204" t="s">
        <v>55</v>
      </c>
      <c r="W1" s="204" t="s">
        <v>690</v>
      </c>
      <c r="X1" s="204" t="s">
        <v>55</v>
      </c>
      <c r="Y1" s="204" t="s">
        <v>690</v>
      </c>
      <c r="Z1" s="204" t="s">
        <v>55</v>
      </c>
    </row>
    <row r="2" spans="1:26" ht="13.8" x14ac:dyDescent="0.3">
      <c r="C2" s="408">
        <v>46023</v>
      </c>
      <c r="D2" s="408">
        <v>46023</v>
      </c>
      <c r="E2" s="409">
        <v>46054</v>
      </c>
      <c r="F2" s="409">
        <v>46054</v>
      </c>
      <c r="G2" s="408">
        <v>46082</v>
      </c>
      <c r="H2" s="408">
        <v>46082</v>
      </c>
      <c r="I2" s="409">
        <v>46113</v>
      </c>
      <c r="J2" s="409">
        <v>46113</v>
      </c>
      <c r="K2" s="408">
        <v>46143</v>
      </c>
      <c r="L2" s="408">
        <v>46143</v>
      </c>
      <c r="M2" s="409">
        <v>46174</v>
      </c>
      <c r="N2" s="409">
        <v>46174</v>
      </c>
      <c r="O2" s="408">
        <v>46204</v>
      </c>
      <c r="P2" s="408">
        <v>46204</v>
      </c>
      <c r="Q2" s="409">
        <v>46235</v>
      </c>
      <c r="R2" s="409">
        <v>46235</v>
      </c>
      <c r="S2" s="408">
        <v>46266</v>
      </c>
      <c r="T2" s="408">
        <v>46266</v>
      </c>
      <c r="U2" s="409">
        <v>46296</v>
      </c>
      <c r="V2" s="409">
        <v>46296</v>
      </c>
      <c r="W2" s="408">
        <v>46327</v>
      </c>
      <c r="X2" s="408">
        <v>46327</v>
      </c>
      <c r="Y2" s="409">
        <v>46357</v>
      </c>
      <c r="Z2" s="409">
        <v>46357</v>
      </c>
    </row>
    <row r="3" spans="1:26" ht="13.8" x14ac:dyDescent="0.3">
      <c r="A3" s="411" t="s">
        <v>5</v>
      </c>
      <c r="C3" s="412">
        <f t="shared" ref="C3:Z3" si="0">SUM(C4:C7)</f>
        <v>207000</v>
      </c>
      <c r="D3" s="412">
        <f t="shared" si="0"/>
        <v>196570.68000000002</v>
      </c>
      <c r="E3" s="412">
        <f t="shared" si="0"/>
        <v>207000</v>
      </c>
      <c r="F3" s="412">
        <f t="shared" si="0"/>
        <v>167144.25999999998</v>
      </c>
      <c r="G3" s="412">
        <f t="shared" si="0"/>
        <v>207000</v>
      </c>
      <c r="H3" s="412">
        <f t="shared" si="0"/>
        <v>229018.47</v>
      </c>
      <c r="I3" s="412">
        <f t="shared" si="0"/>
        <v>227700</v>
      </c>
      <c r="J3" s="412">
        <f t="shared" si="0"/>
        <v>251047.64</v>
      </c>
      <c r="K3" s="412">
        <f t="shared" si="0"/>
        <v>227700</v>
      </c>
      <c r="L3" s="412">
        <f t="shared" si="0"/>
        <v>0</v>
      </c>
      <c r="M3" s="412">
        <f t="shared" si="0"/>
        <v>227700</v>
      </c>
      <c r="N3" s="412">
        <f t="shared" si="0"/>
        <v>0</v>
      </c>
      <c r="O3" s="412">
        <f t="shared" si="0"/>
        <v>241362</v>
      </c>
      <c r="P3" s="412">
        <f t="shared" si="0"/>
        <v>0</v>
      </c>
      <c r="Q3" s="412">
        <f t="shared" si="0"/>
        <v>0</v>
      </c>
      <c r="R3" s="412">
        <f t="shared" si="0"/>
        <v>0</v>
      </c>
      <c r="S3" s="412">
        <f t="shared" si="0"/>
        <v>0</v>
      </c>
      <c r="T3" s="412">
        <f t="shared" si="0"/>
        <v>0</v>
      </c>
      <c r="U3" s="412">
        <f t="shared" si="0"/>
        <v>0</v>
      </c>
      <c r="V3" s="412">
        <f t="shared" si="0"/>
        <v>0</v>
      </c>
      <c r="W3" s="412">
        <f t="shared" si="0"/>
        <v>0</v>
      </c>
      <c r="X3" s="412">
        <f t="shared" si="0"/>
        <v>0</v>
      </c>
      <c r="Y3" s="412">
        <f t="shared" si="0"/>
        <v>0</v>
      </c>
      <c r="Z3" s="412">
        <f t="shared" si="0"/>
        <v>0</v>
      </c>
    </row>
    <row r="4" spans="1:26" ht="13.8" outlineLevel="1" x14ac:dyDescent="0.3">
      <c r="A4" s="32" t="s">
        <v>653</v>
      </c>
      <c r="C4" s="432">
        <v>50000</v>
      </c>
      <c r="D4" s="432">
        <v>44021.86</v>
      </c>
      <c r="E4" s="432">
        <v>50000</v>
      </c>
      <c r="F4" s="432">
        <v>29797.32</v>
      </c>
      <c r="G4" s="432">
        <v>50000</v>
      </c>
      <c r="H4" s="432">
        <v>56728.92</v>
      </c>
      <c r="I4" s="432">
        <v>55000</v>
      </c>
      <c r="J4" s="432">
        <v>58148.23</v>
      </c>
      <c r="K4" s="432">
        <v>55000</v>
      </c>
      <c r="L4" s="432"/>
      <c r="M4" s="432">
        <v>55000</v>
      </c>
      <c r="N4" s="432"/>
      <c r="O4" s="432">
        <f>M4*0.06+M4</f>
        <v>58300</v>
      </c>
      <c r="P4" s="432"/>
      <c r="Q4" s="432"/>
      <c r="R4" s="432"/>
      <c r="S4" s="432"/>
      <c r="T4" s="432"/>
      <c r="U4" s="432"/>
      <c r="V4" s="432"/>
      <c r="W4" s="432"/>
      <c r="X4" s="432"/>
      <c r="Y4" s="432"/>
      <c r="Z4" s="432"/>
    </row>
    <row r="5" spans="1:26" ht="13.8" outlineLevel="1" x14ac:dyDescent="0.3">
      <c r="A5" s="32" t="s">
        <v>655</v>
      </c>
      <c r="C5" s="432">
        <v>155000</v>
      </c>
      <c r="D5" s="432">
        <v>138853.28</v>
      </c>
      <c r="E5" s="432">
        <v>155000</v>
      </c>
      <c r="F5" s="432">
        <v>120539.51</v>
      </c>
      <c r="G5" s="432">
        <v>155000</v>
      </c>
      <c r="H5" s="432">
        <v>144159.46</v>
      </c>
      <c r="I5" s="432">
        <v>170500</v>
      </c>
      <c r="J5" s="432">
        <f>167726.63+2481.96</f>
        <v>170208.59</v>
      </c>
      <c r="K5" s="432">
        <v>170500</v>
      </c>
      <c r="L5" s="432"/>
      <c r="M5" s="432">
        <v>170500</v>
      </c>
      <c r="N5" s="432"/>
      <c r="O5" s="432">
        <f t="shared" ref="O5:O7" si="1">M5*0.06+M5</f>
        <v>180730</v>
      </c>
      <c r="P5" s="432"/>
      <c r="Q5" s="432"/>
      <c r="R5" s="432"/>
      <c r="S5" s="432"/>
      <c r="T5" s="432"/>
      <c r="U5" s="432"/>
      <c r="V5" s="432"/>
      <c r="W5" s="432"/>
      <c r="X5" s="432"/>
      <c r="Y5" s="432"/>
      <c r="Z5" s="432"/>
    </row>
    <row r="6" spans="1:26" ht="13.8" outlineLevel="1" x14ac:dyDescent="0.3">
      <c r="A6" s="32" t="s">
        <v>659</v>
      </c>
      <c r="C6" s="432">
        <v>2000</v>
      </c>
      <c r="D6" s="432">
        <v>13695.54</v>
      </c>
      <c r="E6" s="432">
        <v>2000</v>
      </c>
      <c r="F6" s="432">
        <v>16807.43</v>
      </c>
      <c r="G6" s="432">
        <v>2000</v>
      </c>
      <c r="H6" s="432">
        <v>28130.09</v>
      </c>
      <c r="I6" s="432">
        <v>2200</v>
      </c>
      <c r="J6" s="432">
        <v>22690.82</v>
      </c>
      <c r="K6" s="432">
        <v>2200</v>
      </c>
      <c r="L6" s="432"/>
      <c r="M6" s="432">
        <v>2200</v>
      </c>
      <c r="N6" s="432"/>
      <c r="O6" s="432">
        <f t="shared" si="1"/>
        <v>2332</v>
      </c>
      <c r="P6" s="432"/>
      <c r="Q6" s="432"/>
      <c r="R6" s="432"/>
      <c r="S6" s="432"/>
      <c r="T6" s="432"/>
      <c r="U6" s="432"/>
      <c r="V6" s="432"/>
      <c r="W6" s="432"/>
      <c r="X6" s="432"/>
      <c r="Y6" s="432"/>
      <c r="Z6" s="432"/>
    </row>
    <row r="7" spans="1:26" ht="13.8" outlineLevel="1" x14ac:dyDescent="0.3">
      <c r="A7" s="32" t="s">
        <v>660</v>
      </c>
      <c r="C7" s="432">
        <v>0</v>
      </c>
      <c r="D7" s="432">
        <v>0</v>
      </c>
      <c r="E7" s="432">
        <v>0</v>
      </c>
      <c r="F7" s="432"/>
      <c r="G7" s="432">
        <v>0</v>
      </c>
      <c r="H7" s="432"/>
      <c r="I7" s="432">
        <f t="shared" ref="I7" si="2">G7*0.1+G7</f>
        <v>0</v>
      </c>
      <c r="J7" s="432"/>
      <c r="K7" s="432">
        <v>0</v>
      </c>
      <c r="L7" s="432"/>
      <c r="M7" s="432">
        <v>0</v>
      </c>
      <c r="N7" s="432"/>
      <c r="O7" s="432">
        <f t="shared" si="1"/>
        <v>0</v>
      </c>
      <c r="P7" s="432"/>
      <c r="Q7" s="432"/>
      <c r="R7" s="432"/>
      <c r="S7" s="432"/>
      <c r="T7" s="432"/>
      <c r="U7" s="432"/>
      <c r="V7" s="432"/>
      <c r="W7" s="432"/>
      <c r="X7" s="432"/>
      <c r="Y7" s="432"/>
      <c r="Z7" s="432"/>
    </row>
    <row r="8" spans="1:26" ht="13.8" x14ac:dyDescent="0.3">
      <c r="A8" s="411"/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413"/>
      <c r="X8" s="413"/>
      <c r="Y8" s="413"/>
      <c r="Z8" s="413"/>
    </row>
    <row r="9" spans="1:26" ht="14.4" thickBot="1" x14ac:dyDescent="0.35">
      <c r="C9" s="31"/>
      <c r="D9" s="31"/>
      <c r="E9" s="207"/>
      <c r="F9" s="207"/>
      <c r="G9" s="33"/>
      <c r="H9" s="33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3.8" x14ac:dyDescent="0.3">
      <c r="A10" s="414" t="s">
        <v>58</v>
      </c>
      <c r="C10" s="443">
        <f>SUM(C11:C23)</f>
        <v>182853.5</v>
      </c>
      <c r="D10" s="443">
        <f t="shared" ref="D10:Z10" si="3">SUM(D11:D23)</f>
        <v>71161.33</v>
      </c>
      <c r="E10" s="443">
        <f t="shared" si="3"/>
        <v>182853.5</v>
      </c>
      <c r="F10" s="443">
        <f t="shared" si="3"/>
        <v>86782.260000000009</v>
      </c>
      <c r="G10" s="443">
        <f t="shared" si="3"/>
        <v>182853.5</v>
      </c>
      <c r="H10" s="443">
        <f t="shared" si="3"/>
        <v>101713.57</v>
      </c>
      <c r="I10" s="443">
        <f t="shared" si="3"/>
        <v>194013.91</v>
      </c>
      <c r="J10" s="443">
        <f t="shared" si="3"/>
        <v>135846.60999999999</v>
      </c>
      <c r="K10" s="443">
        <f t="shared" si="3"/>
        <v>194496.31</v>
      </c>
      <c r="L10" s="443">
        <f t="shared" si="3"/>
        <v>0</v>
      </c>
      <c r="M10" s="443">
        <f t="shared" si="3"/>
        <v>194496.31</v>
      </c>
      <c r="N10" s="443">
        <f t="shared" si="3"/>
        <v>0</v>
      </c>
      <c r="O10" s="443">
        <f t="shared" si="3"/>
        <v>208108.53</v>
      </c>
      <c r="P10" s="443">
        <f t="shared" si="3"/>
        <v>0</v>
      </c>
      <c r="Q10" s="443">
        <f t="shared" si="3"/>
        <v>0</v>
      </c>
      <c r="R10" s="443">
        <f t="shared" si="3"/>
        <v>0</v>
      </c>
      <c r="S10" s="443">
        <f t="shared" si="3"/>
        <v>0</v>
      </c>
      <c r="T10" s="443">
        <f t="shared" si="3"/>
        <v>0</v>
      </c>
      <c r="U10" s="443">
        <f t="shared" si="3"/>
        <v>0</v>
      </c>
      <c r="V10" s="443">
        <f t="shared" si="3"/>
        <v>0</v>
      </c>
      <c r="W10" s="443">
        <f t="shared" si="3"/>
        <v>0</v>
      </c>
      <c r="X10" s="443">
        <f t="shared" si="3"/>
        <v>0</v>
      </c>
      <c r="Y10" s="443">
        <f>SUM(Y11:Y23)</f>
        <v>0</v>
      </c>
      <c r="Z10" s="441">
        <f t="shared" si="3"/>
        <v>0</v>
      </c>
    </row>
    <row r="11" spans="1:26" ht="13.8" x14ac:dyDescent="0.3">
      <c r="A11" s="415" t="s">
        <v>59</v>
      </c>
      <c r="C11" s="442">
        <f>20000+2240.5+493</f>
        <v>22733.5</v>
      </c>
      <c r="D11" s="442">
        <f>17000+178.31</f>
        <v>17178.310000000001</v>
      </c>
      <c r="E11" s="442">
        <f>20000+2240.5+493</f>
        <v>22733.5</v>
      </c>
      <c r="F11" s="442">
        <f>17000+178.31</f>
        <v>17178.310000000001</v>
      </c>
      <c r="G11" s="442">
        <f>20000+2240.5+493</f>
        <v>22733.5</v>
      </c>
      <c r="H11" s="442">
        <f>17000+178.31+800</f>
        <v>17978.310000000001</v>
      </c>
      <c r="I11" s="442">
        <f>17000+178.31+1098.6</f>
        <v>18276.91</v>
      </c>
      <c r="J11" s="442">
        <f>17000+178.31+1098.6</f>
        <v>18276.91</v>
      </c>
      <c r="K11" s="442">
        <f>17000+178.31+1831</f>
        <v>19009.310000000001</v>
      </c>
      <c r="L11" s="442"/>
      <c r="M11" s="442">
        <f>17000+178.31+1831</f>
        <v>19009.310000000001</v>
      </c>
      <c r="N11" s="442"/>
      <c r="O11" s="442">
        <f>17000+178.31+1831</f>
        <v>19009.310000000001</v>
      </c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</row>
    <row r="12" spans="1:26" ht="13.8" x14ac:dyDescent="0.3">
      <c r="A12" s="416" t="s">
        <v>661</v>
      </c>
      <c r="C12" s="442">
        <v>0</v>
      </c>
      <c r="D12" s="442">
        <v>0</v>
      </c>
      <c r="E12" s="442">
        <v>0</v>
      </c>
      <c r="F12" s="442">
        <v>0</v>
      </c>
      <c r="G12" s="442">
        <v>0</v>
      </c>
      <c r="H12" s="442">
        <v>0</v>
      </c>
      <c r="I12" s="442">
        <v>0</v>
      </c>
      <c r="J12" s="442">
        <v>0</v>
      </c>
      <c r="K12" s="442">
        <v>0</v>
      </c>
      <c r="L12" s="442">
        <v>0</v>
      </c>
      <c r="M12" s="442">
        <v>0</v>
      </c>
      <c r="N12" s="442">
        <v>0</v>
      </c>
      <c r="O12" s="442">
        <v>0</v>
      </c>
      <c r="P12" s="442">
        <v>0</v>
      </c>
      <c r="Q12" s="442"/>
      <c r="R12" s="442"/>
      <c r="S12" s="442"/>
      <c r="T12" s="442"/>
      <c r="U12" s="442"/>
      <c r="V12" s="442"/>
      <c r="W12" s="442"/>
      <c r="X12" s="442"/>
      <c r="Y12" s="442"/>
      <c r="Z12" s="442"/>
    </row>
    <row r="13" spans="1:26" ht="13.8" x14ac:dyDescent="0.3">
      <c r="A13" s="416" t="s">
        <v>60</v>
      </c>
      <c r="C13" s="442">
        <f>2150+850+250+5000</f>
        <v>8250</v>
      </c>
      <c r="D13" s="442">
        <f>2150+857.07+250+2795.79</f>
        <v>6052.8600000000006</v>
      </c>
      <c r="E13" s="442">
        <f>2150+850+250+5000</f>
        <v>8250</v>
      </c>
      <c r="F13" s="442">
        <f>2150+850+250+3000+1000+1822.82</f>
        <v>9072.82</v>
      </c>
      <c r="G13" s="442">
        <f>2150+850+250+5000</f>
        <v>8250</v>
      </c>
      <c r="H13" s="442">
        <f>1100+826.94+250+2844.98</f>
        <v>5021.92</v>
      </c>
      <c r="I13" s="442">
        <f>2150+850+250+5000</f>
        <v>8250</v>
      </c>
      <c r="J13" s="442">
        <f>2100+826.94+250+3393.01+161.39</f>
        <v>6731.3400000000011</v>
      </c>
      <c r="K13" s="442">
        <f>2150+850+250+5000</f>
        <v>8250</v>
      </c>
      <c r="L13" s="442"/>
      <c r="M13" s="442">
        <f>2150+850+250+5000</f>
        <v>8250</v>
      </c>
      <c r="N13" s="442"/>
      <c r="O13" s="442">
        <f>2150+850+250+5000</f>
        <v>8250</v>
      </c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2"/>
    </row>
    <row r="14" spans="1:26" ht="13.8" x14ac:dyDescent="0.3">
      <c r="A14" s="416" t="s">
        <v>61</v>
      </c>
      <c r="C14" s="442">
        <v>200</v>
      </c>
      <c r="D14" s="442">
        <v>200</v>
      </c>
      <c r="E14" s="442">
        <v>200</v>
      </c>
      <c r="F14" s="442">
        <v>200</v>
      </c>
      <c r="G14" s="442">
        <v>200</v>
      </c>
      <c r="H14" s="442">
        <f>200+500</f>
        <v>700</v>
      </c>
      <c r="I14" s="442">
        <f>200+250</f>
        <v>450</v>
      </c>
      <c r="J14" s="442">
        <f>200+250+149</f>
        <v>599</v>
      </c>
      <c r="K14" s="442">
        <v>200</v>
      </c>
      <c r="L14" s="442"/>
      <c r="M14" s="442">
        <v>200</v>
      </c>
      <c r="N14" s="442"/>
      <c r="O14" s="442">
        <v>200</v>
      </c>
      <c r="P14" s="442"/>
      <c r="Q14" s="442"/>
      <c r="R14" s="442"/>
      <c r="S14" s="442"/>
      <c r="T14" s="442"/>
      <c r="U14" s="442"/>
      <c r="V14" s="442"/>
      <c r="W14" s="442"/>
      <c r="X14" s="442"/>
      <c r="Y14" s="442"/>
      <c r="Z14" s="442"/>
    </row>
    <row r="15" spans="1:26" ht="13.8" x14ac:dyDescent="0.3">
      <c r="A15" s="416" t="s">
        <v>662</v>
      </c>
      <c r="C15" s="442">
        <v>90000</v>
      </c>
      <c r="D15" s="442">
        <v>0</v>
      </c>
      <c r="E15" s="442">
        <v>90000</v>
      </c>
      <c r="F15" s="442">
        <v>3059.34</v>
      </c>
      <c r="G15" s="442">
        <v>90000</v>
      </c>
      <c r="H15" s="442">
        <v>10570.07</v>
      </c>
      <c r="I15" s="442">
        <v>98000</v>
      </c>
      <c r="J15" s="442">
        <v>30495.45</v>
      </c>
      <c r="K15" s="442">
        <v>98000</v>
      </c>
      <c r="L15" s="442"/>
      <c r="M15" s="442">
        <v>98000</v>
      </c>
      <c r="N15" s="442"/>
      <c r="O15" s="442">
        <v>105000</v>
      </c>
      <c r="P15" s="442"/>
      <c r="Q15" s="442"/>
      <c r="R15" s="442"/>
      <c r="S15" s="442"/>
      <c r="T15" s="442"/>
      <c r="U15" s="442"/>
      <c r="V15" s="442"/>
      <c r="W15" s="442"/>
      <c r="X15" s="442"/>
      <c r="Y15" s="442"/>
      <c r="Z15" s="442"/>
    </row>
    <row r="16" spans="1:26" ht="13.8" x14ac:dyDescent="0.3">
      <c r="A16" s="416" t="s">
        <v>62</v>
      </c>
      <c r="C16" s="442">
        <v>0</v>
      </c>
      <c r="D16" s="442">
        <v>0</v>
      </c>
      <c r="E16" s="442">
        <v>0</v>
      </c>
      <c r="F16" s="442">
        <v>0</v>
      </c>
      <c r="G16" s="442">
        <v>0</v>
      </c>
      <c r="H16" s="442">
        <v>0</v>
      </c>
      <c r="I16" s="442">
        <v>0</v>
      </c>
      <c r="J16" s="442">
        <v>0</v>
      </c>
      <c r="K16" s="442">
        <v>0</v>
      </c>
      <c r="L16" s="442">
        <v>0</v>
      </c>
      <c r="M16" s="442">
        <v>0</v>
      </c>
      <c r="N16" s="442">
        <v>0</v>
      </c>
      <c r="O16" s="442">
        <v>0</v>
      </c>
      <c r="P16" s="442">
        <v>0</v>
      </c>
      <c r="Q16" s="442"/>
      <c r="R16" s="442"/>
      <c r="S16" s="442"/>
      <c r="T16" s="442"/>
      <c r="U16" s="442"/>
      <c r="V16" s="442"/>
      <c r="W16" s="442"/>
      <c r="X16" s="442"/>
      <c r="Y16" s="442"/>
      <c r="Z16" s="442"/>
    </row>
    <row r="17" spans="1:26" ht="13.8" x14ac:dyDescent="0.3">
      <c r="A17" s="416" t="s">
        <v>63</v>
      </c>
      <c r="C17" s="442">
        <v>0</v>
      </c>
      <c r="D17" s="442">
        <v>0</v>
      </c>
      <c r="E17" s="442">
        <v>0</v>
      </c>
      <c r="F17" s="442">
        <v>0</v>
      </c>
      <c r="G17" s="442">
        <v>0</v>
      </c>
      <c r="H17" s="442">
        <v>440</v>
      </c>
      <c r="I17" s="442">
        <v>0</v>
      </c>
      <c r="J17" s="442">
        <v>500</v>
      </c>
      <c r="K17" s="442">
        <v>0</v>
      </c>
      <c r="L17" s="442">
        <v>0</v>
      </c>
      <c r="M17" s="442">
        <v>0</v>
      </c>
      <c r="N17" s="442">
        <v>0</v>
      </c>
      <c r="O17" s="442">
        <v>0</v>
      </c>
      <c r="P17" s="442">
        <v>0</v>
      </c>
      <c r="Q17" s="442"/>
      <c r="R17" s="442"/>
      <c r="S17" s="442"/>
      <c r="T17" s="442"/>
      <c r="U17" s="442"/>
      <c r="V17" s="442"/>
      <c r="W17" s="442"/>
      <c r="X17" s="442"/>
      <c r="Y17" s="442"/>
      <c r="Z17" s="442"/>
    </row>
    <row r="18" spans="1:26" ht="13.8" x14ac:dyDescent="0.3">
      <c r="A18" s="416" t="s">
        <v>64</v>
      </c>
      <c r="C18" s="442">
        <v>0</v>
      </c>
      <c r="D18" s="442">
        <v>0</v>
      </c>
      <c r="E18" s="442">
        <v>0</v>
      </c>
      <c r="F18" s="442"/>
      <c r="G18" s="442">
        <v>0</v>
      </c>
      <c r="H18" s="442">
        <v>0</v>
      </c>
      <c r="I18" s="442">
        <v>0</v>
      </c>
      <c r="J18" s="442"/>
      <c r="K18" s="442">
        <v>0</v>
      </c>
      <c r="L18" s="442"/>
      <c r="M18" s="442">
        <v>0</v>
      </c>
      <c r="N18" s="442"/>
      <c r="O18" s="442">
        <v>0</v>
      </c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</row>
    <row r="19" spans="1:26" ht="13.8" x14ac:dyDescent="0.3">
      <c r="A19" s="416" t="s">
        <v>663</v>
      </c>
      <c r="C19" s="442">
        <v>13000</v>
      </c>
      <c r="D19" s="442">
        <v>8842.69</v>
      </c>
      <c r="E19" s="442">
        <v>13000</v>
      </c>
      <c r="F19" s="442">
        <f>68.72+8852.98</f>
        <v>8921.6999999999989</v>
      </c>
      <c r="G19" s="442">
        <v>13000</v>
      </c>
      <c r="H19" s="442">
        <v>10958.27</v>
      </c>
      <c r="I19" s="442">
        <v>15500</v>
      </c>
      <c r="J19" s="442">
        <v>11197.46</v>
      </c>
      <c r="K19" s="442">
        <v>15500</v>
      </c>
      <c r="L19" s="442"/>
      <c r="M19" s="442">
        <v>15500</v>
      </c>
      <c r="N19" s="442"/>
      <c r="O19" s="442">
        <v>18900</v>
      </c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</row>
    <row r="20" spans="1:26" ht="13.8" x14ac:dyDescent="0.3">
      <c r="A20" s="416" t="s">
        <v>65</v>
      </c>
      <c r="C20" s="442">
        <v>0</v>
      </c>
      <c r="D20" s="442">
        <v>0</v>
      </c>
      <c r="E20" s="442">
        <v>0</v>
      </c>
      <c r="F20" s="442"/>
      <c r="G20" s="442">
        <v>0</v>
      </c>
      <c r="H20" s="442">
        <v>0</v>
      </c>
      <c r="I20" s="442">
        <v>0</v>
      </c>
      <c r="J20" s="442"/>
      <c r="K20" s="442">
        <v>0</v>
      </c>
      <c r="L20" s="442"/>
      <c r="M20" s="442">
        <v>0</v>
      </c>
      <c r="N20" s="442"/>
      <c r="O20" s="442">
        <v>0</v>
      </c>
      <c r="P20" s="442"/>
      <c r="Q20" s="442"/>
      <c r="R20" s="442"/>
      <c r="S20" s="442"/>
      <c r="T20" s="442"/>
      <c r="U20" s="442"/>
      <c r="V20" s="442"/>
      <c r="W20" s="442"/>
      <c r="X20" s="442"/>
      <c r="Y20" s="442"/>
      <c r="Z20" s="442"/>
    </row>
    <row r="21" spans="1:26" ht="13.8" x14ac:dyDescent="0.3">
      <c r="A21" s="416" t="s">
        <v>664</v>
      </c>
      <c r="C21" s="442">
        <f>(C5+C6)*0.26</f>
        <v>40820</v>
      </c>
      <c r="D21" s="442">
        <v>22834.91</v>
      </c>
      <c r="E21" s="442">
        <f>(E5+E6)*0.26</f>
        <v>40820</v>
      </c>
      <c r="F21" s="442">
        <v>32636.18</v>
      </c>
      <c r="G21" s="442">
        <f>(G5+G6)*0.26</f>
        <v>40820</v>
      </c>
      <c r="H21" s="442">
        <v>39540.71</v>
      </c>
      <c r="I21" s="442">
        <f>(I5+I6)*0.26</f>
        <v>44902</v>
      </c>
      <c r="J21" s="442">
        <f>25220.26+20695.89</f>
        <v>45916.149999999994</v>
      </c>
      <c r="K21" s="442">
        <f>(K5+K6)*0.26</f>
        <v>44902</v>
      </c>
      <c r="L21" s="442"/>
      <c r="M21" s="442">
        <f>(M5+M6)*0.26</f>
        <v>44902</v>
      </c>
      <c r="N21" s="442"/>
      <c r="O21" s="442">
        <f>(O5+O6)*0.26</f>
        <v>47596.12</v>
      </c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</row>
    <row r="22" spans="1:26" ht="13.8" x14ac:dyDescent="0.3">
      <c r="A22" s="416" t="s">
        <v>665</v>
      </c>
      <c r="C22" s="442">
        <f>(C5+C6)*0.05</f>
        <v>7850</v>
      </c>
      <c r="D22" s="442">
        <v>16052.56</v>
      </c>
      <c r="E22" s="442">
        <f>(E5+E6)*0.05</f>
        <v>7850</v>
      </c>
      <c r="F22" s="442">
        <v>15713.91</v>
      </c>
      <c r="G22" s="442">
        <f>(G5+G6)*0.05</f>
        <v>7850</v>
      </c>
      <c r="H22" s="442">
        <v>16504.29</v>
      </c>
      <c r="I22" s="442">
        <f>(I5+I6)*0.05</f>
        <v>8635</v>
      </c>
      <c r="J22" s="442">
        <f>22130.3</f>
        <v>22130.3</v>
      </c>
      <c r="K22" s="442">
        <f>(K5+K6)*0.05</f>
        <v>8635</v>
      </c>
      <c r="L22" s="442"/>
      <c r="M22" s="442">
        <f>(M5+M6)*0.05</f>
        <v>8635</v>
      </c>
      <c r="N22" s="442"/>
      <c r="O22" s="442">
        <f>(O5+O6)*0.05</f>
        <v>9153.1</v>
      </c>
      <c r="P22" s="442"/>
      <c r="Q22" s="442"/>
      <c r="R22" s="442"/>
      <c r="S22" s="442"/>
      <c r="T22" s="442"/>
      <c r="U22" s="442"/>
      <c r="V22" s="442"/>
      <c r="W22" s="442"/>
      <c r="X22" s="442"/>
      <c r="Y22" s="442"/>
      <c r="Z22" s="442"/>
    </row>
    <row r="23" spans="1:26" ht="13.8" x14ac:dyDescent="0.3">
      <c r="A23" s="415" t="s">
        <v>666</v>
      </c>
      <c r="C23" s="442">
        <v>0</v>
      </c>
      <c r="D23" s="442">
        <v>0</v>
      </c>
      <c r="E23" s="442">
        <v>0</v>
      </c>
      <c r="F23" s="442">
        <v>0</v>
      </c>
      <c r="G23" s="442">
        <v>0</v>
      </c>
      <c r="H23" s="442">
        <v>0</v>
      </c>
      <c r="I23" s="442">
        <v>0</v>
      </c>
      <c r="J23" s="442">
        <v>0</v>
      </c>
      <c r="K23" s="442">
        <v>0</v>
      </c>
      <c r="L23" s="442">
        <v>0</v>
      </c>
      <c r="M23" s="442">
        <v>0</v>
      </c>
      <c r="N23" s="442">
        <v>0</v>
      </c>
      <c r="O23" s="442">
        <v>0</v>
      </c>
      <c r="P23" s="442">
        <v>0</v>
      </c>
      <c r="Q23" s="442"/>
      <c r="R23" s="442"/>
      <c r="S23" s="442"/>
      <c r="T23" s="442"/>
      <c r="U23" s="442"/>
      <c r="V23" s="442"/>
      <c r="W23" s="442"/>
      <c r="X23" s="442"/>
      <c r="Y23" s="442"/>
      <c r="Z23" s="442"/>
    </row>
    <row r="24" spans="1:26" ht="14.4" thickBot="1" x14ac:dyDescent="0.35">
      <c r="A24" s="417" t="s">
        <v>667</v>
      </c>
      <c r="C24" s="418">
        <f t="shared" ref="C24:Z24" si="4">C3-C10</f>
        <v>24146.5</v>
      </c>
      <c r="D24" s="418">
        <f t="shared" si="4"/>
        <v>125409.35000000002</v>
      </c>
      <c r="E24" s="418">
        <f t="shared" si="4"/>
        <v>24146.5</v>
      </c>
      <c r="F24" s="418">
        <f t="shared" si="4"/>
        <v>80361.999999999971</v>
      </c>
      <c r="G24" s="418">
        <f t="shared" si="4"/>
        <v>24146.5</v>
      </c>
      <c r="H24" s="418">
        <f t="shared" si="4"/>
        <v>127304.9</v>
      </c>
      <c r="I24" s="418">
        <f t="shared" si="4"/>
        <v>33686.089999999997</v>
      </c>
      <c r="J24" s="418">
        <f t="shared" si="4"/>
        <v>115201.03000000003</v>
      </c>
      <c r="K24" s="418">
        <f t="shared" si="4"/>
        <v>33203.69</v>
      </c>
      <c r="L24" s="418">
        <f t="shared" si="4"/>
        <v>0</v>
      </c>
      <c r="M24" s="418">
        <f t="shared" si="4"/>
        <v>33203.69</v>
      </c>
      <c r="N24" s="418">
        <f t="shared" si="4"/>
        <v>0</v>
      </c>
      <c r="O24" s="418">
        <f t="shared" si="4"/>
        <v>33253.47</v>
      </c>
      <c r="P24" s="418">
        <f t="shared" si="4"/>
        <v>0</v>
      </c>
      <c r="Q24" s="418">
        <f t="shared" si="4"/>
        <v>0</v>
      </c>
      <c r="R24" s="418">
        <f t="shared" si="4"/>
        <v>0</v>
      </c>
      <c r="S24" s="418">
        <f t="shared" si="4"/>
        <v>0</v>
      </c>
      <c r="T24" s="418">
        <f t="shared" si="4"/>
        <v>0</v>
      </c>
      <c r="U24" s="418">
        <f t="shared" si="4"/>
        <v>0</v>
      </c>
      <c r="V24" s="418">
        <f t="shared" si="4"/>
        <v>0</v>
      </c>
      <c r="W24" s="418">
        <f t="shared" si="4"/>
        <v>0</v>
      </c>
      <c r="X24" s="418">
        <f t="shared" si="4"/>
        <v>0</v>
      </c>
      <c r="Y24" s="418">
        <f t="shared" si="4"/>
        <v>0</v>
      </c>
      <c r="Z24" s="418">
        <f t="shared" si="4"/>
        <v>0</v>
      </c>
    </row>
    <row r="25" spans="1:26" x14ac:dyDescent="0.25">
      <c r="Q25" s="419"/>
      <c r="R25" s="419"/>
    </row>
    <row r="26" spans="1:26" x14ac:dyDescent="0.25">
      <c r="A26" s="421"/>
      <c r="H26" s="419"/>
      <c r="J26" s="419"/>
      <c r="K26" s="422"/>
      <c r="L26" s="422"/>
      <c r="Q26" s="423"/>
      <c r="R26" s="423"/>
    </row>
    <row r="27" spans="1:26" x14ac:dyDescent="0.25">
      <c r="J27" s="419"/>
      <c r="Q27" s="421"/>
      <c r="R27" s="421"/>
    </row>
    <row r="28" spans="1:26" x14ac:dyDescent="0.25">
      <c r="A28" s="421"/>
      <c r="C28" s="424"/>
      <c r="D28" s="419"/>
      <c r="E28" s="423"/>
      <c r="J28" s="494"/>
      <c r="Q28" s="434"/>
      <c r="R28" s="434"/>
    </row>
    <row r="29" spans="1:26" x14ac:dyDescent="0.25">
      <c r="A29" s="424"/>
      <c r="C29" s="424"/>
      <c r="D29" s="424"/>
      <c r="E29" s="423"/>
    </row>
    <row r="30" spans="1:26" x14ac:dyDescent="0.25">
      <c r="A30" s="421"/>
      <c r="C30" s="420"/>
      <c r="D30" s="420"/>
    </row>
    <row r="32" spans="1:26" x14ac:dyDescent="0.25">
      <c r="A32" s="420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C838-B700-4923-80DC-A1324A6D7B2C}">
  <sheetPr>
    <tabColor theme="9" tint="-0.249977111117893"/>
  </sheetPr>
  <dimension ref="A1:Z30"/>
  <sheetViews>
    <sheetView topLeftCell="H1" workbookViewId="0">
      <selection activeCell="T28" sqref="T28"/>
    </sheetView>
  </sheetViews>
  <sheetFormatPr defaultRowHeight="13.2" outlineLevelRow="1" outlineLevelCol="1" x14ac:dyDescent="0.25"/>
  <cols>
    <col min="1" max="1" width="30.6640625" bestFit="1" customWidth="1"/>
    <col min="2" max="2" width="1.33203125" customWidth="1"/>
    <col min="3" max="3" width="13.21875" hidden="1" customWidth="1" outlineLevel="1"/>
    <col min="4" max="4" width="13.21875" customWidth="1" outlineLevel="1"/>
    <col min="5" max="5" width="13" hidden="1" customWidth="1" outlineLevel="1"/>
    <col min="6" max="6" width="13" customWidth="1" outlineLevel="1"/>
    <col min="7" max="7" width="13" hidden="1" customWidth="1" outlineLevel="1"/>
    <col min="8" max="8" width="13" customWidth="1" outlineLevel="1"/>
    <col min="9" max="9" width="12.88671875" hidden="1" customWidth="1" outlineLevel="1"/>
    <col min="10" max="10" width="12.88671875" customWidth="1" outlineLevel="1"/>
    <col min="11" max="12" width="12.88671875" customWidth="1"/>
    <col min="13" max="16" width="13" customWidth="1"/>
    <col min="17" max="17" width="15.5546875" bestFit="1" customWidth="1"/>
    <col min="18" max="18" width="15.5546875" customWidth="1"/>
    <col min="19" max="20" width="13" customWidth="1"/>
    <col min="21" max="22" width="12.77734375" customWidth="1"/>
    <col min="23" max="23" width="13" bestFit="1" customWidth="1"/>
    <col min="24" max="24" width="13" customWidth="1"/>
    <col min="25" max="25" width="13" bestFit="1" customWidth="1"/>
    <col min="26" max="26" width="13" customWidth="1"/>
  </cols>
  <sheetData>
    <row r="1" spans="1:26" ht="13.8" x14ac:dyDescent="0.3">
      <c r="A1" s="407" t="s">
        <v>652</v>
      </c>
      <c r="C1" s="204" t="s">
        <v>690</v>
      </c>
      <c r="D1" s="204" t="s">
        <v>55</v>
      </c>
      <c r="E1" s="204" t="s">
        <v>690</v>
      </c>
      <c r="F1" s="204" t="s">
        <v>55</v>
      </c>
      <c r="G1" s="204" t="s">
        <v>690</v>
      </c>
      <c r="H1" s="204" t="s">
        <v>55</v>
      </c>
      <c r="I1" s="204" t="s">
        <v>690</v>
      </c>
      <c r="J1" s="204" t="s">
        <v>55</v>
      </c>
      <c r="K1" s="204" t="s">
        <v>690</v>
      </c>
      <c r="L1" s="204" t="s">
        <v>55</v>
      </c>
      <c r="M1" s="204" t="s">
        <v>690</v>
      </c>
      <c r="N1" s="204" t="s">
        <v>55</v>
      </c>
      <c r="O1" s="204" t="s">
        <v>690</v>
      </c>
      <c r="P1" s="204" t="s">
        <v>55</v>
      </c>
      <c r="Q1" s="204" t="s">
        <v>690</v>
      </c>
      <c r="R1" s="204" t="s">
        <v>55</v>
      </c>
      <c r="S1" s="204" t="s">
        <v>690</v>
      </c>
      <c r="T1" s="204" t="s">
        <v>55</v>
      </c>
      <c r="U1" s="204" t="s">
        <v>690</v>
      </c>
      <c r="V1" s="204" t="s">
        <v>55</v>
      </c>
      <c r="W1" s="204" t="s">
        <v>690</v>
      </c>
      <c r="X1" s="204" t="s">
        <v>55</v>
      </c>
      <c r="Y1" s="204" t="s">
        <v>690</v>
      </c>
      <c r="Z1" s="204" t="s">
        <v>55</v>
      </c>
    </row>
    <row r="2" spans="1:26" ht="13.8" x14ac:dyDescent="0.3">
      <c r="C2" s="408">
        <v>46023</v>
      </c>
      <c r="D2" s="408">
        <v>46023</v>
      </c>
      <c r="E2" s="409">
        <v>46054</v>
      </c>
      <c r="F2" s="409">
        <v>46054</v>
      </c>
      <c r="G2" s="408">
        <v>46082</v>
      </c>
      <c r="H2" s="408">
        <v>46082</v>
      </c>
      <c r="I2" s="409">
        <v>46113</v>
      </c>
      <c r="J2" s="409">
        <v>46113</v>
      </c>
      <c r="K2" s="408">
        <v>46143</v>
      </c>
      <c r="L2" s="408">
        <v>46143</v>
      </c>
      <c r="M2" s="409">
        <v>46174</v>
      </c>
      <c r="N2" s="409">
        <v>46174</v>
      </c>
      <c r="O2" s="408">
        <v>46204</v>
      </c>
      <c r="P2" s="408">
        <v>46204</v>
      </c>
      <c r="Q2" s="409">
        <v>46235</v>
      </c>
      <c r="R2" s="409">
        <v>46235</v>
      </c>
      <c r="S2" s="408">
        <v>46266</v>
      </c>
      <c r="T2" s="408">
        <v>46266</v>
      </c>
      <c r="U2" s="409">
        <v>46296</v>
      </c>
      <c r="V2" s="409">
        <v>46296</v>
      </c>
      <c r="W2" s="408">
        <v>46327</v>
      </c>
      <c r="X2" s="408">
        <v>46327</v>
      </c>
      <c r="Y2" s="409">
        <v>46357</v>
      </c>
      <c r="Z2" s="409">
        <v>46357</v>
      </c>
    </row>
    <row r="3" spans="1:26" ht="13.8" x14ac:dyDescent="0.3">
      <c r="A3" s="411" t="s">
        <v>5</v>
      </c>
      <c r="C3" s="412">
        <f t="shared" ref="C3:Z3" si="0">SUM(C4:C5)</f>
        <v>7500</v>
      </c>
      <c r="D3" s="412">
        <f t="shared" si="0"/>
        <v>2706</v>
      </c>
      <c r="E3" s="412">
        <f t="shared" si="0"/>
        <v>7500</v>
      </c>
      <c r="F3" s="412">
        <f t="shared" si="0"/>
        <v>3774.1</v>
      </c>
      <c r="G3" s="412">
        <f t="shared" si="0"/>
        <v>7500</v>
      </c>
      <c r="H3" s="412">
        <f t="shared" si="0"/>
        <v>3913</v>
      </c>
      <c r="I3" s="412">
        <f t="shared" si="0"/>
        <v>3913</v>
      </c>
      <c r="J3" s="412">
        <f t="shared" si="0"/>
        <v>3918</v>
      </c>
      <c r="K3" s="412">
        <f t="shared" si="0"/>
        <v>8250</v>
      </c>
      <c r="L3" s="412">
        <f t="shared" si="0"/>
        <v>0</v>
      </c>
      <c r="M3" s="412">
        <f t="shared" si="0"/>
        <v>8250</v>
      </c>
      <c r="N3" s="412">
        <f t="shared" si="0"/>
        <v>0</v>
      </c>
      <c r="O3" s="412">
        <f t="shared" si="0"/>
        <v>8745</v>
      </c>
      <c r="P3" s="412">
        <f t="shared" si="0"/>
        <v>0</v>
      </c>
      <c r="Q3" s="412">
        <f t="shared" si="0"/>
        <v>0</v>
      </c>
      <c r="R3" s="412">
        <f t="shared" si="0"/>
        <v>0</v>
      </c>
      <c r="S3" s="412">
        <f t="shared" si="0"/>
        <v>0</v>
      </c>
      <c r="T3" s="412">
        <f t="shared" si="0"/>
        <v>0</v>
      </c>
      <c r="U3" s="412">
        <f t="shared" si="0"/>
        <v>0</v>
      </c>
      <c r="V3" s="412">
        <f t="shared" si="0"/>
        <v>0</v>
      </c>
      <c r="W3" s="412">
        <f t="shared" si="0"/>
        <v>0</v>
      </c>
      <c r="X3" s="412">
        <f t="shared" si="0"/>
        <v>0</v>
      </c>
      <c r="Y3" s="412">
        <f t="shared" si="0"/>
        <v>0</v>
      </c>
      <c r="Z3" s="412">
        <f t="shared" si="0"/>
        <v>0</v>
      </c>
    </row>
    <row r="4" spans="1:26" ht="13.8" outlineLevel="1" x14ac:dyDescent="0.3">
      <c r="A4" s="32" t="s">
        <v>656</v>
      </c>
      <c r="C4" s="432">
        <v>7500</v>
      </c>
      <c r="D4" s="432">
        <v>2706</v>
      </c>
      <c r="E4" s="432">
        <v>7500</v>
      </c>
      <c r="F4" s="432">
        <f>3556.2+217.9</f>
        <v>3774.1</v>
      </c>
      <c r="G4" s="432">
        <v>7500</v>
      </c>
      <c r="H4" s="432">
        <v>3913</v>
      </c>
      <c r="I4" s="432">
        <v>3913</v>
      </c>
      <c r="J4" s="432">
        <v>3918</v>
      </c>
      <c r="K4" s="432">
        <v>8250</v>
      </c>
      <c r="L4" s="432"/>
      <c r="M4" s="432">
        <v>8250</v>
      </c>
      <c r="N4" s="432"/>
      <c r="O4" s="432">
        <f t="shared" ref="O4:O5" si="1">M4*0.06+M4</f>
        <v>8745</v>
      </c>
      <c r="P4" s="432"/>
      <c r="Q4" s="432"/>
      <c r="R4" s="432"/>
      <c r="S4" s="432"/>
      <c r="T4" s="432"/>
      <c r="U4" s="432"/>
      <c r="V4" s="432"/>
      <c r="W4" s="432"/>
      <c r="X4" s="432"/>
      <c r="Y4" s="432"/>
      <c r="Z4" s="432"/>
    </row>
    <row r="5" spans="1:26" ht="13.8" outlineLevel="1" x14ac:dyDescent="0.3">
      <c r="A5" s="32" t="s">
        <v>660</v>
      </c>
      <c r="C5" s="432">
        <v>0</v>
      </c>
      <c r="D5" s="432">
        <v>0</v>
      </c>
      <c r="E5" s="432">
        <v>0</v>
      </c>
      <c r="F5" s="432"/>
      <c r="G5" s="432">
        <v>0</v>
      </c>
      <c r="H5" s="432"/>
      <c r="I5" s="432">
        <f t="shared" ref="I5" si="2">G5*0.1+G5</f>
        <v>0</v>
      </c>
      <c r="J5" s="432"/>
      <c r="K5" s="432">
        <v>0</v>
      </c>
      <c r="L5" s="432"/>
      <c r="M5" s="432">
        <v>0</v>
      </c>
      <c r="N5" s="432"/>
      <c r="O5" s="432">
        <f t="shared" si="1"/>
        <v>0</v>
      </c>
      <c r="P5" s="432"/>
      <c r="Q5" s="432">
        <v>0</v>
      </c>
      <c r="R5" s="432"/>
      <c r="S5" s="432">
        <v>0</v>
      </c>
      <c r="T5" s="432"/>
      <c r="U5" s="432">
        <f t="shared" ref="U5" si="3">S5*0.05+S5</f>
        <v>0</v>
      </c>
      <c r="V5" s="432"/>
      <c r="W5" s="432">
        <v>0</v>
      </c>
      <c r="X5" s="432"/>
      <c r="Y5" s="432">
        <v>0</v>
      </c>
      <c r="Z5" s="432">
        <v>0</v>
      </c>
    </row>
    <row r="6" spans="1:26" ht="13.8" x14ac:dyDescent="0.3">
      <c r="A6" s="411"/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413"/>
      <c r="R6" s="413"/>
      <c r="S6" s="413"/>
      <c r="T6" s="413"/>
      <c r="U6" s="413"/>
      <c r="V6" s="413"/>
      <c r="W6" s="413"/>
      <c r="X6" s="413"/>
      <c r="Y6" s="413"/>
      <c r="Z6" s="413"/>
    </row>
    <row r="7" spans="1:26" ht="14.4" thickBot="1" x14ac:dyDescent="0.35">
      <c r="C7" s="31"/>
      <c r="D7" s="31"/>
      <c r="E7" s="207"/>
      <c r="F7" s="207"/>
      <c r="G7" s="33"/>
      <c r="H7" s="33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3.8" x14ac:dyDescent="0.3">
      <c r="A8" s="414" t="s">
        <v>58</v>
      </c>
      <c r="C8" s="443">
        <f>SUM(C9:C21)</f>
        <v>2250</v>
      </c>
      <c r="D8" s="443">
        <f t="shared" ref="D8:Z8" si="4">SUM(D9:D21)</f>
        <v>578</v>
      </c>
      <c r="E8" s="443">
        <f t="shared" si="4"/>
        <v>2250</v>
      </c>
      <c r="F8" s="443">
        <f t="shared" si="4"/>
        <v>1002.38</v>
      </c>
      <c r="G8" s="443">
        <f t="shared" si="4"/>
        <v>2250</v>
      </c>
      <c r="H8" s="443">
        <f t="shared" si="4"/>
        <v>1205.54</v>
      </c>
      <c r="I8" s="443">
        <f t="shared" si="4"/>
        <v>1173.9000000000001</v>
      </c>
      <c r="J8" s="443">
        <f t="shared" si="4"/>
        <v>1404.5</v>
      </c>
      <c r="K8" s="443">
        <f t="shared" si="4"/>
        <v>2475</v>
      </c>
      <c r="L8" s="443">
        <f t="shared" si="4"/>
        <v>0</v>
      </c>
      <c r="M8" s="443">
        <f t="shared" si="4"/>
        <v>2475</v>
      </c>
      <c r="N8" s="443">
        <f t="shared" si="4"/>
        <v>0</v>
      </c>
      <c r="O8" s="443">
        <f t="shared" si="4"/>
        <v>2623.5</v>
      </c>
      <c r="P8" s="443">
        <f t="shared" si="4"/>
        <v>0</v>
      </c>
      <c r="Q8" s="443">
        <f t="shared" si="4"/>
        <v>0</v>
      </c>
      <c r="R8" s="443">
        <f t="shared" si="4"/>
        <v>0</v>
      </c>
      <c r="S8" s="443">
        <f t="shared" si="4"/>
        <v>0</v>
      </c>
      <c r="T8" s="443">
        <f t="shared" si="4"/>
        <v>0</v>
      </c>
      <c r="U8" s="443">
        <f t="shared" si="4"/>
        <v>0</v>
      </c>
      <c r="V8" s="443">
        <f t="shared" si="4"/>
        <v>0</v>
      </c>
      <c r="W8" s="443">
        <f t="shared" si="4"/>
        <v>0</v>
      </c>
      <c r="X8" s="443">
        <f t="shared" si="4"/>
        <v>0</v>
      </c>
      <c r="Y8" s="443">
        <f t="shared" si="4"/>
        <v>0</v>
      </c>
      <c r="Z8" s="441">
        <f t="shared" si="4"/>
        <v>0</v>
      </c>
    </row>
    <row r="9" spans="1:26" ht="13.8" x14ac:dyDescent="0.3">
      <c r="A9" s="415" t="s">
        <v>59</v>
      </c>
      <c r="C9" s="442">
        <v>0</v>
      </c>
      <c r="D9" s="442">
        <v>0</v>
      </c>
      <c r="E9" s="442">
        <v>0</v>
      </c>
      <c r="F9" s="442">
        <v>0</v>
      </c>
      <c r="G9" s="442">
        <v>0</v>
      </c>
      <c r="H9" s="442">
        <v>0</v>
      </c>
      <c r="I9" s="442">
        <v>0</v>
      </c>
      <c r="J9" s="442">
        <v>0</v>
      </c>
      <c r="K9" s="442">
        <v>0</v>
      </c>
      <c r="L9" s="442">
        <v>0</v>
      </c>
      <c r="M9" s="442">
        <v>0</v>
      </c>
      <c r="N9" s="442">
        <v>0</v>
      </c>
      <c r="O9" s="442">
        <v>0</v>
      </c>
      <c r="P9" s="442">
        <v>0</v>
      </c>
      <c r="Q9" s="442">
        <v>0</v>
      </c>
      <c r="R9" s="442">
        <v>0</v>
      </c>
      <c r="S9" s="442">
        <v>0</v>
      </c>
      <c r="T9" s="442">
        <v>0</v>
      </c>
      <c r="U9" s="442">
        <v>0</v>
      </c>
      <c r="V9" s="442">
        <v>0</v>
      </c>
      <c r="W9" s="442">
        <v>0</v>
      </c>
      <c r="X9" s="442">
        <v>0</v>
      </c>
      <c r="Y9" s="442">
        <v>0</v>
      </c>
      <c r="Z9" s="442">
        <v>0</v>
      </c>
    </row>
    <row r="10" spans="1:26" ht="13.8" x14ac:dyDescent="0.3">
      <c r="A10" s="416" t="s">
        <v>661</v>
      </c>
      <c r="C10" s="442">
        <v>0</v>
      </c>
      <c r="D10" s="442">
        <v>0</v>
      </c>
      <c r="E10" s="442">
        <v>0</v>
      </c>
      <c r="F10" s="442">
        <v>0</v>
      </c>
      <c r="G10" s="442">
        <v>0</v>
      </c>
      <c r="H10" s="442">
        <v>0</v>
      </c>
      <c r="I10" s="442">
        <v>0</v>
      </c>
      <c r="J10" s="442">
        <v>0</v>
      </c>
      <c r="K10" s="442">
        <v>0</v>
      </c>
      <c r="L10" s="442">
        <v>0</v>
      </c>
      <c r="M10" s="442">
        <v>0</v>
      </c>
      <c r="N10" s="442">
        <v>0</v>
      </c>
      <c r="O10" s="442">
        <v>0</v>
      </c>
      <c r="P10" s="442">
        <v>0</v>
      </c>
      <c r="Q10" s="442">
        <v>0</v>
      </c>
      <c r="R10" s="442">
        <v>0</v>
      </c>
      <c r="S10" s="442">
        <v>0</v>
      </c>
      <c r="T10" s="442">
        <v>0</v>
      </c>
      <c r="U10" s="442">
        <v>0</v>
      </c>
      <c r="V10" s="442">
        <v>0</v>
      </c>
      <c r="W10" s="442">
        <v>0</v>
      </c>
      <c r="X10" s="442">
        <v>0</v>
      </c>
      <c r="Y10" s="442">
        <v>0</v>
      </c>
      <c r="Z10" s="442">
        <v>0</v>
      </c>
    </row>
    <row r="11" spans="1:26" ht="13.8" x14ac:dyDescent="0.3">
      <c r="A11" s="416" t="s">
        <v>60</v>
      </c>
      <c r="C11" s="442">
        <v>0</v>
      </c>
      <c r="D11" s="442">
        <v>0</v>
      </c>
      <c r="E11" s="442">
        <v>0</v>
      </c>
      <c r="F11" s="442">
        <v>0</v>
      </c>
      <c r="G11" s="442">
        <v>0</v>
      </c>
      <c r="H11" s="442">
        <v>0</v>
      </c>
      <c r="I11" s="442">
        <v>0</v>
      </c>
      <c r="J11" s="442">
        <v>0</v>
      </c>
      <c r="K11" s="442">
        <v>0</v>
      </c>
      <c r="L11" s="442">
        <v>0</v>
      </c>
      <c r="M11" s="442">
        <v>0</v>
      </c>
      <c r="N11" s="442">
        <v>0</v>
      </c>
      <c r="O11" s="442">
        <v>0</v>
      </c>
      <c r="P11" s="442">
        <v>0</v>
      </c>
      <c r="Q11" s="442">
        <v>0</v>
      </c>
      <c r="R11" s="442">
        <v>0</v>
      </c>
      <c r="S11" s="442">
        <v>0</v>
      </c>
      <c r="T11" s="442">
        <v>0</v>
      </c>
      <c r="U11" s="442">
        <v>0</v>
      </c>
      <c r="V11" s="442">
        <v>0</v>
      </c>
      <c r="W11" s="442">
        <v>0</v>
      </c>
      <c r="X11" s="442">
        <v>0</v>
      </c>
      <c r="Y11" s="442">
        <v>0</v>
      </c>
      <c r="Z11" s="442">
        <v>0</v>
      </c>
    </row>
    <row r="12" spans="1:26" ht="13.8" x14ac:dyDescent="0.3">
      <c r="A12" s="416" t="s">
        <v>61</v>
      </c>
      <c r="C12" s="442">
        <v>0</v>
      </c>
      <c r="D12" s="442">
        <v>0</v>
      </c>
      <c r="E12" s="442">
        <v>0</v>
      </c>
      <c r="F12" s="442">
        <v>0</v>
      </c>
      <c r="G12" s="442">
        <v>0</v>
      </c>
      <c r="H12" s="442">
        <v>0</v>
      </c>
      <c r="I12" s="442">
        <v>0</v>
      </c>
      <c r="J12" s="442">
        <v>0</v>
      </c>
      <c r="K12" s="442">
        <v>0</v>
      </c>
      <c r="L12" s="442">
        <v>0</v>
      </c>
      <c r="M12" s="442">
        <v>0</v>
      </c>
      <c r="N12" s="442">
        <v>0</v>
      </c>
      <c r="O12" s="442">
        <v>0</v>
      </c>
      <c r="P12" s="442">
        <v>0</v>
      </c>
      <c r="Q12" s="442">
        <v>0</v>
      </c>
      <c r="R12" s="442">
        <v>0</v>
      </c>
      <c r="S12" s="442">
        <v>0</v>
      </c>
      <c r="T12" s="442">
        <v>0</v>
      </c>
      <c r="U12" s="442">
        <v>0</v>
      </c>
      <c r="V12" s="442">
        <v>0</v>
      </c>
      <c r="W12" s="442">
        <v>0</v>
      </c>
      <c r="X12" s="442">
        <v>0</v>
      </c>
      <c r="Y12" s="442">
        <v>0</v>
      </c>
      <c r="Z12" s="442">
        <v>0</v>
      </c>
    </row>
    <row r="13" spans="1:26" ht="13.8" x14ac:dyDescent="0.3">
      <c r="A13" s="416" t="s">
        <v>662</v>
      </c>
      <c r="C13" s="442">
        <v>0</v>
      </c>
      <c r="D13" s="442">
        <v>0</v>
      </c>
      <c r="E13" s="442">
        <v>0</v>
      </c>
      <c r="F13" s="442">
        <v>0</v>
      </c>
      <c r="G13" s="442">
        <v>0</v>
      </c>
      <c r="H13" s="442">
        <v>0</v>
      </c>
      <c r="I13" s="442">
        <v>0</v>
      </c>
      <c r="J13" s="442">
        <v>0</v>
      </c>
      <c r="K13" s="442">
        <v>0</v>
      </c>
      <c r="L13" s="442">
        <v>0</v>
      </c>
      <c r="M13" s="442">
        <v>0</v>
      </c>
      <c r="N13" s="442">
        <v>0</v>
      </c>
      <c r="O13" s="442">
        <v>0</v>
      </c>
      <c r="P13" s="442">
        <v>0</v>
      </c>
      <c r="Q13" s="442">
        <v>0</v>
      </c>
      <c r="R13" s="442">
        <v>0</v>
      </c>
      <c r="S13" s="442">
        <v>0</v>
      </c>
      <c r="T13" s="442">
        <v>0</v>
      </c>
      <c r="U13" s="442">
        <v>0</v>
      </c>
      <c r="V13" s="442">
        <v>0</v>
      </c>
      <c r="W13" s="442">
        <v>0</v>
      </c>
      <c r="X13" s="442">
        <v>0</v>
      </c>
      <c r="Y13" s="442">
        <v>0</v>
      </c>
      <c r="Z13" s="442">
        <v>0</v>
      </c>
    </row>
    <row r="14" spans="1:26" ht="13.8" x14ac:dyDescent="0.3">
      <c r="A14" s="416" t="s">
        <v>62</v>
      </c>
      <c r="C14" s="442">
        <v>0</v>
      </c>
      <c r="D14" s="442">
        <v>0</v>
      </c>
      <c r="E14" s="442">
        <v>0</v>
      </c>
      <c r="F14" s="442">
        <v>0</v>
      </c>
      <c r="G14" s="442">
        <v>0</v>
      </c>
      <c r="H14" s="442">
        <v>0</v>
      </c>
      <c r="I14" s="442">
        <v>0</v>
      </c>
      <c r="J14" s="442">
        <v>0</v>
      </c>
      <c r="K14" s="442">
        <v>0</v>
      </c>
      <c r="L14" s="442">
        <v>0</v>
      </c>
      <c r="M14" s="442">
        <v>0</v>
      </c>
      <c r="N14" s="442">
        <v>0</v>
      </c>
      <c r="O14" s="442">
        <v>0</v>
      </c>
      <c r="P14" s="442">
        <v>0</v>
      </c>
      <c r="Q14" s="442">
        <v>0</v>
      </c>
      <c r="R14" s="442">
        <v>0</v>
      </c>
      <c r="S14" s="442">
        <v>0</v>
      </c>
      <c r="T14" s="442">
        <v>0</v>
      </c>
      <c r="U14" s="442">
        <v>0</v>
      </c>
      <c r="V14" s="442">
        <v>0</v>
      </c>
      <c r="W14" s="442">
        <v>0</v>
      </c>
      <c r="X14" s="442">
        <v>0</v>
      </c>
      <c r="Y14" s="442">
        <v>0</v>
      </c>
      <c r="Z14" s="442">
        <v>0</v>
      </c>
    </row>
    <row r="15" spans="1:26" ht="13.8" x14ac:dyDescent="0.3">
      <c r="A15" s="416" t="s">
        <v>63</v>
      </c>
      <c r="C15" s="442">
        <v>0</v>
      </c>
      <c r="D15" s="442">
        <v>0</v>
      </c>
      <c r="E15" s="442">
        <v>0</v>
      </c>
      <c r="F15" s="442">
        <v>0</v>
      </c>
      <c r="G15" s="442">
        <v>0</v>
      </c>
      <c r="H15" s="442">
        <v>0</v>
      </c>
      <c r="I15" s="442">
        <v>0</v>
      </c>
      <c r="J15" s="442">
        <v>0</v>
      </c>
      <c r="K15" s="442">
        <v>0</v>
      </c>
      <c r="L15" s="442">
        <v>0</v>
      </c>
      <c r="M15" s="442">
        <v>0</v>
      </c>
      <c r="N15" s="442">
        <v>0</v>
      </c>
      <c r="O15" s="442">
        <v>0</v>
      </c>
      <c r="P15" s="442">
        <v>0</v>
      </c>
      <c r="Q15" s="442">
        <v>0</v>
      </c>
      <c r="R15" s="442">
        <v>0</v>
      </c>
      <c r="S15" s="442">
        <v>0</v>
      </c>
      <c r="T15" s="442">
        <v>0</v>
      </c>
      <c r="U15" s="442">
        <v>0</v>
      </c>
      <c r="V15" s="442">
        <v>0</v>
      </c>
      <c r="W15" s="442">
        <v>0</v>
      </c>
      <c r="X15" s="442">
        <v>0</v>
      </c>
      <c r="Y15" s="442">
        <v>0</v>
      </c>
      <c r="Z15" s="442">
        <v>0</v>
      </c>
    </row>
    <row r="16" spans="1:26" ht="13.8" x14ac:dyDescent="0.3">
      <c r="A16" s="416" t="s">
        <v>64</v>
      </c>
      <c r="C16" s="442">
        <v>0</v>
      </c>
      <c r="D16" s="442">
        <v>0</v>
      </c>
      <c r="E16" s="442">
        <v>0</v>
      </c>
      <c r="F16" s="442">
        <v>0</v>
      </c>
      <c r="G16" s="442">
        <v>0</v>
      </c>
      <c r="H16" s="442">
        <v>0</v>
      </c>
      <c r="I16" s="442">
        <v>0</v>
      </c>
      <c r="J16" s="442">
        <v>0</v>
      </c>
      <c r="K16" s="442">
        <v>0</v>
      </c>
      <c r="L16" s="442">
        <v>0</v>
      </c>
      <c r="M16" s="442">
        <v>0</v>
      </c>
      <c r="N16" s="442">
        <v>0</v>
      </c>
      <c r="O16" s="442">
        <v>0</v>
      </c>
      <c r="P16" s="442">
        <v>0</v>
      </c>
      <c r="Q16" s="442">
        <v>0</v>
      </c>
      <c r="R16" s="442">
        <v>0</v>
      </c>
      <c r="S16" s="442">
        <v>0</v>
      </c>
      <c r="T16" s="442">
        <v>0</v>
      </c>
      <c r="U16" s="442">
        <v>0</v>
      </c>
      <c r="V16" s="442">
        <v>0</v>
      </c>
      <c r="W16" s="442">
        <v>0</v>
      </c>
      <c r="X16" s="442">
        <v>0</v>
      </c>
      <c r="Y16" s="442">
        <v>0</v>
      </c>
      <c r="Z16" s="442">
        <v>0</v>
      </c>
    </row>
    <row r="17" spans="1:26" ht="13.8" x14ac:dyDescent="0.3">
      <c r="A17" s="416" t="s">
        <v>663</v>
      </c>
      <c r="C17" s="442">
        <v>0</v>
      </c>
      <c r="D17" s="442">
        <v>0</v>
      </c>
      <c r="E17" s="442">
        <v>0</v>
      </c>
      <c r="F17" s="442">
        <v>0</v>
      </c>
      <c r="G17" s="442">
        <v>0</v>
      </c>
      <c r="H17" s="442">
        <v>0</v>
      </c>
      <c r="I17" s="442">
        <v>0</v>
      </c>
      <c r="J17" s="442">
        <v>0</v>
      </c>
      <c r="K17" s="442">
        <v>0</v>
      </c>
      <c r="L17" s="442">
        <v>0</v>
      </c>
      <c r="M17" s="442">
        <v>0</v>
      </c>
      <c r="N17" s="442">
        <v>0</v>
      </c>
      <c r="O17" s="442">
        <v>0</v>
      </c>
      <c r="P17" s="442">
        <v>0</v>
      </c>
      <c r="Q17" s="442">
        <v>0</v>
      </c>
      <c r="R17" s="442">
        <v>0</v>
      </c>
      <c r="S17" s="442">
        <v>0</v>
      </c>
      <c r="T17" s="442">
        <v>0</v>
      </c>
      <c r="U17" s="442">
        <v>0</v>
      </c>
      <c r="V17" s="442">
        <v>0</v>
      </c>
      <c r="W17" s="442">
        <v>0</v>
      </c>
      <c r="X17" s="442">
        <v>0</v>
      </c>
      <c r="Y17" s="442">
        <v>0</v>
      </c>
      <c r="Z17" s="442">
        <v>0</v>
      </c>
    </row>
    <row r="18" spans="1:26" ht="13.8" x14ac:dyDescent="0.3">
      <c r="A18" s="416" t="s">
        <v>65</v>
      </c>
      <c r="C18" s="442">
        <v>0</v>
      </c>
      <c r="D18" s="442">
        <v>0</v>
      </c>
      <c r="E18" s="442">
        <v>0</v>
      </c>
      <c r="F18" s="442">
        <v>0</v>
      </c>
      <c r="G18" s="442">
        <v>0</v>
      </c>
      <c r="H18" s="442">
        <v>0</v>
      </c>
      <c r="I18" s="442">
        <v>0</v>
      </c>
      <c r="J18" s="442">
        <v>0</v>
      </c>
      <c r="K18" s="442">
        <v>0</v>
      </c>
      <c r="L18" s="442">
        <v>0</v>
      </c>
      <c r="M18" s="442">
        <v>0</v>
      </c>
      <c r="N18" s="442">
        <v>0</v>
      </c>
      <c r="O18" s="442">
        <v>0</v>
      </c>
      <c r="P18" s="442">
        <v>0</v>
      </c>
      <c r="Q18" s="442">
        <v>0</v>
      </c>
      <c r="R18" s="442">
        <v>0</v>
      </c>
      <c r="S18" s="442">
        <v>0</v>
      </c>
      <c r="T18" s="442">
        <v>0</v>
      </c>
      <c r="U18" s="442">
        <v>0</v>
      </c>
      <c r="V18" s="442">
        <v>0</v>
      </c>
      <c r="W18" s="442">
        <v>0</v>
      </c>
      <c r="X18" s="442">
        <v>0</v>
      </c>
      <c r="Y18" s="442">
        <v>0</v>
      </c>
      <c r="Z18" s="442">
        <v>0</v>
      </c>
    </row>
    <row r="19" spans="1:26" ht="13.8" x14ac:dyDescent="0.3">
      <c r="A19" s="416" t="s">
        <v>664</v>
      </c>
      <c r="C19" s="442">
        <f>C4*0.25</f>
        <v>1875</v>
      </c>
      <c r="D19" s="442">
        <v>578</v>
      </c>
      <c r="E19" s="442">
        <f>E4*0.25</f>
        <v>1875</v>
      </c>
      <c r="F19" s="442">
        <v>671.91</v>
      </c>
      <c r="G19" s="442">
        <f>G4*0.25</f>
        <v>1875</v>
      </c>
      <c r="H19" s="442">
        <v>1205.54</v>
      </c>
      <c r="I19" s="442">
        <f>I4*0.25</f>
        <v>978.25</v>
      </c>
      <c r="J19" s="442">
        <v>1118</v>
      </c>
      <c r="K19" s="442">
        <f>K4*0.25</f>
        <v>2062.5</v>
      </c>
      <c r="L19" s="442">
        <v>0</v>
      </c>
      <c r="M19" s="442">
        <f>M4*0.25</f>
        <v>2062.5</v>
      </c>
      <c r="N19" s="442">
        <v>0</v>
      </c>
      <c r="O19" s="442">
        <f>O4*0.25</f>
        <v>2186.25</v>
      </c>
      <c r="P19" s="442">
        <v>0</v>
      </c>
      <c r="Q19" s="442">
        <f>Q4*0.25</f>
        <v>0</v>
      </c>
      <c r="R19" s="442">
        <v>0</v>
      </c>
      <c r="S19" s="442">
        <f>S4*0.25</f>
        <v>0</v>
      </c>
      <c r="T19" s="442">
        <v>0</v>
      </c>
      <c r="U19" s="442">
        <f>U4*0.25</f>
        <v>0</v>
      </c>
      <c r="V19" s="442">
        <v>0</v>
      </c>
      <c r="W19" s="442">
        <f>W4*0.25</f>
        <v>0</v>
      </c>
      <c r="X19" s="442">
        <v>0</v>
      </c>
      <c r="Y19" s="442">
        <f>Y4*0.25</f>
        <v>0</v>
      </c>
      <c r="Z19" s="442">
        <v>0</v>
      </c>
    </row>
    <row r="20" spans="1:26" ht="13.8" x14ac:dyDescent="0.3">
      <c r="A20" s="416" t="s">
        <v>665</v>
      </c>
      <c r="C20" s="442">
        <f>C4*0.05</f>
        <v>375</v>
      </c>
      <c r="D20" s="442">
        <v>0</v>
      </c>
      <c r="E20" s="442">
        <f>E4*0.05</f>
        <v>375</v>
      </c>
      <c r="F20" s="442">
        <v>330.47</v>
      </c>
      <c r="G20" s="442">
        <f>G4*0.05</f>
        <v>375</v>
      </c>
      <c r="H20" s="442">
        <v>0</v>
      </c>
      <c r="I20" s="442">
        <f>I4*0.05</f>
        <v>195.65</v>
      </c>
      <c r="J20" s="442">
        <v>286.5</v>
      </c>
      <c r="K20" s="442">
        <f>K4*0.05</f>
        <v>412.5</v>
      </c>
      <c r="L20" s="442">
        <v>0</v>
      </c>
      <c r="M20" s="442">
        <f>M4*0.05</f>
        <v>412.5</v>
      </c>
      <c r="N20" s="442">
        <v>0</v>
      </c>
      <c r="O20" s="442">
        <f>O4*0.05</f>
        <v>437.25</v>
      </c>
      <c r="P20" s="442">
        <v>0</v>
      </c>
      <c r="Q20" s="442">
        <f>Q4*0.05</f>
        <v>0</v>
      </c>
      <c r="R20" s="442">
        <v>0</v>
      </c>
      <c r="S20" s="442">
        <f>S4*0.05</f>
        <v>0</v>
      </c>
      <c r="T20" s="442">
        <v>0</v>
      </c>
      <c r="U20" s="442">
        <f>U4*0.05</f>
        <v>0</v>
      </c>
      <c r="V20" s="442">
        <v>0</v>
      </c>
      <c r="W20" s="442">
        <f>W4*0.05</f>
        <v>0</v>
      </c>
      <c r="X20" s="442">
        <v>0</v>
      </c>
      <c r="Y20" s="442">
        <f>Y4*0.05</f>
        <v>0</v>
      </c>
      <c r="Z20" s="442">
        <v>0</v>
      </c>
    </row>
    <row r="21" spans="1:26" ht="13.8" x14ac:dyDescent="0.3">
      <c r="A21" s="415" t="s">
        <v>666</v>
      </c>
      <c r="C21" s="442">
        <v>0</v>
      </c>
      <c r="D21" s="442">
        <v>0</v>
      </c>
      <c r="E21" s="442">
        <v>0</v>
      </c>
      <c r="F21" s="442">
        <v>0</v>
      </c>
      <c r="G21" s="442">
        <v>0</v>
      </c>
      <c r="H21" s="442">
        <v>0</v>
      </c>
      <c r="I21" s="442">
        <v>0</v>
      </c>
      <c r="J21" s="442">
        <v>0</v>
      </c>
      <c r="K21" s="442">
        <v>0</v>
      </c>
      <c r="L21" s="442">
        <v>0</v>
      </c>
      <c r="M21" s="442">
        <v>0</v>
      </c>
      <c r="N21" s="442">
        <v>0</v>
      </c>
      <c r="O21" s="442">
        <v>0</v>
      </c>
      <c r="P21" s="442">
        <v>0</v>
      </c>
      <c r="Q21" s="442">
        <v>0</v>
      </c>
      <c r="R21" s="442">
        <v>0</v>
      </c>
      <c r="S21" s="442">
        <v>0</v>
      </c>
      <c r="T21" s="442">
        <v>0</v>
      </c>
      <c r="U21" s="442">
        <v>0</v>
      </c>
      <c r="V21" s="442">
        <v>0</v>
      </c>
      <c r="W21" s="442">
        <v>0</v>
      </c>
      <c r="X21" s="442">
        <v>0</v>
      </c>
      <c r="Y21" s="442">
        <v>0</v>
      </c>
      <c r="Z21" s="442">
        <v>0</v>
      </c>
    </row>
    <row r="22" spans="1:26" ht="14.4" thickBot="1" x14ac:dyDescent="0.35">
      <c r="A22" s="417" t="s">
        <v>667</v>
      </c>
      <c r="C22" s="418">
        <f>C3-C8</f>
        <v>5250</v>
      </c>
      <c r="D22" s="418">
        <f t="shared" ref="D22:Z22" si="5">D3-D8</f>
        <v>2128</v>
      </c>
      <c r="E22" s="418">
        <f t="shared" si="5"/>
        <v>5250</v>
      </c>
      <c r="F22" s="418">
        <f t="shared" si="5"/>
        <v>2771.72</v>
      </c>
      <c r="G22" s="418">
        <f t="shared" si="5"/>
        <v>5250</v>
      </c>
      <c r="H22" s="418">
        <f t="shared" si="5"/>
        <v>2707.46</v>
      </c>
      <c r="I22" s="418">
        <f t="shared" si="5"/>
        <v>2739.1</v>
      </c>
      <c r="J22" s="418">
        <f t="shared" si="5"/>
        <v>2513.5</v>
      </c>
      <c r="K22" s="418">
        <f t="shared" si="5"/>
        <v>5775</v>
      </c>
      <c r="L22" s="418">
        <f t="shared" si="5"/>
        <v>0</v>
      </c>
      <c r="M22" s="418">
        <f t="shared" si="5"/>
        <v>5775</v>
      </c>
      <c r="N22" s="418">
        <f t="shared" si="5"/>
        <v>0</v>
      </c>
      <c r="O22" s="418">
        <f t="shared" si="5"/>
        <v>6121.5</v>
      </c>
      <c r="P22" s="418">
        <f t="shared" si="5"/>
        <v>0</v>
      </c>
      <c r="Q22" s="418">
        <f t="shared" si="5"/>
        <v>0</v>
      </c>
      <c r="R22" s="418">
        <f t="shared" si="5"/>
        <v>0</v>
      </c>
      <c r="S22" s="418">
        <f t="shared" si="5"/>
        <v>0</v>
      </c>
      <c r="T22" s="418">
        <f t="shared" si="5"/>
        <v>0</v>
      </c>
      <c r="U22" s="418">
        <f t="shared" si="5"/>
        <v>0</v>
      </c>
      <c r="V22" s="418">
        <f t="shared" si="5"/>
        <v>0</v>
      </c>
      <c r="W22" s="418">
        <f t="shared" si="5"/>
        <v>0</v>
      </c>
      <c r="X22" s="418">
        <f t="shared" si="5"/>
        <v>0</v>
      </c>
      <c r="Y22" s="418">
        <f t="shared" si="5"/>
        <v>0</v>
      </c>
      <c r="Z22" s="418">
        <f t="shared" si="5"/>
        <v>0</v>
      </c>
    </row>
    <row r="23" spans="1:26" x14ac:dyDescent="0.25">
      <c r="Q23" s="419"/>
      <c r="R23" s="419"/>
    </row>
    <row r="24" spans="1:26" x14ac:dyDescent="0.25">
      <c r="A24" s="421"/>
      <c r="K24" s="422"/>
      <c r="L24" s="422"/>
      <c r="Q24" s="423"/>
      <c r="R24" s="423"/>
    </row>
    <row r="25" spans="1:26" x14ac:dyDescent="0.25">
      <c r="Q25" s="421"/>
      <c r="R25" s="421"/>
    </row>
    <row r="26" spans="1:26" x14ac:dyDescent="0.25">
      <c r="A26" s="421"/>
      <c r="C26" s="424"/>
      <c r="D26" s="424"/>
      <c r="Q26" s="434"/>
      <c r="R26" s="434"/>
    </row>
    <row r="27" spans="1:26" x14ac:dyDescent="0.25">
      <c r="A27" s="424"/>
      <c r="C27" s="424"/>
      <c r="D27" s="424"/>
    </row>
    <row r="28" spans="1:26" x14ac:dyDescent="0.25">
      <c r="A28" s="421"/>
      <c r="C28" s="420"/>
      <c r="D28" s="420"/>
    </row>
    <row r="30" spans="1:26" x14ac:dyDescent="0.25">
      <c r="A30" s="420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0424-3A4F-4FE6-B44E-C067355939E8}">
  <sheetPr>
    <tabColor theme="9" tint="-0.249977111117893"/>
  </sheetPr>
  <dimension ref="A1:Z74"/>
  <sheetViews>
    <sheetView topLeftCell="A18" workbookViewId="0">
      <selection activeCell="A53" sqref="A53:Z74"/>
    </sheetView>
  </sheetViews>
  <sheetFormatPr defaultRowHeight="13.2" outlineLevelRow="1" outlineLevelCol="1" x14ac:dyDescent="0.25"/>
  <cols>
    <col min="1" max="1" width="30.6640625" bestFit="1" customWidth="1"/>
    <col min="2" max="2" width="1.33203125" customWidth="1"/>
    <col min="3" max="4" width="13.21875" customWidth="1" outlineLevel="1"/>
    <col min="5" max="8" width="13" customWidth="1" outlineLevel="1"/>
    <col min="9" max="10" width="12.88671875" customWidth="1" outlineLevel="1"/>
    <col min="11" max="12" width="12.88671875" customWidth="1"/>
    <col min="13" max="16" width="13" customWidth="1"/>
    <col min="17" max="18" width="15.5546875" customWidth="1"/>
    <col min="19" max="20" width="13" customWidth="1"/>
    <col min="21" max="22" width="12.77734375" customWidth="1"/>
    <col min="23" max="26" width="13" customWidth="1"/>
  </cols>
  <sheetData>
    <row r="1" spans="1:26" ht="13.8" x14ac:dyDescent="0.3">
      <c r="A1" s="407" t="s">
        <v>650</v>
      </c>
      <c r="C1" s="204" t="s">
        <v>690</v>
      </c>
      <c r="D1" s="204" t="s">
        <v>55</v>
      </c>
      <c r="E1" s="204" t="s">
        <v>690</v>
      </c>
      <c r="F1" s="204" t="s">
        <v>55</v>
      </c>
      <c r="G1" s="204" t="s">
        <v>690</v>
      </c>
      <c r="H1" s="204" t="s">
        <v>55</v>
      </c>
      <c r="I1" s="204" t="s">
        <v>690</v>
      </c>
      <c r="J1" s="204" t="s">
        <v>55</v>
      </c>
      <c r="K1" s="204" t="s">
        <v>690</v>
      </c>
      <c r="L1" s="204" t="s">
        <v>55</v>
      </c>
      <c r="M1" s="204" t="s">
        <v>690</v>
      </c>
      <c r="N1" s="204" t="s">
        <v>55</v>
      </c>
      <c r="O1" s="204" t="s">
        <v>690</v>
      </c>
      <c r="P1" s="204" t="s">
        <v>55</v>
      </c>
      <c r="Q1" s="204" t="s">
        <v>690</v>
      </c>
      <c r="R1" s="204" t="s">
        <v>55</v>
      </c>
      <c r="S1" s="204" t="s">
        <v>690</v>
      </c>
      <c r="T1" s="204" t="s">
        <v>55</v>
      </c>
      <c r="U1" s="204" t="s">
        <v>690</v>
      </c>
      <c r="V1" s="204" t="s">
        <v>55</v>
      </c>
      <c r="W1" s="204" t="s">
        <v>690</v>
      </c>
      <c r="X1" s="204" t="s">
        <v>55</v>
      </c>
      <c r="Y1" s="204" t="s">
        <v>690</v>
      </c>
      <c r="Z1" s="204" t="s">
        <v>55</v>
      </c>
    </row>
    <row r="2" spans="1:26" ht="13.8" x14ac:dyDescent="0.3">
      <c r="C2" s="408">
        <v>46023</v>
      </c>
      <c r="D2" s="408">
        <v>46023</v>
      </c>
      <c r="E2" s="409">
        <v>46054</v>
      </c>
      <c r="F2" s="409">
        <v>46054</v>
      </c>
      <c r="G2" s="408">
        <v>46082</v>
      </c>
      <c r="H2" s="408">
        <v>46082</v>
      </c>
      <c r="I2" s="409">
        <v>46113</v>
      </c>
      <c r="J2" s="409">
        <v>46113</v>
      </c>
      <c r="K2" s="408">
        <v>46143</v>
      </c>
      <c r="L2" s="408">
        <v>46143</v>
      </c>
      <c r="M2" s="409">
        <v>46174</v>
      </c>
      <c r="N2" s="409">
        <v>46174</v>
      </c>
      <c r="O2" s="408">
        <v>46204</v>
      </c>
      <c r="P2" s="408">
        <v>46204</v>
      </c>
      <c r="Q2" s="409">
        <v>46235</v>
      </c>
      <c r="R2" s="409">
        <v>46235</v>
      </c>
      <c r="S2" s="408">
        <v>46266</v>
      </c>
      <c r="T2" s="408">
        <v>46266</v>
      </c>
      <c r="U2" s="409">
        <v>46296</v>
      </c>
      <c r="V2" s="409">
        <v>46296</v>
      </c>
      <c r="W2" s="408">
        <v>46327</v>
      </c>
      <c r="X2" s="408">
        <v>46327</v>
      </c>
      <c r="Y2" s="409">
        <v>46357</v>
      </c>
      <c r="Z2" s="409">
        <v>46357</v>
      </c>
    </row>
    <row r="3" spans="1:26" ht="13.8" x14ac:dyDescent="0.3">
      <c r="A3" s="411" t="s">
        <v>5</v>
      </c>
      <c r="C3" s="412">
        <f t="shared" ref="C3:Z3" si="0">SUM(C4:C7)</f>
        <v>266500</v>
      </c>
      <c r="D3" s="412">
        <f t="shared" si="0"/>
        <v>435355.47</v>
      </c>
      <c r="E3" s="412">
        <f t="shared" si="0"/>
        <v>266500</v>
      </c>
      <c r="F3" s="412">
        <f t="shared" si="0"/>
        <v>363193.79000000004</v>
      </c>
      <c r="G3" s="412">
        <f t="shared" si="0"/>
        <v>263000</v>
      </c>
      <c r="H3" s="412">
        <f t="shared" si="0"/>
        <v>446257.54000000004</v>
      </c>
      <c r="I3" s="412">
        <f t="shared" si="0"/>
        <v>293150</v>
      </c>
      <c r="J3" s="412">
        <f t="shared" si="0"/>
        <v>545913.32999999996</v>
      </c>
      <c r="K3" s="412">
        <f t="shared" si="0"/>
        <v>293150</v>
      </c>
      <c r="L3" s="412">
        <f t="shared" si="0"/>
        <v>0</v>
      </c>
      <c r="M3" s="412">
        <f t="shared" si="0"/>
        <v>293150</v>
      </c>
      <c r="N3" s="412">
        <f t="shared" si="0"/>
        <v>0</v>
      </c>
      <c r="O3" s="412">
        <f t="shared" si="0"/>
        <v>310739</v>
      </c>
      <c r="P3" s="412">
        <f t="shared" si="0"/>
        <v>0</v>
      </c>
      <c r="Q3" s="412">
        <f t="shared" si="0"/>
        <v>310739</v>
      </c>
      <c r="R3" s="412">
        <f t="shared" si="0"/>
        <v>0</v>
      </c>
      <c r="S3" s="412">
        <f t="shared" si="0"/>
        <v>310739</v>
      </c>
      <c r="T3" s="412">
        <f t="shared" si="0"/>
        <v>0</v>
      </c>
      <c r="U3" s="412">
        <f t="shared" si="0"/>
        <v>326275.95</v>
      </c>
      <c r="V3" s="412">
        <f t="shared" si="0"/>
        <v>0</v>
      </c>
      <c r="W3" s="412">
        <f t="shared" si="0"/>
        <v>326275.95</v>
      </c>
      <c r="X3" s="412">
        <f t="shared" si="0"/>
        <v>0</v>
      </c>
      <c r="Y3" s="412">
        <f t="shared" si="0"/>
        <v>326275.95</v>
      </c>
      <c r="Z3" s="412">
        <f t="shared" si="0"/>
        <v>0</v>
      </c>
    </row>
    <row r="4" spans="1:26" ht="13.8" outlineLevel="1" x14ac:dyDescent="0.3">
      <c r="A4" s="32" t="s">
        <v>654</v>
      </c>
      <c r="C4" s="432">
        <v>260000</v>
      </c>
      <c r="D4" s="432">
        <v>413271.86</v>
      </c>
      <c r="E4" s="432">
        <v>260000</v>
      </c>
      <c r="F4" s="432">
        <v>347450.9</v>
      </c>
      <c r="G4" s="432">
        <v>260000</v>
      </c>
      <c r="H4" s="432">
        <v>412851.33</v>
      </c>
      <c r="I4" s="432">
        <v>286000</v>
      </c>
      <c r="J4" s="432">
        <f>507580.01</f>
        <v>507580.01</v>
      </c>
      <c r="K4" s="432">
        <v>286000</v>
      </c>
      <c r="L4" s="432"/>
      <c r="M4" s="432">
        <v>286000</v>
      </c>
      <c r="N4" s="432"/>
      <c r="O4" s="432">
        <f t="shared" ref="O4:O7" si="1">M4*0.06+M4</f>
        <v>303160</v>
      </c>
      <c r="P4" s="432"/>
      <c r="Q4" s="432">
        <v>303160</v>
      </c>
      <c r="R4" s="432"/>
      <c r="S4" s="432">
        <v>303160</v>
      </c>
      <c r="T4" s="432"/>
      <c r="U4" s="432">
        <f t="shared" ref="U4:U7" si="2">S4*0.05+S4</f>
        <v>318318</v>
      </c>
      <c r="V4" s="432"/>
      <c r="W4" s="432">
        <v>318318</v>
      </c>
      <c r="X4" s="432"/>
      <c r="Y4" s="432">
        <v>318318</v>
      </c>
      <c r="Z4" s="432">
        <v>0</v>
      </c>
    </row>
    <row r="5" spans="1:26" ht="13.8" outlineLevel="1" x14ac:dyDescent="0.3">
      <c r="A5" s="32" t="s">
        <v>657</v>
      </c>
      <c r="C5" s="432">
        <v>3500</v>
      </c>
      <c r="D5" s="432">
        <v>10223.040000000001</v>
      </c>
      <c r="E5" s="432">
        <v>3500</v>
      </c>
      <c r="F5" s="432">
        <v>0</v>
      </c>
      <c r="G5" s="432">
        <v>0</v>
      </c>
      <c r="H5" s="432"/>
      <c r="I5" s="432">
        <v>3850</v>
      </c>
      <c r="J5" s="432"/>
      <c r="K5" s="432">
        <v>3850</v>
      </c>
      <c r="L5" s="432"/>
      <c r="M5" s="432">
        <v>3850</v>
      </c>
      <c r="N5" s="432"/>
      <c r="O5" s="432">
        <f t="shared" si="1"/>
        <v>4081</v>
      </c>
      <c r="P5" s="432"/>
      <c r="Q5" s="432">
        <v>4081</v>
      </c>
      <c r="R5" s="432"/>
      <c r="S5" s="432">
        <v>4081</v>
      </c>
      <c r="T5" s="432"/>
      <c r="U5" s="432">
        <f t="shared" si="2"/>
        <v>4285.05</v>
      </c>
      <c r="V5" s="432"/>
      <c r="W5" s="432">
        <v>4285.05</v>
      </c>
      <c r="X5" s="432"/>
      <c r="Y5" s="432">
        <v>4285.05</v>
      </c>
      <c r="Z5" s="432">
        <v>0</v>
      </c>
    </row>
    <row r="6" spans="1:26" ht="13.8" outlineLevel="1" x14ac:dyDescent="0.3">
      <c r="A6" s="32" t="s">
        <v>658</v>
      </c>
      <c r="C6" s="432">
        <v>3000</v>
      </c>
      <c r="D6" s="432">
        <v>11860.57</v>
      </c>
      <c r="E6" s="432">
        <v>3000</v>
      </c>
      <c r="F6" s="432">
        <v>15742.89</v>
      </c>
      <c r="G6" s="432">
        <v>3000</v>
      </c>
      <c r="H6" s="432">
        <v>33406.21</v>
      </c>
      <c r="I6" s="432">
        <v>3300</v>
      </c>
      <c r="J6" s="432">
        <v>38333.32</v>
      </c>
      <c r="K6" s="432">
        <v>3300</v>
      </c>
      <c r="L6" s="432"/>
      <c r="M6" s="432">
        <v>3300</v>
      </c>
      <c r="N6" s="432"/>
      <c r="O6" s="432">
        <f t="shared" si="1"/>
        <v>3498</v>
      </c>
      <c r="P6" s="432"/>
      <c r="Q6" s="432">
        <v>3498</v>
      </c>
      <c r="R6" s="432"/>
      <c r="S6" s="432">
        <v>3498</v>
      </c>
      <c r="T6" s="432"/>
      <c r="U6" s="432">
        <f t="shared" si="2"/>
        <v>3672.9</v>
      </c>
      <c r="V6" s="432"/>
      <c r="W6" s="432">
        <v>3672.9</v>
      </c>
      <c r="X6" s="432"/>
      <c r="Y6" s="432">
        <v>3672.9</v>
      </c>
      <c r="Z6" s="432">
        <v>0</v>
      </c>
    </row>
    <row r="7" spans="1:26" ht="13.8" outlineLevel="1" x14ac:dyDescent="0.3">
      <c r="A7" s="32" t="s">
        <v>660</v>
      </c>
      <c r="C7" s="432">
        <v>0</v>
      </c>
      <c r="D7" s="432">
        <v>0</v>
      </c>
      <c r="E7" s="432">
        <v>0</v>
      </c>
      <c r="F7" s="432"/>
      <c r="G7" s="432">
        <v>0</v>
      </c>
      <c r="H7" s="432"/>
      <c r="I7" s="432">
        <f t="shared" ref="I7" si="3">G7*0.1+G7</f>
        <v>0</v>
      </c>
      <c r="J7" s="432"/>
      <c r="K7" s="432">
        <v>0</v>
      </c>
      <c r="L7" s="432"/>
      <c r="M7" s="432">
        <v>0</v>
      </c>
      <c r="N7" s="432"/>
      <c r="O7" s="432">
        <f t="shared" si="1"/>
        <v>0</v>
      </c>
      <c r="P7" s="432"/>
      <c r="Q7" s="432">
        <v>0</v>
      </c>
      <c r="R7" s="432"/>
      <c r="S7" s="432">
        <v>0</v>
      </c>
      <c r="T7" s="432"/>
      <c r="U7" s="432">
        <f t="shared" si="2"/>
        <v>0</v>
      </c>
      <c r="V7" s="432"/>
      <c r="W7" s="432">
        <v>0</v>
      </c>
      <c r="X7" s="432"/>
      <c r="Y7" s="432">
        <v>0</v>
      </c>
      <c r="Z7" s="432">
        <v>0</v>
      </c>
    </row>
    <row r="8" spans="1:26" ht="13.8" x14ac:dyDescent="0.3">
      <c r="A8" s="411"/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413"/>
      <c r="X8" s="413"/>
      <c r="Y8" s="413"/>
      <c r="Z8" s="413"/>
    </row>
    <row r="9" spans="1:26" ht="14.4" thickBot="1" x14ac:dyDescent="0.35">
      <c r="C9" s="31"/>
      <c r="D9" s="31"/>
      <c r="E9" s="207"/>
      <c r="F9" s="207"/>
      <c r="G9" s="33"/>
      <c r="H9" s="33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3.8" x14ac:dyDescent="0.3">
      <c r="A10" s="414" t="s">
        <v>58</v>
      </c>
      <c r="C10" s="443">
        <f>SUM(C11:C23)</f>
        <v>395348.93</v>
      </c>
      <c r="D10" s="443">
        <f t="shared" ref="D10:Z10" si="4">SUM(D11:D23)</f>
        <v>439765.25</v>
      </c>
      <c r="E10" s="443">
        <f t="shared" si="4"/>
        <v>343180.70999999996</v>
      </c>
      <c r="F10" s="443">
        <f t="shared" si="4"/>
        <v>389391.98</v>
      </c>
      <c r="G10" s="443">
        <f t="shared" si="4"/>
        <v>301860.87</v>
      </c>
      <c r="H10" s="443">
        <f t="shared" si="4"/>
        <v>464461.03</v>
      </c>
      <c r="I10" s="443">
        <f t="shared" si="4"/>
        <v>228299.94</v>
      </c>
      <c r="J10" s="443">
        <f t="shared" si="4"/>
        <v>409521.58999999997</v>
      </c>
      <c r="K10" s="443">
        <f t="shared" si="4"/>
        <v>186047.12</v>
      </c>
      <c r="L10" s="443">
        <f t="shared" si="4"/>
        <v>0</v>
      </c>
      <c r="M10" s="443">
        <f t="shared" si="4"/>
        <v>158885.35999999999</v>
      </c>
      <c r="N10" s="443">
        <f t="shared" si="4"/>
        <v>0</v>
      </c>
      <c r="O10" s="443">
        <f t="shared" si="4"/>
        <v>151376.86000000002</v>
      </c>
      <c r="P10" s="443">
        <f t="shared" si="4"/>
        <v>0</v>
      </c>
      <c r="Q10" s="443">
        <f t="shared" si="4"/>
        <v>297826.83</v>
      </c>
      <c r="R10" s="443">
        <f t="shared" si="4"/>
        <v>0</v>
      </c>
      <c r="S10" s="443">
        <f t="shared" si="4"/>
        <v>297826.83</v>
      </c>
      <c r="T10" s="443">
        <f t="shared" si="4"/>
        <v>0</v>
      </c>
      <c r="U10" s="443">
        <f t="shared" si="4"/>
        <v>317143.28449999995</v>
      </c>
      <c r="V10" s="443">
        <f t="shared" si="4"/>
        <v>0</v>
      </c>
      <c r="W10" s="443">
        <f t="shared" si="4"/>
        <v>317143.28449999995</v>
      </c>
      <c r="X10" s="443">
        <f t="shared" si="4"/>
        <v>0</v>
      </c>
      <c r="Y10" s="443">
        <f t="shared" si="4"/>
        <v>317143.28449999995</v>
      </c>
      <c r="Z10" s="441">
        <f t="shared" si="4"/>
        <v>0</v>
      </c>
    </row>
    <row r="11" spans="1:26" ht="13.8" x14ac:dyDescent="0.3">
      <c r="A11" s="415" t="s">
        <v>59</v>
      </c>
      <c r="C11" s="442">
        <f>1788.08+2195.77+2244.39</f>
        <v>6228.24</v>
      </c>
      <c r="D11" s="442">
        <f>1788.08+2195.77+2244.39+547.99+877.48</f>
        <v>7653.7099999999991</v>
      </c>
      <c r="E11" s="442">
        <f>1899+2240.5+1647.2+467.48+791.56</f>
        <v>7045.74</v>
      </c>
      <c r="F11" s="442">
        <f>1788.08+2195.77+1690.53+845.22+499.17</f>
        <v>7018.77</v>
      </c>
      <c r="G11" s="442">
        <f>1899+2240.5+1647.2+467.48+791.56</f>
        <v>7045.74</v>
      </c>
      <c r="H11" s="442">
        <f>2156.17+2195.77+1690.53+531.53+881.63</f>
        <v>7455.63</v>
      </c>
      <c r="I11" s="442">
        <f>1899+2240.5+1647.2+467.48+791.56</f>
        <v>7045.74</v>
      </c>
      <c r="J11" s="442">
        <f>2156.17+3181.6+1690.53+961.58+595.16</f>
        <v>8585.0400000000009</v>
      </c>
      <c r="K11" s="442">
        <f>1899+2240.5+1647.2+467.48+791.56</f>
        <v>7045.74</v>
      </c>
      <c r="L11" s="442"/>
      <c r="M11" s="442">
        <f>1899+2240.5+1647.2+467.48+791.56</f>
        <v>7045.74</v>
      </c>
      <c r="N11" s="442"/>
      <c r="O11" s="442">
        <f>1899+2240.5+1647.2+467.48+791.56</f>
        <v>7045.74</v>
      </c>
      <c r="P11" s="442"/>
      <c r="Q11" s="442">
        <f>1899+2240.5+1647.2+467.48+791.56</f>
        <v>7045.74</v>
      </c>
      <c r="R11" s="442"/>
      <c r="S11" s="442">
        <f>1899+2240.5+1647.2+467.48+791.56</f>
        <v>7045.74</v>
      </c>
      <c r="T11" s="442"/>
      <c r="U11" s="442">
        <f>1899+2240.5+1647.2+467.48+791.56</f>
        <v>7045.74</v>
      </c>
      <c r="V11" s="442"/>
      <c r="W11" s="442">
        <f>1899+2240.5+1647.2+467.48+791.56</f>
        <v>7045.74</v>
      </c>
      <c r="X11" s="442"/>
      <c r="Y11" s="442">
        <f>1899+2240.5+1647.2+467.48+791.56</f>
        <v>7045.74</v>
      </c>
      <c r="Z11" s="442">
        <v>0</v>
      </c>
    </row>
    <row r="12" spans="1:26" ht="13.8" x14ac:dyDescent="0.3">
      <c r="A12" s="416" t="s">
        <v>661</v>
      </c>
      <c r="C12" s="442">
        <f>1000+600</f>
        <v>1600</v>
      </c>
      <c r="D12" s="442">
        <f>1000+600</f>
        <v>1600</v>
      </c>
      <c r="E12" s="442">
        <f>1000+600</f>
        <v>1600</v>
      </c>
      <c r="F12" s="442">
        <f>1000+1140</f>
        <v>2140</v>
      </c>
      <c r="G12" s="442">
        <f>1000+600</f>
        <v>1600</v>
      </c>
      <c r="H12" s="442">
        <f>1000+600</f>
        <v>1600</v>
      </c>
      <c r="I12" s="442">
        <f>1000+600</f>
        <v>1600</v>
      </c>
      <c r="J12" s="442">
        <f>1000+640</f>
        <v>1640</v>
      </c>
      <c r="K12" s="442">
        <f>1000+600</f>
        <v>1600</v>
      </c>
      <c r="L12" s="442"/>
      <c r="M12" s="442">
        <f>1000+600</f>
        <v>1600</v>
      </c>
      <c r="N12" s="442"/>
      <c r="O12" s="442">
        <f>1000+600</f>
        <v>1600</v>
      </c>
      <c r="P12" s="442"/>
      <c r="Q12" s="442">
        <f>1000+600</f>
        <v>1600</v>
      </c>
      <c r="R12" s="442"/>
      <c r="S12" s="442">
        <f>1000+600</f>
        <v>1600</v>
      </c>
      <c r="T12" s="442"/>
      <c r="U12" s="442">
        <f>1000+600</f>
        <v>1600</v>
      </c>
      <c r="V12" s="442"/>
      <c r="W12" s="442">
        <f>1000+600</f>
        <v>1600</v>
      </c>
      <c r="X12" s="442"/>
      <c r="Y12" s="442">
        <f>1000+600</f>
        <v>1600</v>
      </c>
      <c r="Z12" s="442">
        <v>0</v>
      </c>
    </row>
    <row r="13" spans="1:26" ht="13.8" x14ac:dyDescent="0.3">
      <c r="A13" s="416" t="s">
        <v>60</v>
      </c>
      <c r="C13" s="442">
        <v>0</v>
      </c>
      <c r="D13" s="442">
        <v>0</v>
      </c>
      <c r="E13" s="442">
        <v>0</v>
      </c>
      <c r="F13" s="442">
        <v>0</v>
      </c>
      <c r="G13" s="442">
        <v>0</v>
      </c>
      <c r="H13" s="442">
        <v>0</v>
      </c>
      <c r="I13" s="442">
        <v>0</v>
      </c>
      <c r="J13" s="442">
        <v>0</v>
      </c>
      <c r="K13" s="442">
        <v>0</v>
      </c>
      <c r="L13" s="442">
        <v>0</v>
      </c>
      <c r="M13" s="442">
        <v>0</v>
      </c>
      <c r="N13" s="442">
        <v>0</v>
      </c>
      <c r="O13" s="442">
        <v>0</v>
      </c>
      <c r="P13" s="442">
        <v>0</v>
      </c>
      <c r="Q13" s="442">
        <v>0</v>
      </c>
      <c r="R13" s="442">
        <v>0</v>
      </c>
      <c r="S13" s="442">
        <v>0</v>
      </c>
      <c r="T13" s="442">
        <v>0</v>
      </c>
      <c r="U13" s="442">
        <v>0</v>
      </c>
      <c r="V13" s="442">
        <v>0</v>
      </c>
      <c r="W13" s="442">
        <v>0</v>
      </c>
      <c r="X13" s="442">
        <v>0</v>
      </c>
      <c r="Y13" s="442">
        <v>0</v>
      </c>
      <c r="Z13" s="442">
        <v>0</v>
      </c>
    </row>
    <row r="14" spans="1:26" ht="13.8" x14ac:dyDescent="0.3">
      <c r="A14" s="416" t="s">
        <v>61</v>
      </c>
      <c r="C14" s="442">
        <v>250</v>
      </c>
      <c r="D14" s="442">
        <v>250</v>
      </c>
      <c r="E14" s="442">
        <v>250</v>
      </c>
      <c r="F14" s="442">
        <v>250</v>
      </c>
      <c r="G14" s="442">
        <v>250</v>
      </c>
      <c r="H14" s="442">
        <v>250</v>
      </c>
      <c r="I14" s="442">
        <v>250</v>
      </c>
      <c r="J14" s="442">
        <v>250</v>
      </c>
      <c r="K14" s="442">
        <v>250</v>
      </c>
      <c r="L14" s="442"/>
      <c r="M14" s="442">
        <v>250</v>
      </c>
      <c r="N14" s="442"/>
      <c r="O14" s="442">
        <v>250</v>
      </c>
      <c r="P14" s="442"/>
      <c r="Q14" s="442">
        <v>250</v>
      </c>
      <c r="R14" s="442"/>
      <c r="S14" s="442">
        <v>250</v>
      </c>
      <c r="T14" s="442"/>
      <c r="U14" s="442">
        <v>250</v>
      </c>
      <c r="V14" s="442"/>
      <c r="W14" s="442">
        <v>250</v>
      </c>
      <c r="X14" s="442"/>
      <c r="Y14" s="442">
        <v>250</v>
      </c>
      <c r="Z14" s="442">
        <v>0</v>
      </c>
    </row>
    <row r="15" spans="1:26" ht="13.8" x14ac:dyDescent="0.3">
      <c r="A15" s="416" t="s">
        <v>662</v>
      </c>
      <c r="C15" s="442">
        <f>239024.48+24129.21</f>
        <v>263153.69</v>
      </c>
      <c r="D15" s="442">
        <v>252772.95</v>
      </c>
      <c r="E15" s="442">
        <v>217067.97</v>
      </c>
      <c r="F15" s="442">
        <v>228525.11</v>
      </c>
      <c r="G15" s="442">
        <v>176833.13</v>
      </c>
      <c r="H15" s="442">
        <v>268703.5</v>
      </c>
      <c r="I15" s="442">
        <v>91175.7</v>
      </c>
      <c r="J15" s="442">
        <v>223982.07</v>
      </c>
      <c r="K15" s="442">
        <v>48922.879999999997</v>
      </c>
      <c r="L15" s="442"/>
      <c r="M15" s="442">
        <v>21761.119999999999</v>
      </c>
      <c r="N15" s="442"/>
      <c r="O15" s="442">
        <v>5550.03</v>
      </c>
      <c r="P15" s="442"/>
      <c r="Q15" s="442">
        <v>152000</v>
      </c>
      <c r="R15" s="442"/>
      <c r="S15" s="442">
        <v>152000</v>
      </c>
      <c r="T15" s="442"/>
      <c r="U15" s="442">
        <v>162500</v>
      </c>
      <c r="V15" s="442"/>
      <c r="W15" s="442">
        <v>162500</v>
      </c>
      <c r="X15" s="442"/>
      <c r="Y15" s="442">
        <v>162500</v>
      </c>
      <c r="Z15" s="442">
        <v>0</v>
      </c>
    </row>
    <row r="16" spans="1:26" ht="13.8" x14ac:dyDescent="0.3">
      <c r="A16" s="416" t="s">
        <v>62</v>
      </c>
      <c r="C16" s="442">
        <v>2000</v>
      </c>
      <c r="D16" s="442">
        <f>657.97+697.86</f>
        <v>1355.83</v>
      </c>
      <c r="E16" s="442">
        <v>2000</v>
      </c>
      <c r="F16" s="442">
        <v>0</v>
      </c>
      <c r="G16" s="442">
        <v>2000</v>
      </c>
      <c r="H16" s="442">
        <f>772.85+481.63+508.39</f>
        <v>1762.87</v>
      </c>
      <c r="I16" s="442">
        <v>2000</v>
      </c>
      <c r="J16" s="442">
        <f>1281.55</f>
        <v>1281.55</v>
      </c>
      <c r="K16" s="442">
        <v>2000</v>
      </c>
      <c r="L16" s="442"/>
      <c r="M16" s="442">
        <v>2000</v>
      </c>
      <c r="N16" s="442"/>
      <c r="O16" s="442">
        <v>2000</v>
      </c>
      <c r="P16" s="442"/>
      <c r="Q16" s="442">
        <v>2000</v>
      </c>
      <c r="R16" s="442"/>
      <c r="S16" s="442">
        <v>2000</v>
      </c>
      <c r="T16" s="442"/>
      <c r="U16" s="442">
        <v>2000</v>
      </c>
      <c r="V16" s="442"/>
      <c r="W16" s="442">
        <v>2000</v>
      </c>
      <c r="X16" s="442"/>
      <c r="Y16" s="442">
        <v>2000</v>
      </c>
      <c r="Z16" s="442">
        <v>0</v>
      </c>
    </row>
    <row r="17" spans="1:26" ht="13.8" x14ac:dyDescent="0.3">
      <c r="A17" s="416" t="s">
        <v>63</v>
      </c>
      <c r="C17" s="442">
        <v>3000</v>
      </c>
      <c r="D17" s="442">
        <v>0</v>
      </c>
      <c r="E17" s="442">
        <v>3000</v>
      </c>
      <c r="F17" s="442">
        <v>0</v>
      </c>
      <c r="G17" s="442">
        <v>3000</v>
      </c>
      <c r="H17" s="442">
        <v>0</v>
      </c>
      <c r="I17" s="442">
        <v>3250</v>
      </c>
      <c r="J17" s="442"/>
      <c r="K17" s="442">
        <v>3250</v>
      </c>
      <c r="L17" s="442"/>
      <c r="M17" s="442">
        <v>3250</v>
      </c>
      <c r="N17" s="442"/>
      <c r="O17" s="442">
        <v>3500</v>
      </c>
      <c r="P17" s="442"/>
      <c r="Q17" s="442">
        <v>3500</v>
      </c>
      <c r="R17" s="442"/>
      <c r="S17" s="442">
        <v>3500</v>
      </c>
      <c r="T17" s="442"/>
      <c r="U17" s="442">
        <v>4000</v>
      </c>
      <c r="V17" s="442"/>
      <c r="W17" s="442">
        <v>4000</v>
      </c>
      <c r="X17" s="442"/>
      <c r="Y17" s="442">
        <v>4000</v>
      </c>
      <c r="Z17" s="442">
        <v>0</v>
      </c>
    </row>
    <row r="18" spans="1:26" ht="13.8" x14ac:dyDescent="0.3">
      <c r="A18" s="416" t="s">
        <v>64</v>
      </c>
      <c r="C18" s="442">
        <v>0</v>
      </c>
      <c r="D18" s="442">
        <v>0</v>
      </c>
      <c r="E18" s="442">
        <v>0</v>
      </c>
      <c r="F18" s="442">
        <v>0</v>
      </c>
      <c r="G18" s="442">
        <v>0</v>
      </c>
      <c r="H18" s="442"/>
      <c r="I18" s="442">
        <v>0</v>
      </c>
      <c r="J18" s="442"/>
      <c r="K18" s="442">
        <v>0</v>
      </c>
      <c r="L18" s="442"/>
      <c r="M18" s="442">
        <v>0</v>
      </c>
      <c r="N18" s="442"/>
      <c r="O18" s="442">
        <v>0</v>
      </c>
      <c r="P18" s="442"/>
      <c r="Q18" s="442">
        <v>0</v>
      </c>
      <c r="R18" s="442"/>
      <c r="S18" s="442">
        <v>0</v>
      </c>
      <c r="T18" s="442"/>
      <c r="U18" s="442">
        <v>0</v>
      </c>
      <c r="V18" s="442"/>
      <c r="W18" s="442">
        <v>0</v>
      </c>
      <c r="X18" s="442"/>
      <c r="Y18" s="442">
        <v>0</v>
      </c>
      <c r="Z18" s="442">
        <v>0</v>
      </c>
    </row>
    <row r="19" spans="1:26" ht="13.8" x14ac:dyDescent="0.3">
      <c r="A19" s="416" t="s">
        <v>663</v>
      </c>
      <c r="C19" s="442">
        <f>C4*0.115</f>
        <v>29900</v>
      </c>
      <c r="D19" s="442">
        <f>494.65+28007.24+4855.54</f>
        <v>33357.43</v>
      </c>
      <c r="E19" s="442">
        <v>23000</v>
      </c>
      <c r="F19" s="442">
        <f>25286.06+1261.89</f>
        <v>26547.95</v>
      </c>
      <c r="G19" s="442">
        <v>23000</v>
      </c>
      <c r="H19" s="442">
        <f>31526.88+3684.03</f>
        <v>35210.910000000003</v>
      </c>
      <c r="I19" s="442">
        <v>25500</v>
      </c>
      <c r="J19" s="442">
        <f>37578.42+2450.02</f>
        <v>40028.439999999995</v>
      </c>
      <c r="K19" s="442">
        <v>25500</v>
      </c>
      <c r="L19" s="442"/>
      <c r="M19" s="442">
        <v>25500</v>
      </c>
      <c r="N19" s="442"/>
      <c r="O19" s="442">
        <v>28500</v>
      </c>
      <c r="P19" s="442"/>
      <c r="Q19" s="442">
        <v>28500</v>
      </c>
      <c r="R19" s="442"/>
      <c r="S19" s="442">
        <v>28500</v>
      </c>
      <c r="T19" s="442"/>
      <c r="U19" s="442">
        <v>32000</v>
      </c>
      <c r="V19" s="442"/>
      <c r="W19" s="442">
        <v>32000</v>
      </c>
      <c r="X19" s="442"/>
      <c r="Y19" s="442">
        <v>32000</v>
      </c>
      <c r="Z19" s="442">
        <v>0</v>
      </c>
    </row>
    <row r="20" spans="1:26" ht="13.8" x14ac:dyDescent="0.3">
      <c r="A20" s="416" t="s">
        <v>65</v>
      </c>
      <c r="C20" s="442">
        <v>0</v>
      </c>
      <c r="D20" s="442">
        <v>0</v>
      </c>
      <c r="E20" s="442">
        <v>0</v>
      </c>
      <c r="F20" s="442">
        <v>0</v>
      </c>
      <c r="G20" s="442">
        <v>0</v>
      </c>
      <c r="H20" s="442"/>
      <c r="I20" s="442">
        <v>0</v>
      </c>
      <c r="J20" s="442"/>
      <c r="K20" s="442">
        <v>0</v>
      </c>
      <c r="L20" s="442"/>
      <c r="M20" s="442">
        <v>0</v>
      </c>
      <c r="N20" s="442"/>
      <c r="O20" s="442">
        <v>0</v>
      </c>
      <c r="P20" s="442"/>
      <c r="Q20" s="442">
        <v>0</v>
      </c>
      <c r="R20" s="442"/>
      <c r="S20" s="442">
        <v>0</v>
      </c>
      <c r="T20" s="442"/>
      <c r="U20" s="442">
        <v>0</v>
      </c>
      <c r="V20" s="442"/>
      <c r="W20" s="442">
        <v>0</v>
      </c>
      <c r="X20" s="442"/>
      <c r="Y20" s="442">
        <v>0</v>
      </c>
      <c r="Z20" s="442">
        <v>0</v>
      </c>
    </row>
    <row r="21" spans="1:26" ht="13.8" x14ac:dyDescent="0.3">
      <c r="A21" s="416" t="s">
        <v>664</v>
      </c>
      <c r="C21" s="442">
        <f>(C4+C5+C6)*0.26</f>
        <v>69290</v>
      </c>
      <c r="D21" s="442">
        <v>100405.73</v>
      </c>
      <c r="E21" s="442">
        <f>(E4+E5+E6)*0.26</f>
        <v>69290</v>
      </c>
      <c r="F21" s="442">
        <f>85892.13</f>
        <v>85892.13</v>
      </c>
      <c r="G21" s="442">
        <f>(G4+G5+G6)*0.26</f>
        <v>68380</v>
      </c>
      <c r="H21" s="442">
        <v>105426.96</v>
      </c>
      <c r="I21" s="442">
        <f>(I4+I5+I6)*0.26</f>
        <v>76219</v>
      </c>
      <c r="J21" s="442">
        <v>78212.990000000005</v>
      </c>
      <c r="K21" s="442">
        <f>(K4+K5+K6)*0.26</f>
        <v>76219</v>
      </c>
      <c r="L21" s="442"/>
      <c r="M21" s="442">
        <f>(M4+M5+M6)*0.26</f>
        <v>76219</v>
      </c>
      <c r="N21" s="442"/>
      <c r="O21" s="442">
        <f>(O4+O5+O6)*0.26</f>
        <v>80792.14</v>
      </c>
      <c r="P21" s="442"/>
      <c r="Q21" s="442">
        <f>(Q4+Q5+Q6)*0.26</f>
        <v>80792.14</v>
      </c>
      <c r="R21" s="442"/>
      <c r="S21" s="442">
        <f>(S4+S5+S6)*0.26</f>
        <v>80792.14</v>
      </c>
      <c r="T21" s="442"/>
      <c r="U21" s="442">
        <f>(U4+U5+U6)*0.26</f>
        <v>84831.747000000003</v>
      </c>
      <c r="V21" s="442"/>
      <c r="W21" s="442">
        <f>(W4+W5+W6)*0.26</f>
        <v>84831.747000000003</v>
      </c>
      <c r="X21" s="442"/>
      <c r="Y21" s="442">
        <f>(Y4+Y5+Y6)*0.26</f>
        <v>84831.747000000003</v>
      </c>
      <c r="Z21" s="442">
        <v>0</v>
      </c>
    </row>
    <row r="22" spans="1:26" ht="13.8" x14ac:dyDescent="0.3">
      <c r="A22" s="416" t="s">
        <v>665</v>
      </c>
      <c r="C22" s="442">
        <f>(C4+C5+C6)*0.05</f>
        <v>13325</v>
      </c>
      <c r="D22" s="442">
        <v>35767.599999999999</v>
      </c>
      <c r="E22" s="442">
        <f>(E4+E5+E6)*0.05</f>
        <v>13325</v>
      </c>
      <c r="F22" s="442">
        <f>32416.02</f>
        <v>32416.02</v>
      </c>
      <c r="G22" s="442">
        <f>(G4+G5+G6)*0.05</f>
        <v>13150</v>
      </c>
      <c r="H22" s="442">
        <v>37449.160000000003</v>
      </c>
      <c r="I22" s="442">
        <f>(I4+I5+I6)*0.05</f>
        <v>14657.5</v>
      </c>
      <c r="J22" s="442">
        <v>48939.5</v>
      </c>
      <c r="K22" s="442">
        <f>(K4+K5+K6)*0.05</f>
        <v>14657.5</v>
      </c>
      <c r="L22" s="442"/>
      <c r="M22" s="442">
        <f>(M4+M5+M6)*0.05</f>
        <v>14657.5</v>
      </c>
      <c r="N22" s="442"/>
      <c r="O22" s="442">
        <f>(O4+O5+O6)*0.05</f>
        <v>15536.95</v>
      </c>
      <c r="P22" s="442"/>
      <c r="Q22" s="442">
        <f>(Q4+Q5+Q6)*0.05</f>
        <v>15536.95</v>
      </c>
      <c r="R22" s="442"/>
      <c r="S22" s="442">
        <f>(S4+S5+S6)*0.05</f>
        <v>15536.95</v>
      </c>
      <c r="T22" s="442"/>
      <c r="U22" s="442">
        <f>(U4+U5+U6)*0.05</f>
        <v>16313.797500000001</v>
      </c>
      <c r="V22" s="442"/>
      <c r="W22" s="442">
        <f>(W4+W5+W6)*0.05</f>
        <v>16313.797500000001</v>
      </c>
      <c r="X22" s="442"/>
      <c r="Y22" s="442">
        <f>(Y4+Y5+Y6)*0.05</f>
        <v>16313.797500000001</v>
      </c>
      <c r="Z22" s="442">
        <v>0</v>
      </c>
    </row>
    <row r="23" spans="1:26" ht="13.8" x14ac:dyDescent="0.3">
      <c r="A23" s="415" t="s">
        <v>666</v>
      </c>
      <c r="C23" s="442">
        <v>6602</v>
      </c>
      <c r="D23" s="442">
        <v>6602</v>
      </c>
      <c r="E23" s="442">
        <v>6602</v>
      </c>
      <c r="F23" s="442">
        <v>6602</v>
      </c>
      <c r="G23" s="442">
        <v>6602</v>
      </c>
      <c r="H23" s="442">
        <v>6602</v>
      </c>
      <c r="I23" s="442">
        <v>6602</v>
      </c>
      <c r="J23" s="442">
        <v>6602</v>
      </c>
      <c r="K23" s="442">
        <v>6602</v>
      </c>
      <c r="L23" s="442"/>
      <c r="M23" s="442">
        <v>6602</v>
      </c>
      <c r="N23" s="442"/>
      <c r="O23" s="442">
        <v>6602</v>
      </c>
      <c r="P23" s="442"/>
      <c r="Q23" s="442">
        <v>6602</v>
      </c>
      <c r="R23" s="442"/>
      <c r="S23" s="442">
        <v>6602</v>
      </c>
      <c r="T23" s="442"/>
      <c r="U23" s="442">
        <v>6602</v>
      </c>
      <c r="V23" s="442"/>
      <c r="W23" s="442">
        <v>6602</v>
      </c>
      <c r="X23" s="442"/>
      <c r="Y23" s="442">
        <v>6602</v>
      </c>
      <c r="Z23" s="442">
        <v>0</v>
      </c>
    </row>
    <row r="24" spans="1:26" ht="14.4" thickBot="1" x14ac:dyDescent="0.35">
      <c r="A24" s="417" t="s">
        <v>667</v>
      </c>
      <c r="C24" s="418">
        <f t="shared" ref="C24:Z24" si="5">C3-C10</f>
        <v>-128848.93</v>
      </c>
      <c r="D24" s="418">
        <f>D3-D10</f>
        <v>-4409.7800000000279</v>
      </c>
      <c r="E24" s="418">
        <f t="shared" si="5"/>
        <v>-76680.709999999963</v>
      </c>
      <c r="F24" s="418">
        <f t="shared" si="5"/>
        <v>-26198.189999999944</v>
      </c>
      <c r="G24" s="418">
        <f t="shared" si="5"/>
        <v>-38860.869999999995</v>
      </c>
      <c r="H24" s="418">
        <f t="shared" si="5"/>
        <v>-18203.489999999991</v>
      </c>
      <c r="I24" s="418">
        <f t="shared" si="5"/>
        <v>64850.06</v>
      </c>
      <c r="J24" s="418">
        <f>J3-J10</f>
        <v>136391.74</v>
      </c>
      <c r="K24" s="418">
        <f t="shared" si="5"/>
        <v>107102.88</v>
      </c>
      <c r="L24" s="418">
        <f t="shared" si="5"/>
        <v>0</v>
      </c>
      <c r="M24" s="418">
        <f t="shared" si="5"/>
        <v>134264.64000000001</v>
      </c>
      <c r="N24" s="418">
        <f t="shared" si="5"/>
        <v>0</v>
      </c>
      <c r="O24" s="418">
        <f t="shared" si="5"/>
        <v>159362.13999999998</v>
      </c>
      <c r="P24" s="418">
        <f t="shared" si="5"/>
        <v>0</v>
      </c>
      <c r="Q24" s="418">
        <f t="shared" si="5"/>
        <v>12912.169999999984</v>
      </c>
      <c r="R24" s="418">
        <f t="shared" si="5"/>
        <v>0</v>
      </c>
      <c r="S24" s="418">
        <f t="shared" si="5"/>
        <v>12912.169999999984</v>
      </c>
      <c r="T24" s="418">
        <f t="shared" si="5"/>
        <v>0</v>
      </c>
      <c r="U24" s="418">
        <f t="shared" si="5"/>
        <v>9132.665500000061</v>
      </c>
      <c r="V24" s="418">
        <f t="shared" si="5"/>
        <v>0</v>
      </c>
      <c r="W24" s="418">
        <f t="shared" si="5"/>
        <v>9132.665500000061</v>
      </c>
      <c r="X24" s="418">
        <f t="shared" si="5"/>
        <v>0</v>
      </c>
      <c r="Y24" s="418">
        <f t="shared" si="5"/>
        <v>9132.665500000061</v>
      </c>
      <c r="Z24" s="418">
        <f t="shared" si="5"/>
        <v>0</v>
      </c>
    </row>
    <row r="25" spans="1:26" x14ac:dyDescent="0.25">
      <c r="Q25" s="419"/>
      <c r="R25" s="419"/>
    </row>
    <row r="26" spans="1:26" x14ac:dyDescent="0.25">
      <c r="A26" s="421"/>
      <c r="G26" s="494"/>
      <c r="J26" s="419"/>
      <c r="K26" s="422"/>
      <c r="L26" s="422"/>
      <c r="Q26" s="423"/>
      <c r="R26" s="423"/>
    </row>
    <row r="27" spans="1:26" ht="13.8" x14ac:dyDescent="0.3">
      <c r="A27" s="407" t="s">
        <v>651</v>
      </c>
      <c r="C27" s="204" t="s">
        <v>690</v>
      </c>
      <c r="D27" s="204" t="s">
        <v>55</v>
      </c>
      <c r="E27" s="204" t="s">
        <v>690</v>
      </c>
      <c r="F27" s="204" t="s">
        <v>55</v>
      </c>
      <c r="G27" s="204" t="s">
        <v>690</v>
      </c>
      <c r="H27" s="204" t="s">
        <v>55</v>
      </c>
      <c r="I27" s="204" t="s">
        <v>690</v>
      </c>
      <c r="J27" s="204" t="s">
        <v>55</v>
      </c>
      <c r="K27" s="204" t="s">
        <v>690</v>
      </c>
      <c r="L27" s="204" t="s">
        <v>55</v>
      </c>
      <c r="M27" s="204" t="s">
        <v>690</v>
      </c>
      <c r="N27" s="204" t="s">
        <v>55</v>
      </c>
      <c r="O27" s="204" t="s">
        <v>690</v>
      </c>
      <c r="P27" s="204" t="s">
        <v>55</v>
      </c>
      <c r="Q27" s="204" t="s">
        <v>690</v>
      </c>
      <c r="R27" s="204" t="s">
        <v>55</v>
      </c>
      <c r="S27" s="204" t="s">
        <v>690</v>
      </c>
      <c r="T27" s="204" t="s">
        <v>55</v>
      </c>
      <c r="U27" s="204" t="s">
        <v>690</v>
      </c>
      <c r="V27" s="204" t="s">
        <v>55</v>
      </c>
      <c r="W27" s="204" t="s">
        <v>690</v>
      </c>
      <c r="X27" s="204" t="s">
        <v>55</v>
      </c>
      <c r="Y27" s="204" t="s">
        <v>690</v>
      </c>
      <c r="Z27" s="204" t="s">
        <v>55</v>
      </c>
    </row>
    <row r="28" spans="1:26" ht="13.8" x14ac:dyDescent="0.3">
      <c r="C28" s="408">
        <v>46023</v>
      </c>
      <c r="D28" s="408">
        <v>46023</v>
      </c>
      <c r="E28" s="409">
        <v>46054</v>
      </c>
      <c r="F28" s="409">
        <v>46054</v>
      </c>
      <c r="G28" s="408">
        <v>46082</v>
      </c>
      <c r="H28" s="408">
        <v>46082</v>
      </c>
      <c r="I28" s="409">
        <v>46113</v>
      </c>
      <c r="J28" s="409">
        <v>46113</v>
      </c>
      <c r="K28" s="408">
        <v>46143</v>
      </c>
      <c r="L28" s="408">
        <v>46143</v>
      </c>
      <c r="M28" s="409">
        <v>46174</v>
      </c>
      <c r="N28" s="409">
        <v>46174</v>
      </c>
      <c r="O28" s="408">
        <v>46204</v>
      </c>
      <c r="P28" s="408">
        <v>46204</v>
      </c>
      <c r="Q28" s="409">
        <v>46235</v>
      </c>
      <c r="R28" s="409">
        <v>46235</v>
      </c>
      <c r="S28" s="408">
        <v>46266</v>
      </c>
      <c r="T28" s="408">
        <v>46266</v>
      </c>
      <c r="U28" s="409">
        <v>46296</v>
      </c>
      <c r="V28" s="409">
        <v>46296</v>
      </c>
      <c r="W28" s="408">
        <v>46327</v>
      </c>
      <c r="X28" s="408">
        <v>46327</v>
      </c>
      <c r="Y28" s="409">
        <v>46357</v>
      </c>
      <c r="Z28" s="409">
        <v>46357</v>
      </c>
    </row>
    <row r="29" spans="1:26" ht="13.8" x14ac:dyDescent="0.3">
      <c r="A29" s="411" t="s">
        <v>5</v>
      </c>
      <c r="C29" s="412">
        <f t="shared" ref="C29:Z29" si="6">SUM(C30:C33)</f>
        <v>207000</v>
      </c>
      <c r="D29" s="412">
        <f t="shared" si="6"/>
        <v>196570.68000000002</v>
      </c>
      <c r="E29" s="412">
        <f t="shared" si="6"/>
        <v>207000</v>
      </c>
      <c r="F29" s="412">
        <f t="shared" si="6"/>
        <v>167144.25999999998</v>
      </c>
      <c r="G29" s="412">
        <f t="shared" si="6"/>
        <v>207000</v>
      </c>
      <c r="H29" s="412">
        <f t="shared" si="6"/>
        <v>229018.47</v>
      </c>
      <c r="I29" s="412">
        <f t="shared" si="6"/>
        <v>227700</v>
      </c>
      <c r="J29" s="412">
        <f t="shared" si="6"/>
        <v>251047.64</v>
      </c>
      <c r="K29" s="412">
        <f t="shared" si="6"/>
        <v>227700</v>
      </c>
      <c r="L29" s="412">
        <f t="shared" si="6"/>
        <v>0</v>
      </c>
      <c r="M29" s="412">
        <f t="shared" si="6"/>
        <v>227700</v>
      </c>
      <c r="N29" s="412">
        <f t="shared" si="6"/>
        <v>0</v>
      </c>
      <c r="O29" s="412">
        <f t="shared" si="6"/>
        <v>241362</v>
      </c>
      <c r="P29" s="412">
        <f t="shared" si="6"/>
        <v>0</v>
      </c>
      <c r="Q29" s="412">
        <f t="shared" si="6"/>
        <v>241362</v>
      </c>
      <c r="R29" s="412">
        <f t="shared" si="6"/>
        <v>0</v>
      </c>
      <c r="S29" s="412">
        <f t="shared" si="6"/>
        <v>241362</v>
      </c>
      <c r="T29" s="412">
        <f t="shared" si="6"/>
        <v>0</v>
      </c>
      <c r="U29" s="412">
        <f t="shared" si="6"/>
        <v>253430.1</v>
      </c>
      <c r="V29" s="412">
        <f t="shared" si="6"/>
        <v>0</v>
      </c>
      <c r="W29" s="412">
        <f t="shared" si="6"/>
        <v>253430.1</v>
      </c>
      <c r="X29" s="412">
        <f t="shared" si="6"/>
        <v>0</v>
      </c>
      <c r="Y29" s="412">
        <f t="shared" si="6"/>
        <v>253430.1</v>
      </c>
      <c r="Z29" s="412">
        <f t="shared" si="6"/>
        <v>0</v>
      </c>
    </row>
    <row r="30" spans="1:26" ht="13.8" x14ac:dyDescent="0.3">
      <c r="A30" s="32" t="s">
        <v>653</v>
      </c>
      <c r="C30" s="432">
        <v>50000</v>
      </c>
      <c r="D30" s="432">
        <v>44021.86</v>
      </c>
      <c r="E30" s="432">
        <v>50000</v>
      </c>
      <c r="F30" s="432">
        <v>29797.32</v>
      </c>
      <c r="G30" s="432">
        <v>50000</v>
      </c>
      <c r="H30" s="432">
        <v>56728.92</v>
      </c>
      <c r="I30" s="432">
        <v>55000</v>
      </c>
      <c r="J30" s="432">
        <v>58148.23</v>
      </c>
      <c r="K30" s="432">
        <v>55000</v>
      </c>
      <c r="L30" s="432"/>
      <c r="M30" s="432">
        <v>55000</v>
      </c>
      <c r="N30" s="432"/>
      <c r="O30" s="432">
        <f>M30*0.06+M30</f>
        <v>58300</v>
      </c>
      <c r="P30" s="432"/>
      <c r="Q30" s="432">
        <v>58300</v>
      </c>
      <c r="R30" s="432"/>
      <c r="S30" s="432">
        <v>58300</v>
      </c>
      <c r="T30" s="432"/>
      <c r="U30" s="432">
        <f>S30*0.05+S30</f>
        <v>61215</v>
      </c>
      <c r="V30" s="432"/>
      <c r="W30" s="432">
        <v>61215</v>
      </c>
      <c r="X30" s="432"/>
      <c r="Y30" s="432">
        <v>61215</v>
      </c>
      <c r="Z30" s="432">
        <v>0</v>
      </c>
    </row>
    <row r="31" spans="1:26" ht="13.8" x14ac:dyDescent="0.3">
      <c r="A31" s="32" t="s">
        <v>655</v>
      </c>
      <c r="C31" s="432">
        <v>155000</v>
      </c>
      <c r="D31" s="432">
        <v>138853.28</v>
      </c>
      <c r="E31" s="432">
        <v>155000</v>
      </c>
      <c r="F31" s="432">
        <v>120539.51</v>
      </c>
      <c r="G31" s="432">
        <v>155000</v>
      </c>
      <c r="H31" s="432">
        <v>144159.46</v>
      </c>
      <c r="I31" s="432">
        <v>170500</v>
      </c>
      <c r="J31" s="432">
        <f>167726.63+2481.96</f>
        <v>170208.59</v>
      </c>
      <c r="K31" s="432">
        <v>170500</v>
      </c>
      <c r="L31" s="432"/>
      <c r="M31" s="432">
        <v>170500</v>
      </c>
      <c r="N31" s="432"/>
      <c r="O31" s="432">
        <f t="shared" ref="O31:O33" si="7">M31*0.06+M31</f>
        <v>180730</v>
      </c>
      <c r="P31" s="432"/>
      <c r="Q31" s="432">
        <v>180730</v>
      </c>
      <c r="R31" s="432"/>
      <c r="S31" s="432">
        <v>180730</v>
      </c>
      <c r="T31" s="432"/>
      <c r="U31" s="432">
        <f t="shared" ref="U31:U33" si="8">S31*0.05+S31</f>
        <v>189766.5</v>
      </c>
      <c r="V31" s="432"/>
      <c r="W31" s="432">
        <v>189766.5</v>
      </c>
      <c r="X31" s="432"/>
      <c r="Y31" s="432">
        <v>189766.5</v>
      </c>
      <c r="Z31" s="432">
        <v>0</v>
      </c>
    </row>
    <row r="32" spans="1:26" ht="13.8" x14ac:dyDescent="0.3">
      <c r="A32" s="32" t="s">
        <v>659</v>
      </c>
      <c r="C32" s="432">
        <v>2000</v>
      </c>
      <c r="D32" s="432">
        <v>13695.54</v>
      </c>
      <c r="E32" s="432">
        <v>2000</v>
      </c>
      <c r="F32" s="432">
        <v>16807.43</v>
      </c>
      <c r="G32" s="432">
        <v>2000</v>
      </c>
      <c r="H32" s="432">
        <v>28130.09</v>
      </c>
      <c r="I32" s="432">
        <v>2200</v>
      </c>
      <c r="J32" s="432">
        <v>22690.82</v>
      </c>
      <c r="K32" s="432">
        <v>2200</v>
      </c>
      <c r="L32" s="432"/>
      <c r="M32" s="432">
        <v>2200</v>
      </c>
      <c r="N32" s="432"/>
      <c r="O32" s="432">
        <f t="shared" si="7"/>
        <v>2332</v>
      </c>
      <c r="P32" s="432"/>
      <c r="Q32" s="432">
        <v>2332</v>
      </c>
      <c r="R32" s="432"/>
      <c r="S32" s="432">
        <v>2332</v>
      </c>
      <c r="T32" s="432"/>
      <c r="U32" s="432">
        <f t="shared" si="8"/>
        <v>2448.6</v>
      </c>
      <c r="V32" s="432"/>
      <c r="W32" s="432">
        <v>2448.6</v>
      </c>
      <c r="X32" s="432"/>
      <c r="Y32" s="432">
        <v>2448.6</v>
      </c>
      <c r="Z32" s="432">
        <v>0</v>
      </c>
    </row>
    <row r="33" spans="1:26" ht="13.8" x14ac:dyDescent="0.3">
      <c r="A33" s="32" t="s">
        <v>660</v>
      </c>
      <c r="C33" s="432">
        <v>0</v>
      </c>
      <c r="D33" s="432">
        <v>0</v>
      </c>
      <c r="E33" s="432">
        <v>0</v>
      </c>
      <c r="F33" s="432"/>
      <c r="G33" s="432">
        <v>0</v>
      </c>
      <c r="H33" s="432"/>
      <c r="I33" s="432">
        <f t="shared" ref="I33" si="9">G33*0.1+G33</f>
        <v>0</v>
      </c>
      <c r="J33" s="432"/>
      <c r="K33" s="432">
        <v>0</v>
      </c>
      <c r="L33" s="432"/>
      <c r="M33" s="432">
        <v>0</v>
      </c>
      <c r="N33" s="432"/>
      <c r="O33" s="432">
        <f t="shared" si="7"/>
        <v>0</v>
      </c>
      <c r="P33" s="432"/>
      <c r="Q33" s="432">
        <v>0</v>
      </c>
      <c r="R33" s="432"/>
      <c r="S33" s="432">
        <v>0</v>
      </c>
      <c r="T33" s="432"/>
      <c r="U33" s="432">
        <f t="shared" si="8"/>
        <v>0</v>
      </c>
      <c r="V33" s="432"/>
      <c r="W33" s="432">
        <v>0</v>
      </c>
      <c r="X33" s="432"/>
      <c r="Y33" s="432">
        <v>0</v>
      </c>
      <c r="Z33" s="432">
        <v>0</v>
      </c>
    </row>
    <row r="34" spans="1:26" ht="13.8" x14ac:dyDescent="0.3">
      <c r="A34" s="411"/>
      <c r="C34" s="413"/>
      <c r="D34" s="413"/>
      <c r="E34" s="413"/>
      <c r="F34" s="413"/>
      <c r="G34" s="413"/>
      <c r="H34" s="413"/>
      <c r="I34" s="413"/>
      <c r="J34" s="413"/>
      <c r="K34" s="413"/>
      <c r="L34" s="413"/>
      <c r="M34" s="413"/>
      <c r="N34" s="413"/>
      <c r="O34" s="413"/>
      <c r="P34" s="413"/>
      <c r="Q34" s="413"/>
      <c r="R34" s="413"/>
      <c r="S34" s="413"/>
      <c r="T34" s="413"/>
      <c r="U34" s="413"/>
      <c r="V34" s="413"/>
      <c r="W34" s="413"/>
      <c r="X34" s="413"/>
      <c r="Y34" s="413"/>
      <c r="Z34" s="413"/>
    </row>
    <row r="35" spans="1:26" ht="14.4" thickBot="1" x14ac:dyDescent="0.35">
      <c r="C35" s="31"/>
      <c r="D35" s="31"/>
      <c r="E35" s="207"/>
      <c r="F35" s="207"/>
      <c r="G35" s="33"/>
      <c r="H35" s="33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3.8" x14ac:dyDescent="0.3">
      <c r="A36" s="414" t="s">
        <v>58</v>
      </c>
      <c r="C36" s="443">
        <f>SUM(C37:C49)</f>
        <v>182853.5</v>
      </c>
      <c r="D36" s="443">
        <f t="shared" ref="D36:Z36" si="10">SUM(D37:D49)</f>
        <v>71161.33</v>
      </c>
      <c r="E36" s="443">
        <f t="shared" si="10"/>
        <v>182853.5</v>
      </c>
      <c r="F36" s="443">
        <f t="shared" si="10"/>
        <v>86782.260000000009</v>
      </c>
      <c r="G36" s="443">
        <f t="shared" si="10"/>
        <v>182853.5</v>
      </c>
      <c r="H36" s="443">
        <f t="shared" si="10"/>
        <v>101713.57</v>
      </c>
      <c r="I36" s="443">
        <f t="shared" si="10"/>
        <v>194013.91</v>
      </c>
      <c r="J36" s="443">
        <f t="shared" si="10"/>
        <v>135846.60999999999</v>
      </c>
      <c r="K36" s="443">
        <f t="shared" si="10"/>
        <v>194496.31</v>
      </c>
      <c r="L36" s="443">
        <f t="shared" si="10"/>
        <v>0</v>
      </c>
      <c r="M36" s="443">
        <f t="shared" si="10"/>
        <v>194496.31</v>
      </c>
      <c r="N36" s="443">
        <f t="shared" si="10"/>
        <v>0</v>
      </c>
      <c r="O36" s="443">
        <f t="shared" si="10"/>
        <v>208108.53</v>
      </c>
      <c r="P36" s="443">
        <f t="shared" si="10"/>
        <v>0</v>
      </c>
      <c r="Q36" s="443">
        <f t="shared" si="10"/>
        <v>208108.53</v>
      </c>
      <c r="R36" s="443">
        <f t="shared" si="10"/>
        <v>0</v>
      </c>
      <c r="S36" s="443">
        <f t="shared" si="10"/>
        <v>208108.53</v>
      </c>
      <c r="T36" s="443">
        <f t="shared" si="10"/>
        <v>0</v>
      </c>
      <c r="U36" s="443">
        <f t="shared" si="10"/>
        <v>223545.99100000001</v>
      </c>
      <c r="V36" s="443">
        <f t="shared" si="10"/>
        <v>0</v>
      </c>
      <c r="W36" s="443">
        <f t="shared" si="10"/>
        <v>223545.99100000001</v>
      </c>
      <c r="X36" s="443">
        <f t="shared" si="10"/>
        <v>0</v>
      </c>
      <c r="Y36" s="443">
        <f>SUM(Y37:Y49)</f>
        <v>223545.99100000001</v>
      </c>
      <c r="Z36" s="441">
        <f t="shared" si="10"/>
        <v>0</v>
      </c>
    </row>
    <row r="37" spans="1:26" ht="13.8" x14ac:dyDescent="0.3">
      <c r="A37" s="415" t="s">
        <v>59</v>
      </c>
      <c r="C37" s="442">
        <f>20000+2240.5+493</f>
        <v>22733.5</v>
      </c>
      <c r="D37" s="442">
        <f>17000+178.31</f>
        <v>17178.310000000001</v>
      </c>
      <c r="E37" s="442">
        <f>20000+2240.5+493</f>
        <v>22733.5</v>
      </c>
      <c r="F37" s="442">
        <f>17000+178.31</f>
        <v>17178.310000000001</v>
      </c>
      <c r="G37" s="442">
        <f>20000+2240.5+493</f>
        <v>22733.5</v>
      </c>
      <c r="H37" s="442">
        <f>17000+178.31+800</f>
        <v>17978.310000000001</v>
      </c>
      <c r="I37" s="442">
        <f>17000+178.31+1098.6</f>
        <v>18276.91</v>
      </c>
      <c r="J37" s="442">
        <f>17000+178.31+1098.6</f>
        <v>18276.91</v>
      </c>
      <c r="K37" s="442">
        <f>17000+178.31+1831</f>
        <v>19009.310000000001</v>
      </c>
      <c r="L37" s="442"/>
      <c r="M37" s="442">
        <f>17000+178.31+1831</f>
        <v>19009.310000000001</v>
      </c>
      <c r="N37" s="442"/>
      <c r="O37" s="442">
        <f>17000+178.31+1831</f>
        <v>19009.310000000001</v>
      </c>
      <c r="P37" s="442"/>
      <c r="Q37" s="442">
        <f>17000+178.31+1831</f>
        <v>19009.310000000001</v>
      </c>
      <c r="R37" s="442"/>
      <c r="S37" s="442">
        <f>17000+178.31+1831</f>
        <v>19009.310000000001</v>
      </c>
      <c r="T37" s="442"/>
      <c r="U37" s="442">
        <f>17000+178.31+1831</f>
        <v>19009.310000000001</v>
      </c>
      <c r="V37" s="442"/>
      <c r="W37" s="442">
        <f>17000+178.31+1831</f>
        <v>19009.310000000001</v>
      </c>
      <c r="X37" s="442"/>
      <c r="Y37" s="442">
        <f>17000+178.31+1831</f>
        <v>19009.310000000001</v>
      </c>
      <c r="Z37" s="442">
        <v>0</v>
      </c>
    </row>
    <row r="38" spans="1:26" ht="13.8" x14ac:dyDescent="0.3">
      <c r="A38" s="416" t="s">
        <v>661</v>
      </c>
      <c r="C38" s="442">
        <v>0</v>
      </c>
      <c r="D38" s="442">
        <v>0</v>
      </c>
      <c r="E38" s="442">
        <v>0</v>
      </c>
      <c r="F38" s="442">
        <v>0</v>
      </c>
      <c r="G38" s="442">
        <v>0</v>
      </c>
      <c r="H38" s="442">
        <v>0</v>
      </c>
      <c r="I38" s="442">
        <v>0</v>
      </c>
      <c r="J38" s="442">
        <v>0</v>
      </c>
      <c r="K38" s="442">
        <v>0</v>
      </c>
      <c r="L38" s="442">
        <v>0</v>
      </c>
      <c r="M38" s="442">
        <v>0</v>
      </c>
      <c r="N38" s="442">
        <v>0</v>
      </c>
      <c r="O38" s="442">
        <v>0</v>
      </c>
      <c r="P38" s="442">
        <v>0</v>
      </c>
      <c r="Q38" s="442">
        <v>0</v>
      </c>
      <c r="R38" s="442">
        <v>0</v>
      </c>
      <c r="S38" s="442">
        <v>0</v>
      </c>
      <c r="T38" s="442">
        <v>0</v>
      </c>
      <c r="U38" s="442">
        <v>0</v>
      </c>
      <c r="V38" s="442">
        <v>0</v>
      </c>
      <c r="W38" s="442">
        <v>0</v>
      </c>
      <c r="X38" s="442">
        <v>0</v>
      </c>
      <c r="Y38" s="442">
        <v>0</v>
      </c>
      <c r="Z38" s="442">
        <v>0</v>
      </c>
    </row>
    <row r="39" spans="1:26" ht="13.8" x14ac:dyDescent="0.3">
      <c r="A39" s="416" t="s">
        <v>60</v>
      </c>
      <c r="C39" s="442">
        <f>2150+850+250+5000</f>
        <v>8250</v>
      </c>
      <c r="D39" s="442">
        <f>2150+857.07+250+2795.79</f>
        <v>6052.8600000000006</v>
      </c>
      <c r="E39" s="442">
        <f>2150+850+250+5000</f>
        <v>8250</v>
      </c>
      <c r="F39" s="442">
        <f>2150+850+250+3000+1000+1822.82</f>
        <v>9072.82</v>
      </c>
      <c r="G39" s="442">
        <f>2150+850+250+5000</f>
        <v>8250</v>
      </c>
      <c r="H39" s="442">
        <f>1100+826.94+250+2844.98</f>
        <v>5021.92</v>
      </c>
      <c r="I39" s="442">
        <f>2150+850+250+5000</f>
        <v>8250</v>
      </c>
      <c r="J39" s="442">
        <f>2100+826.94+250+3393.01+161.39</f>
        <v>6731.3400000000011</v>
      </c>
      <c r="K39" s="442">
        <f>2150+850+250+5000</f>
        <v>8250</v>
      </c>
      <c r="L39" s="442"/>
      <c r="M39" s="442">
        <f>2150+850+250+5000</f>
        <v>8250</v>
      </c>
      <c r="N39" s="442"/>
      <c r="O39" s="442">
        <f>2150+850+250+5000</f>
        <v>8250</v>
      </c>
      <c r="P39" s="442"/>
      <c r="Q39" s="442">
        <f>2150+850+250+5000</f>
        <v>8250</v>
      </c>
      <c r="R39" s="442"/>
      <c r="S39" s="442">
        <f>2150+850+250+5000</f>
        <v>8250</v>
      </c>
      <c r="T39" s="442"/>
      <c r="U39" s="442">
        <f>2150+850+250+5000</f>
        <v>8250</v>
      </c>
      <c r="V39" s="442"/>
      <c r="W39" s="442">
        <f>2150+850+250+5000</f>
        <v>8250</v>
      </c>
      <c r="X39" s="442"/>
      <c r="Y39" s="442">
        <f>2150+850+250+5000</f>
        <v>8250</v>
      </c>
      <c r="Z39" s="442">
        <v>0</v>
      </c>
    </row>
    <row r="40" spans="1:26" ht="13.8" x14ac:dyDescent="0.3">
      <c r="A40" s="416" t="s">
        <v>61</v>
      </c>
      <c r="C40" s="442">
        <v>200</v>
      </c>
      <c r="D40" s="442">
        <v>200</v>
      </c>
      <c r="E40" s="442">
        <v>200</v>
      </c>
      <c r="F40" s="442">
        <v>200</v>
      </c>
      <c r="G40" s="442">
        <v>200</v>
      </c>
      <c r="H40" s="442">
        <f>200+500</f>
        <v>700</v>
      </c>
      <c r="I40" s="442">
        <f>200+250</f>
        <v>450</v>
      </c>
      <c r="J40" s="442">
        <f>200+250+149</f>
        <v>599</v>
      </c>
      <c r="K40" s="442">
        <v>200</v>
      </c>
      <c r="L40" s="442"/>
      <c r="M40" s="442">
        <v>200</v>
      </c>
      <c r="N40" s="442"/>
      <c r="O40" s="442">
        <v>200</v>
      </c>
      <c r="P40" s="442"/>
      <c r="Q40" s="442">
        <v>200</v>
      </c>
      <c r="R40" s="442"/>
      <c r="S40" s="442">
        <v>200</v>
      </c>
      <c r="T40" s="442"/>
      <c r="U40" s="442">
        <v>200</v>
      </c>
      <c r="V40" s="442"/>
      <c r="W40" s="442">
        <v>200</v>
      </c>
      <c r="X40" s="442"/>
      <c r="Y40" s="442">
        <v>200</v>
      </c>
      <c r="Z40" s="442">
        <v>0</v>
      </c>
    </row>
    <row r="41" spans="1:26" ht="13.8" x14ac:dyDescent="0.3">
      <c r="A41" s="416" t="s">
        <v>662</v>
      </c>
      <c r="C41" s="442">
        <v>90000</v>
      </c>
      <c r="D41" s="442">
        <v>0</v>
      </c>
      <c r="E41" s="442">
        <v>90000</v>
      </c>
      <c r="F41" s="442">
        <v>3059.34</v>
      </c>
      <c r="G41" s="442">
        <v>90000</v>
      </c>
      <c r="H41" s="442">
        <v>10570.07</v>
      </c>
      <c r="I41" s="442">
        <v>98000</v>
      </c>
      <c r="J41" s="442">
        <v>30495.45</v>
      </c>
      <c r="K41" s="442">
        <v>98000</v>
      </c>
      <c r="L41" s="442"/>
      <c r="M41" s="442">
        <v>98000</v>
      </c>
      <c r="N41" s="442"/>
      <c r="O41" s="442">
        <v>105000</v>
      </c>
      <c r="P41" s="442"/>
      <c r="Q41" s="442">
        <v>105000</v>
      </c>
      <c r="R41" s="442"/>
      <c r="S41" s="442">
        <v>105000</v>
      </c>
      <c r="T41" s="442"/>
      <c r="U41" s="442">
        <v>113500</v>
      </c>
      <c r="V41" s="442"/>
      <c r="W41" s="442">
        <v>113500</v>
      </c>
      <c r="X41" s="442"/>
      <c r="Y41" s="442">
        <v>113500</v>
      </c>
      <c r="Z41" s="442">
        <v>0</v>
      </c>
    </row>
    <row r="42" spans="1:26" ht="13.8" x14ac:dyDescent="0.3">
      <c r="A42" s="416" t="s">
        <v>62</v>
      </c>
      <c r="C42" s="442">
        <v>0</v>
      </c>
      <c r="D42" s="442">
        <v>0</v>
      </c>
      <c r="E42" s="442">
        <v>0</v>
      </c>
      <c r="F42" s="442">
        <v>0</v>
      </c>
      <c r="G42" s="442">
        <v>0</v>
      </c>
      <c r="H42" s="442">
        <v>0</v>
      </c>
      <c r="I42" s="442">
        <v>0</v>
      </c>
      <c r="J42" s="442">
        <v>0</v>
      </c>
      <c r="K42" s="442">
        <v>0</v>
      </c>
      <c r="L42" s="442">
        <v>0</v>
      </c>
      <c r="M42" s="442">
        <v>0</v>
      </c>
      <c r="N42" s="442">
        <v>0</v>
      </c>
      <c r="O42" s="442">
        <v>0</v>
      </c>
      <c r="P42" s="442">
        <v>0</v>
      </c>
      <c r="Q42" s="442">
        <v>0</v>
      </c>
      <c r="R42" s="442">
        <v>0</v>
      </c>
      <c r="S42" s="442">
        <v>0</v>
      </c>
      <c r="T42" s="442">
        <v>0</v>
      </c>
      <c r="U42" s="442">
        <v>0</v>
      </c>
      <c r="V42" s="442">
        <v>0</v>
      </c>
      <c r="W42" s="442">
        <v>0</v>
      </c>
      <c r="X42" s="442">
        <v>0</v>
      </c>
      <c r="Y42" s="442">
        <v>0</v>
      </c>
      <c r="Z42" s="442">
        <v>0</v>
      </c>
    </row>
    <row r="43" spans="1:26" ht="13.8" x14ac:dyDescent="0.3">
      <c r="A43" s="416" t="s">
        <v>63</v>
      </c>
      <c r="C43" s="442">
        <v>0</v>
      </c>
      <c r="D43" s="442">
        <v>0</v>
      </c>
      <c r="E43" s="442">
        <v>0</v>
      </c>
      <c r="F43" s="442">
        <v>0</v>
      </c>
      <c r="G43" s="442">
        <v>0</v>
      </c>
      <c r="H43" s="442">
        <v>440</v>
      </c>
      <c r="I43" s="442">
        <v>0</v>
      </c>
      <c r="J43" s="442">
        <v>500</v>
      </c>
      <c r="K43" s="442">
        <v>0</v>
      </c>
      <c r="L43" s="442">
        <v>0</v>
      </c>
      <c r="M43" s="442">
        <v>0</v>
      </c>
      <c r="N43" s="442">
        <v>0</v>
      </c>
      <c r="O43" s="442">
        <v>0</v>
      </c>
      <c r="P43" s="442">
        <v>0</v>
      </c>
      <c r="Q43" s="442">
        <v>0</v>
      </c>
      <c r="R43" s="442">
        <v>0</v>
      </c>
      <c r="S43" s="442">
        <v>0</v>
      </c>
      <c r="T43" s="442">
        <v>0</v>
      </c>
      <c r="U43" s="442">
        <v>0</v>
      </c>
      <c r="V43" s="442">
        <v>0</v>
      </c>
      <c r="W43" s="442">
        <v>0</v>
      </c>
      <c r="X43" s="442">
        <v>0</v>
      </c>
      <c r="Y43" s="442">
        <v>0</v>
      </c>
      <c r="Z43" s="442">
        <v>0</v>
      </c>
    </row>
    <row r="44" spans="1:26" ht="13.8" x14ac:dyDescent="0.3">
      <c r="A44" s="416" t="s">
        <v>64</v>
      </c>
      <c r="C44" s="442">
        <v>0</v>
      </c>
      <c r="D44" s="442">
        <v>0</v>
      </c>
      <c r="E44" s="442">
        <v>0</v>
      </c>
      <c r="F44" s="442"/>
      <c r="G44" s="442">
        <v>0</v>
      </c>
      <c r="H44" s="442">
        <v>0</v>
      </c>
      <c r="I44" s="442">
        <v>0</v>
      </c>
      <c r="J44" s="442"/>
      <c r="K44" s="442">
        <v>0</v>
      </c>
      <c r="L44" s="442"/>
      <c r="M44" s="442">
        <v>0</v>
      </c>
      <c r="N44" s="442"/>
      <c r="O44" s="442">
        <v>0</v>
      </c>
      <c r="P44" s="442"/>
      <c r="Q44" s="442">
        <v>0</v>
      </c>
      <c r="R44" s="442"/>
      <c r="S44" s="442">
        <v>0</v>
      </c>
      <c r="T44" s="442"/>
      <c r="U44" s="442">
        <v>0</v>
      </c>
      <c r="V44" s="442"/>
      <c r="W44" s="442">
        <v>0</v>
      </c>
      <c r="X44" s="442"/>
      <c r="Y44" s="442">
        <v>0</v>
      </c>
      <c r="Z44" s="442">
        <v>0</v>
      </c>
    </row>
    <row r="45" spans="1:26" ht="13.8" x14ac:dyDescent="0.3">
      <c r="A45" s="416" t="s">
        <v>663</v>
      </c>
      <c r="C45" s="442">
        <v>13000</v>
      </c>
      <c r="D45" s="442">
        <v>8842.69</v>
      </c>
      <c r="E45" s="442">
        <v>13000</v>
      </c>
      <c r="F45" s="442">
        <f>68.72+8852.98</f>
        <v>8921.6999999999989</v>
      </c>
      <c r="G45" s="442">
        <v>13000</v>
      </c>
      <c r="H45" s="442">
        <v>10958.27</v>
      </c>
      <c r="I45" s="442">
        <v>15500</v>
      </c>
      <c r="J45" s="442">
        <v>11197.46</v>
      </c>
      <c r="K45" s="442">
        <v>15500</v>
      </c>
      <c r="L45" s="442"/>
      <c r="M45" s="442">
        <v>15500</v>
      </c>
      <c r="N45" s="442"/>
      <c r="O45" s="442">
        <v>18900</v>
      </c>
      <c r="P45" s="442"/>
      <c r="Q45" s="442">
        <v>18900</v>
      </c>
      <c r="R45" s="442"/>
      <c r="S45" s="442">
        <v>18900</v>
      </c>
      <c r="T45" s="442"/>
      <c r="U45" s="442">
        <v>23000</v>
      </c>
      <c r="V45" s="442"/>
      <c r="W45" s="442">
        <v>23000</v>
      </c>
      <c r="X45" s="442"/>
      <c r="Y45" s="442">
        <v>23000</v>
      </c>
      <c r="Z45" s="442">
        <v>0</v>
      </c>
    </row>
    <row r="46" spans="1:26" ht="13.8" x14ac:dyDescent="0.3">
      <c r="A46" s="416" t="s">
        <v>65</v>
      </c>
      <c r="C46" s="442">
        <v>0</v>
      </c>
      <c r="D46" s="442">
        <v>0</v>
      </c>
      <c r="E46" s="442">
        <v>0</v>
      </c>
      <c r="F46" s="442"/>
      <c r="G46" s="442">
        <v>0</v>
      </c>
      <c r="H46" s="442">
        <v>0</v>
      </c>
      <c r="I46" s="442">
        <v>0</v>
      </c>
      <c r="J46" s="442"/>
      <c r="K46" s="442">
        <v>0</v>
      </c>
      <c r="L46" s="442"/>
      <c r="M46" s="442">
        <v>0</v>
      </c>
      <c r="N46" s="442"/>
      <c r="O46" s="442">
        <v>0</v>
      </c>
      <c r="P46" s="442"/>
      <c r="Q46" s="442">
        <v>0</v>
      </c>
      <c r="R46" s="442"/>
      <c r="S46" s="442">
        <v>0</v>
      </c>
      <c r="T46" s="442"/>
      <c r="U46" s="442">
        <v>0</v>
      </c>
      <c r="V46" s="442"/>
      <c r="W46" s="442">
        <v>0</v>
      </c>
      <c r="X46" s="442"/>
      <c r="Y46" s="442">
        <v>0</v>
      </c>
      <c r="Z46" s="442">
        <v>0</v>
      </c>
    </row>
    <row r="47" spans="1:26" ht="13.8" x14ac:dyDescent="0.3">
      <c r="A47" s="416" t="s">
        <v>664</v>
      </c>
      <c r="C47" s="442">
        <f>(C31+C32)*0.26</f>
        <v>40820</v>
      </c>
      <c r="D47" s="442">
        <v>22834.91</v>
      </c>
      <c r="E47" s="442">
        <f>(E31+E32)*0.26</f>
        <v>40820</v>
      </c>
      <c r="F47" s="442">
        <v>32636.18</v>
      </c>
      <c r="G47" s="442">
        <f>(G31+G32)*0.26</f>
        <v>40820</v>
      </c>
      <c r="H47" s="442">
        <v>39540.71</v>
      </c>
      <c r="I47" s="442">
        <f>(I31+I32)*0.26</f>
        <v>44902</v>
      </c>
      <c r="J47" s="442">
        <f>25220.26+20695.89</f>
        <v>45916.149999999994</v>
      </c>
      <c r="K47" s="442">
        <f>(K31+K32)*0.26</f>
        <v>44902</v>
      </c>
      <c r="L47" s="442"/>
      <c r="M47" s="442">
        <f>(M31+M32)*0.26</f>
        <v>44902</v>
      </c>
      <c r="N47" s="442"/>
      <c r="O47" s="442">
        <f>(O31+O32)*0.26</f>
        <v>47596.12</v>
      </c>
      <c r="P47" s="442"/>
      <c r="Q47" s="442">
        <f>(Q31+Q32)*0.26</f>
        <v>47596.12</v>
      </c>
      <c r="R47" s="442"/>
      <c r="S47" s="442">
        <f>(S31+S32)*0.26</f>
        <v>47596.12</v>
      </c>
      <c r="T47" s="442"/>
      <c r="U47" s="442">
        <f>(U31+U32)*0.26</f>
        <v>49975.926000000007</v>
      </c>
      <c r="V47" s="442"/>
      <c r="W47" s="442">
        <f>(W31+W32)*0.26</f>
        <v>49975.926000000007</v>
      </c>
      <c r="X47" s="442"/>
      <c r="Y47" s="442">
        <f>(Y31+Y32)*0.26</f>
        <v>49975.926000000007</v>
      </c>
      <c r="Z47" s="442">
        <v>0</v>
      </c>
    </row>
    <row r="48" spans="1:26" ht="13.8" x14ac:dyDescent="0.3">
      <c r="A48" s="416" t="s">
        <v>665</v>
      </c>
      <c r="C48" s="442">
        <f>(C31+C32)*0.05</f>
        <v>7850</v>
      </c>
      <c r="D48" s="442">
        <v>16052.56</v>
      </c>
      <c r="E48" s="442">
        <f>(E31+E32)*0.05</f>
        <v>7850</v>
      </c>
      <c r="F48" s="442">
        <v>15713.91</v>
      </c>
      <c r="G48" s="442">
        <f>(G31+G32)*0.05</f>
        <v>7850</v>
      </c>
      <c r="H48" s="442">
        <v>16504.29</v>
      </c>
      <c r="I48" s="442">
        <f>(I31+I32)*0.05</f>
        <v>8635</v>
      </c>
      <c r="J48" s="442">
        <f>22130.3</f>
        <v>22130.3</v>
      </c>
      <c r="K48" s="442">
        <f>(K31+K32)*0.05</f>
        <v>8635</v>
      </c>
      <c r="L48" s="442"/>
      <c r="M48" s="442">
        <f>(M31+M32)*0.05</f>
        <v>8635</v>
      </c>
      <c r="N48" s="442"/>
      <c r="O48" s="442">
        <f>(O31+O32)*0.05</f>
        <v>9153.1</v>
      </c>
      <c r="P48" s="442"/>
      <c r="Q48" s="442">
        <f>(Q31+Q32)*0.05</f>
        <v>9153.1</v>
      </c>
      <c r="R48" s="442"/>
      <c r="S48" s="442">
        <f>(S31+S32)*0.05</f>
        <v>9153.1</v>
      </c>
      <c r="T48" s="442"/>
      <c r="U48" s="442">
        <f>(U31+U32)*0.05</f>
        <v>9610.755000000001</v>
      </c>
      <c r="V48" s="442"/>
      <c r="W48" s="442">
        <f>(W31+W32)*0.05</f>
        <v>9610.755000000001</v>
      </c>
      <c r="X48" s="442"/>
      <c r="Y48" s="442">
        <f>(Y31+Y32)*0.05</f>
        <v>9610.755000000001</v>
      </c>
      <c r="Z48" s="442">
        <v>0</v>
      </c>
    </row>
    <row r="49" spans="1:26" ht="13.8" x14ac:dyDescent="0.3">
      <c r="A49" s="415" t="s">
        <v>666</v>
      </c>
      <c r="C49" s="442">
        <v>0</v>
      </c>
      <c r="D49" s="442">
        <v>0</v>
      </c>
      <c r="E49" s="442">
        <v>0</v>
      </c>
      <c r="F49" s="442">
        <v>0</v>
      </c>
      <c r="G49" s="442">
        <v>0</v>
      </c>
      <c r="H49" s="442">
        <v>0</v>
      </c>
      <c r="I49" s="442">
        <v>0</v>
      </c>
      <c r="J49" s="442">
        <v>0</v>
      </c>
      <c r="K49" s="442">
        <v>0</v>
      </c>
      <c r="L49" s="442">
        <v>0</v>
      </c>
      <c r="M49" s="442">
        <v>0</v>
      </c>
      <c r="N49" s="442">
        <v>0</v>
      </c>
      <c r="O49" s="442">
        <v>0</v>
      </c>
      <c r="P49" s="442">
        <v>0</v>
      </c>
      <c r="Q49" s="442">
        <v>0</v>
      </c>
      <c r="R49" s="442">
        <v>0</v>
      </c>
      <c r="S49" s="442">
        <v>0</v>
      </c>
      <c r="T49" s="442">
        <v>0</v>
      </c>
      <c r="U49" s="442">
        <v>0</v>
      </c>
      <c r="V49" s="442">
        <v>0</v>
      </c>
      <c r="W49" s="442">
        <v>0</v>
      </c>
      <c r="X49" s="442">
        <v>0</v>
      </c>
      <c r="Y49" s="442">
        <v>0</v>
      </c>
      <c r="Z49" s="442">
        <v>0</v>
      </c>
    </row>
    <row r="50" spans="1:26" ht="14.4" thickBot="1" x14ac:dyDescent="0.35">
      <c r="A50" s="417" t="s">
        <v>667</v>
      </c>
      <c r="C50" s="418">
        <f t="shared" ref="C50:Z50" si="11">C29-C36</f>
        <v>24146.5</v>
      </c>
      <c r="D50" s="418">
        <f t="shared" si="11"/>
        <v>125409.35000000002</v>
      </c>
      <c r="E50" s="418">
        <f t="shared" si="11"/>
        <v>24146.5</v>
      </c>
      <c r="F50" s="418">
        <f t="shared" si="11"/>
        <v>80361.999999999971</v>
      </c>
      <c r="G50" s="418">
        <f t="shared" si="11"/>
        <v>24146.5</v>
      </c>
      <c r="H50" s="418">
        <f t="shared" si="11"/>
        <v>127304.9</v>
      </c>
      <c r="I50" s="418">
        <f t="shared" si="11"/>
        <v>33686.089999999997</v>
      </c>
      <c r="J50" s="418">
        <f t="shared" si="11"/>
        <v>115201.03000000003</v>
      </c>
      <c r="K50" s="418">
        <f t="shared" si="11"/>
        <v>33203.69</v>
      </c>
      <c r="L50" s="418">
        <f t="shared" si="11"/>
        <v>0</v>
      </c>
      <c r="M50" s="418">
        <f t="shared" si="11"/>
        <v>33203.69</v>
      </c>
      <c r="N50" s="418">
        <f t="shared" si="11"/>
        <v>0</v>
      </c>
      <c r="O50" s="418">
        <f t="shared" si="11"/>
        <v>33253.47</v>
      </c>
      <c r="P50" s="418">
        <f t="shared" si="11"/>
        <v>0</v>
      </c>
      <c r="Q50" s="418">
        <f t="shared" si="11"/>
        <v>33253.47</v>
      </c>
      <c r="R50" s="418">
        <f t="shared" si="11"/>
        <v>0</v>
      </c>
      <c r="S50" s="418">
        <f t="shared" si="11"/>
        <v>33253.47</v>
      </c>
      <c r="T50" s="418">
        <f t="shared" si="11"/>
        <v>0</v>
      </c>
      <c r="U50" s="418">
        <f t="shared" si="11"/>
        <v>29884.108999999997</v>
      </c>
      <c r="V50" s="418">
        <f t="shared" si="11"/>
        <v>0</v>
      </c>
      <c r="W50" s="418">
        <f t="shared" si="11"/>
        <v>29884.108999999997</v>
      </c>
      <c r="X50" s="418">
        <f t="shared" si="11"/>
        <v>0</v>
      </c>
      <c r="Y50" s="418">
        <f t="shared" si="11"/>
        <v>29884.108999999997</v>
      </c>
      <c r="Z50" s="418">
        <f t="shared" si="11"/>
        <v>0</v>
      </c>
    </row>
    <row r="53" spans="1:26" ht="13.8" x14ac:dyDescent="0.3">
      <c r="A53" s="407" t="s">
        <v>652</v>
      </c>
      <c r="C53" s="204" t="s">
        <v>690</v>
      </c>
      <c r="D53" s="204" t="s">
        <v>55</v>
      </c>
      <c r="E53" s="204" t="s">
        <v>690</v>
      </c>
      <c r="F53" s="204" t="s">
        <v>55</v>
      </c>
      <c r="G53" s="204" t="s">
        <v>690</v>
      </c>
      <c r="H53" s="204" t="s">
        <v>55</v>
      </c>
      <c r="I53" s="204" t="s">
        <v>690</v>
      </c>
      <c r="J53" s="204" t="s">
        <v>55</v>
      </c>
      <c r="K53" s="204" t="s">
        <v>690</v>
      </c>
      <c r="L53" s="204" t="s">
        <v>55</v>
      </c>
      <c r="M53" s="204" t="s">
        <v>690</v>
      </c>
      <c r="N53" s="204" t="s">
        <v>55</v>
      </c>
      <c r="O53" s="204" t="s">
        <v>690</v>
      </c>
      <c r="P53" s="204" t="s">
        <v>55</v>
      </c>
      <c r="Q53" s="204" t="s">
        <v>690</v>
      </c>
      <c r="R53" s="204" t="s">
        <v>55</v>
      </c>
      <c r="S53" s="204" t="s">
        <v>690</v>
      </c>
      <c r="T53" s="204" t="s">
        <v>55</v>
      </c>
      <c r="U53" s="204" t="s">
        <v>690</v>
      </c>
      <c r="V53" s="204" t="s">
        <v>55</v>
      </c>
      <c r="W53" s="204" t="s">
        <v>690</v>
      </c>
      <c r="X53" s="204" t="s">
        <v>55</v>
      </c>
      <c r="Y53" s="204" t="s">
        <v>690</v>
      </c>
      <c r="Z53" s="204" t="s">
        <v>55</v>
      </c>
    </row>
    <row r="54" spans="1:26" ht="13.8" x14ac:dyDescent="0.3">
      <c r="C54" s="408">
        <v>46023</v>
      </c>
      <c r="D54" s="408">
        <v>46023</v>
      </c>
      <c r="E54" s="409">
        <v>46054</v>
      </c>
      <c r="F54" s="409">
        <v>46054</v>
      </c>
      <c r="G54" s="408">
        <v>46082</v>
      </c>
      <c r="H54" s="408">
        <v>46082</v>
      </c>
      <c r="I54" s="409">
        <v>46113</v>
      </c>
      <c r="J54" s="409">
        <v>46113</v>
      </c>
      <c r="K54" s="408">
        <v>46143</v>
      </c>
      <c r="L54" s="408">
        <v>46143</v>
      </c>
      <c r="M54" s="409">
        <v>46174</v>
      </c>
      <c r="N54" s="409">
        <v>46174</v>
      </c>
      <c r="O54" s="408">
        <v>46204</v>
      </c>
      <c r="P54" s="408">
        <v>46204</v>
      </c>
      <c r="Q54" s="409">
        <v>46235</v>
      </c>
      <c r="R54" s="409">
        <v>46235</v>
      </c>
      <c r="S54" s="408">
        <v>46266</v>
      </c>
      <c r="T54" s="408">
        <v>46266</v>
      </c>
      <c r="U54" s="409">
        <v>46296</v>
      </c>
      <c r="V54" s="409">
        <v>46296</v>
      </c>
      <c r="W54" s="408">
        <v>46327</v>
      </c>
      <c r="X54" s="408">
        <v>46327</v>
      </c>
      <c r="Y54" s="409">
        <v>46357</v>
      </c>
      <c r="Z54" s="409">
        <v>46357</v>
      </c>
    </row>
    <row r="55" spans="1:26" ht="13.8" x14ac:dyDescent="0.3">
      <c r="A55" s="411" t="s">
        <v>5</v>
      </c>
      <c r="C55" s="412">
        <f t="shared" ref="C55:Z55" si="12">SUM(C56:C57)</f>
        <v>7500</v>
      </c>
      <c r="D55" s="412">
        <f t="shared" si="12"/>
        <v>2706</v>
      </c>
      <c r="E55" s="412">
        <f t="shared" si="12"/>
        <v>7500</v>
      </c>
      <c r="F55" s="412">
        <f t="shared" si="12"/>
        <v>3774.1</v>
      </c>
      <c r="G55" s="412">
        <f t="shared" si="12"/>
        <v>7500</v>
      </c>
      <c r="H55" s="412">
        <f t="shared" si="12"/>
        <v>3913</v>
      </c>
      <c r="I55" s="412">
        <f t="shared" si="12"/>
        <v>3913</v>
      </c>
      <c r="J55" s="412">
        <f t="shared" si="12"/>
        <v>3918</v>
      </c>
      <c r="K55" s="412">
        <f t="shared" si="12"/>
        <v>8250</v>
      </c>
      <c r="L55" s="412">
        <f t="shared" si="12"/>
        <v>0</v>
      </c>
      <c r="M55" s="412">
        <f t="shared" si="12"/>
        <v>8250</v>
      </c>
      <c r="N55" s="412">
        <f t="shared" si="12"/>
        <v>0</v>
      </c>
      <c r="O55" s="412">
        <f t="shared" si="12"/>
        <v>8745</v>
      </c>
      <c r="P55" s="412">
        <f t="shared" si="12"/>
        <v>0</v>
      </c>
      <c r="Q55" s="412">
        <f t="shared" si="12"/>
        <v>8745</v>
      </c>
      <c r="R55" s="412">
        <f t="shared" si="12"/>
        <v>0</v>
      </c>
      <c r="S55" s="412">
        <f t="shared" si="12"/>
        <v>8745</v>
      </c>
      <c r="T55" s="412">
        <f t="shared" si="12"/>
        <v>0</v>
      </c>
      <c r="U55" s="412">
        <f t="shared" si="12"/>
        <v>9182.25</v>
      </c>
      <c r="V55" s="412">
        <f t="shared" si="12"/>
        <v>0</v>
      </c>
      <c r="W55" s="412">
        <f t="shared" si="12"/>
        <v>9182.25</v>
      </c>
      <c r="X55" s="412">
        <f t="shared" si="12"/>
        <v>0</v>
      </c>
      <c r="Y55" s="412">
        <f t="shared" si="12"/>
        <v>9182.25</v>
      </c>
      <c r="Z55" s="412">
        <f t="shared" si="12"/>
        <v>0</v>
      </c>
    </row>
    <row r="56" spans="1:26" ht="13.8" x14ac:dyDescent="0.3">
      <c r="A56" s="32" t="s">
        <v>656</v>
      </c>
      <c r="C56" s="432">
        <v>7500</v>
      </c>
      <c r="D56" s="432">
        <v>2706</v>
      </c>
      <c r="E56" s="432">
        <v>7500</v>
      </c>
      <c r="F56" s="432">
        <f>3556.2+217.9</f>
        <v>3774.1</v>
      </c>
      <c r="G56" s="432">
        <v>7500</v>
      </c>
      <c r="H56" s="432">
        <v>3913</v>
      </c>
      <c r="I56" s="432">
        <v>3913</v>
      </c>
      <c r="J56" s="432">
        <v>3918</v>
      </c>
      <c r="K56" s="432">
        <v>8250</v>
      </c>
      <c r="L56" s="432"/>
      <c r="M56" s="432">
        <v>8250</v>
      </c>
      <c r="N56" s="432"/>
      <c r="O56" s="432">
        <f t="shared" ref="O56:O57" si="13">M56*0.06+M56</f>
        <v>8745</v>
      </c>
      <c r="P56" s="432"/>
      <c r="Q56" s="432">
        <v>8745</v>
      </c>
      <c r="R56" s="432"/>
      <c r="S56" s="432">
        <v>8745</v>
      </c>
      <c r="T56" s="432"/>
      <c r="U56" s="432">
        <f t="shared" ref="U56:U57" si="14">S56*0.05+S56</f>
        <v>9182.25</v>
      </c>
      <c r="V56" s="432"/>
      <c r="W56" s="432">
        <v>9182.25</v>
      </c>
      <c r="X56" s="432"/>
      <c r="Y56" s="432">
        <v>9182.25</v>
      </c>
      <c r="Z56" s="432">
        <v>0</v>
      </c>
    </row>
    <row r="57" spans="1:26" ht="13.8" x14ac:dyDescent="0.3">
      <c r="A57" s="32" t="s">
        <v>660</v>
      </c>
      <c r="C57" s="432">
        <v>0</v>
      </c>
      <c r="D57" s="432">
        <v>0</v>
      </c>
      <c r="E57" s="432">
        <v>0</v>
      </c>
      <c r="F57" s="432"/>
      <c r="G57" s="432">
        <v>0</v>
      </c>
      <c r="H57" s="432"/>
      <c r="I57" s="432">
        <f t="shared" ref="I57" si="15">G57*0.1+G57</f>
        <v>0</v>
      </c>
      <c r="J57" s="432"/>
      <c r="K57" s="432">
        <v>0</v>
      </c>
      <c r="L57" s="432"/>
      <c r="M57" s="432">
        <v>0</v>
      </c>
      <c r="N57" s="432"/>
      <c r="O57" s="432">
        <f t="shared" si="13"/>
        <v>0</v>
      </c>
      <c r="P57" s="432"/>
      <c r="Q57" s="432">
        <v>0</v>
      </c>
      <c r="R57" s="432"/>
      <c r="S57" s="432">
        <v>0</v>
      </c>
      <c r="T57" s="432"/>
      <c r="U57" s="432">
        <f t="shared" si="14"/>
        <v>0</v>
      </c>
      <c r="V57" s="432"/>
      <c r="W57" s="432">
        <v>0</v>
      </c>
      <c r="X57" s="432"/>
      <c r="Y57" s="432">
        <v>0</v>
      </c>
      <c r="Z57" s="432">
        <v>0</v>
      </c>
    </row>
    <row r="58" spans="1:26" ht="13.8" x14ac:dyDescent="0.3">
      <c r="A58" s="411"/>
      <c r="C58" s="413"/>
      <c r="D58" s="413"/>
      <c r="E58" s="413"/>
      <c r="F58" s="413"/>
      <c r="G58" s="413"/>
      <c r="H58" s="413"/>
      <c r="I58" s="413"/>
      <c r="J58" s="413"/>
      <c r="K58" s="413"/>
      <c r="L58" s="413"/>
      <c r="M58" s="413"/>
      <c r="N58" s="413"/>
      <c r="O58" s="413"/>
      <c r="P58" s="413"/>
      <c r="Q58" s="413"/>
      <c r="R58" s="413"/>
      <c r="S58" s="413"/>
      <c r="T58" s="413"/>
      <c r="U58" s="413"/>
      <c r="V58" s="413"/>
      <c r="W58" s="413"/>
      <c r="X58" s="413"/>
      <c r="Y58" s="413"/>
      <c r="Z58" s="413"/>
    </row>
    <row r="59" spans="1:26" ht="14.4" thickBot="1" x14ac:dyDescent="0.35">
      <c r="C59" s="31"/>
      <c r="D59" s="31"/>
      <c r="E59" s="207"/>
      <c r="F59" s="207"/>
      <c r="G59" s="33"/>
      <c r="H59" s="33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3.8" x14ac:dyDescent="0.3">
      <c r="A60" s="414" t="s">
        <v>58</v>
      </c>
      <c r="C60" s="443">
        <f>SUM(C61:C73)</f>
        <v>2250</v>
      </c>
      <c r="D60" s="443">
        <f t="shared" ref="D60:Z60" si="16">SUM(D61:D73)</f>
        <v>578</v>
      </c>
      <c r="E60" s="443">
        <f t="shared" si="16"/>
        <v>2250</v>
      </c>
      <c r="F60" s="443">
        <f t="shared" si="16"/>
        <v>1002.38</v>
      </c>
      <c r="G60" s="443">
        <f t="shared" si="16"/>
        <v>2250</v>
      </c>
      <c r="H60" s="443">
        <f t="shared" si="16"/>
        <v>1205.54</v>
      </c>
      <c r="I60" s="443">
        <f t="shared" si="16"/>
        <v>1173.9000000000001</v>
      </c>
      <c r="J60" s="443">
        <f t="shared" si="16"/>
        <v>1404.5</v>
      </c>
      <c r="K60" s="443">
        <f t="shared" si="16"/>
        <v>2475</v>
      </c>
      <c r="L60" s="443">
        <f t="shared" si="16"/>
        <v>0</v>
      </c>
      <c r="M60" s="443">
        <f t="shared" si="16"/>
        <v>2475</v>
      </c>
      <c r="N60" s="443">
        <f t="shared" si="16"/>
        <v>0</v>
      </c>
      <c r="O60" s="443">
        <f t="shared" si="16"/>
        <v>2623.5</v>
      </c>
      <c r="P60" s="443">
        <f t="shared" si="16"/>
        <v>0</v>
      </c>
      <c r="Q60" s="443">
        <f t="shared" si="16"/>
        <v>2623.5</v>
      </c>
      <c r="R60" s="443">
        <f t="shared" si="16"/>
        <v>0</v>
      </c>
      <c r="S60" s="443">
        <f t="shared" si="16"/>
        <v>2623.5</v>
      </c>
      <c r="T60" s="443">
        <f t="shared" si="16"/>
        <v>0</v>
      </c>
      <c r="U60" s="443">
        <f t="shared" si="16"/>
        <v>2754.6750000000002</v>
      </c>
      <c r="V60" s="443">
        <f t="shared" si="16"/>
        <v>0</v>
      </c>
      <c r="W60" s="443">
        <f t="shared" si="16"/>
        <v>2754.6750000000002</v>
      </c>
      <c r="X60" s="443">
        <f t="shared" si="16"/>
        <v>0</v>
      </c>
      <c r="Y60" s="443">
        <f t="shared" si="16"/>
        <v>2754.6750000000002</v>
      </c>
      <c r="Z60" s="441">
        <f t="shared" si="16"/>
        <v>0</v>
      </c>
    </row>
    <row r="61" spans="1:26" ht="13.8" x14ac:dyDescent="0.3">
      <c r="A61" s="415" t="s">
        <v>59</v>
      </c>
      <c r="C61" s="442">
        <v>0</v>
      </c>
      <c r="D61" s="442">
        <v>0</v>
      </c>
      <c r="E61" s="442">
        <v>0</v>
      </c>
      <c r="F61" s="442">
        <v>0</v>
      </c>
      <c r="G61" s="442">
        <v>0</v>
      </c>
      <c r="H61" s="442">
        <v>0</v>
      </c>
      <c r="I61" s="442">
        <v>0</v>
      </c>
      <c r="J61" s="442">
        <v>0</v>
      </c>
      <c r="K61" s="442">
        <v>0</v>
      </c>
      <c r="L61" s="442">
        <v>0</v>
      </c>
      <c r="M61" s="442">
        <v>0</v>
      </c>
      <c r="N61" s="442">
        <v>0</v>
      </c>
      <c r="O61" s="442">
        <v>0</v>
      </c>
      <c r="P61" s="442">
        <v>0</v>
      </c>
      <c r="Q61" s="442">
        <v>0</v>
      </c>
      <c r="R61" s="442">
        <v>0</v>
      </c>
      <c r="S61" s="442">
        <v>0</v>
      </c>
      <c r="T61" s="442">
        <v>0</v>
      </c>
      <c r="U61" s="442">
        <v>0</v>
      </c>
      <c r="V61" s="442">
        <v>0</v>
      </c>
      <c r="W61" s="442">
        <v>0</v>
      </c>
      <c r="X61" s="442">
        <v>0</v>
      </c>
      <c r="Y61" s="442">
        <v>0</v>
      </c>
      <c r="Z61" s="442">
        <v>0</v>
      </c>
    </row>
    <row r="62" spans="1:26" ht="13.8" x14ac:dyDescent="0.3">
      <c r="A62" s="416" t="s">
        <v>661</v>
      </c>
      <c r="C62" s="442">
        <v>0</v>
      </c>
      <c r="D62" s="442">
        <v>0</v>
      </c>
      <c r="E62" s="442">
        <v>0</v>
      </c>
      <c r="F62" s="442">
        <v>0</v>
      </c>
      <c r="G62" s="442">
        <v>0</v>
      </c>
      <c r="H62" s="442">
        <v>0</v>
      </c>
      <c r="I62" s="442">
        <v>0</v>
      </c>
      <c r="J62" s="442">
        <v>0</v>
      </c>
      <c r="K62" s="442">
        <v>0</v>
      </c>
      <c r="L62" s="442">
        <v>0</v>
      </c>
      <c r="M62" s="442">
        <v>0</v>
      </c>
      <c r="N62" s="442">
        <v>0</v>
      </c>
      <c r="O62" s="442">
        <v>0</v>
      </c>
      <c r="P62" s="442">
        <v>0</v>
      </c>
      <c r="Q62" s="442">
        <v>0</v>
      </c>
      <c r="R62" s="442">
        <v>0</v>
      </c>
      <c r="S62" s="442">
        <v>0</v>
      </c>
      <c r="T62" s="442">
        <v>0</v>
      </c>
      <c r="U62" s="442">
        <v>0</v>
      </c>
      <c r="V62" s="442">
        <v>0</v>
      </c>
      <c r="W62" s="442">
        <v>0</v>
      </c>
      <c r="X62" s="442">
        <v>0</v>
      </c>
      <c r="Y62" s="442">
        <v>0</v>
      </c>
      <c r="Z62" s="442">
        <v>0</v>
      </c>
    </row>
    <row r="63" spans="1:26" ht="13.8" x14ac:dyDescent="0.3">
      <c r="A63" s="416" t="s">
        <v>60</v>
      </c>
      <c r="C63" s="442">
        <v>0</v>
      </c>
      <c r="D63" s="442">
        <v>0</v>
      </c>
      <c r="E63" s="442">
        <v>0</v>
      </c>
      <c r="F63" s="442">
        <v>0</v>
      </c>
      <c r="G63" s="442">
        <v>0</v>
      </c>
      <c r="H63" s="442">
        <v>0</v>
      </c>
      <c r="I63" s="442">
        <v>0</v>
      </c>
      <c r="J63" s="442">
        <v>0</v>
      </c>
      <c r="K63" s="442">
        <v>0</v>
      </c>
      <c r="L63" s="442">
        <v>0</v>
      </c>
      <c r="M63" s="442">
        <v>0</v>
      </c>
      <c r="N63" s="442">
        <v>0</v>
      </c>
      <c r="O63" s="442">
        <v>0</v>
      </c>
      <c r="P63" s="442">
        <v>0</v>
      </c>
      <c r="Q63" s="442">
        <v>0</v>
      </c>
      <c r="R63" s="442">
        <v>0</v>
      </c>
      <c r="S63" s="442">
        <v>0</v>
      </c>
      <c r="T63" s="442">
        <v>0</v>
      </c>
      <c r="U63" s="442">
        <v>0</v>
      </c>
      <c r="V63" s="442">
        <v>0</v>
      </c>
      <c r="W63" s="442">
        <v>0</v>
      </c>
      <c r="X63" s="442">
        <v>0</v>
      </c>
      <c r="Y63" s="442">
        <v>0</v>
      </c>
      <c r="Z63" s="442">
        <v>0</v>
      </c>
    </row>
    <row r="64" spans="1:26" ht="13.8" x14ac:dyDescent="0.3">
      <c r="A64" s="416" t="s">
        <v>61</v>
      </c>
      <c r="C64" s="442">
        <v>0</v>
      </c>
      <c r="D64" s="442">
        <v>0</v>
      </c>
      <c r="E64" s="442">
        <v>0</v>
      </c>
      <c r="F64" s="442">
        <v>0</v>
      </c>
      <c r="G64" s="442">
        <v>0</v>
      </c>
      <c r="H64" s="442">
        <v>0</v>
      </c>
      <c r="I64" s="442">
        <v>0</v>
      </c>
      <c r="J64" s="442">
        <v>0</v>
      </c>
      <c r="K64" s="442">
        <v>0</v>
      </c>
      <c r="L64" s="442">
        <v>0</v>
      </c>
      <c r="M64" s="442">
        <v>0</v>
      </c>
      <c r="N64" s="442">
        <v>0</v>
      </c>
      <c r="O64" s="442">
        <v>0</v>
      </c>
      <c r="P64" s="442">
        <v>0</v>
      </c>
      <c r="Q64" s="442">
        <v>0</v>
      </c>
      <c r="R64" s="442">
        <v>0</v>
      </c>
      <c r="S64" s="442">
        <v>0</v>
      </c>
      <c r="T64" s="442">
        <v>0</v>
      </c>
      <c r="U64" s="442">
        <v>0</v>
      </c>
      <c r="V64" s="442">
        <v>0</v>
      </c>
      <c r="W64" s="442">
        <v>0</v>
      </c>
      <c r="X64" s="442">
        <v>0</v>
      </c>
      <c r="Y64" s="442">
        <v>0</v>
      </c>
      <c r="Z64" s="442">
        <v>0</v>
      </c>
    </row>
    <row r="65" spans="1:26" ht="13.8" x14ac:dyDescent="0.3">
      <c r="A65" s="416" t="s">
        <v>662</v>
      </c>
      <c r="C65" s="442">
        <v>0</v>
      </c>
      <c r="D65" s="442">
        <v>0</v>
      </c>
      <c r="E65" s="442">
        <v>0</v>
      </c>
      <c r="F65" s="442">
        <v>0</v>
      </c>
      <c r="G65" s="442">
        <v>0</v>
      </c>
      <c r="H65" s="442">
        <v>0</v>
      </c>
      <c r="I65" s="442">
        <v>0</v>
      </c>
      <c r="J65" s="442">
        <v>0</v>
      </c>
      <c r="K65" s="442">
        <v>0</v>
      </c>
      <c r="L65" s="442">
        <v>0</v>
      </c>
      <c r="M65" s="442">
        <v>0</v>
      </c>
      <c r="N65" s="442">
        <v>0</v>
      </c>
      <c r="O65" s="442">
        <v>0</v>
      </c>
      <c r="P65" s="442">
        <v>0</v>
      </c>
      <c r="Q65" s="442">
        <v>0</v>
      </c>
      <c r="R65" s="442">
        <v>0</v>
      </c>
      <c r="S65" s="442">
        <v>0</v>
      </c>
      <c r="T65" s="442">
        <v>0</v>
      </c>
      <c r="U65" s="442">
        <v>0</v>
      </c>
      <c r="V65" s="442">
        <v>0</v>
      </c>
      <c r="W65" s="442">
        <v>0</v>
      </c>
      <c r="X65" s="442">
        <v>0</v>
      </c>
      <c r="Y65" s="442">
        <v>0</v>
      </c>
      <c r="Z65" s="442">
        <v>0</v>
      </c>
    </row>
    <row r="66" spans="1:26" ht="13.8" x14ac:dyDescent="0.3">
      <c r="A66" s="416" t="s">
        <v>62</v>
      </c>
      <c r="C66" s="442">
        <v>0</v>
      </c>
      <c r="D66" s="442">
        <v>0</v>
      </c>
      <c r="E66" s="442">
        <v>0</v>
      </c>
      <c r="F66" s="442">
        <v>0</v>
      </c>
      <c r="G66" s="442">
        <v>0</v>
      </c>
      <c r="H66" s="442">
        <v>0</v>
      </c>
      <c r="I66" s="442">
        <v>0</v>
      </c>
      <c r="J66" s="442">
        <v>0</v>
      </c>
      <c r="K66" s="442">
        <v>0</v>
      </c>
      <c r="L66" s="442">
        <v>0</v>
      </c>
      <c r="M66" s="442">
        <v>0</v>
      </c>
      <c r="N66" s="442">
        <v>0</v>
      </c>
      <c r="O66" s="442">
        <v>0</v>
      </c>
      <c r="P66" s="442">
        <v>0</v>
      </c>
      <c r="Q66" s="442">
        <v>0</v>
      </c>
      <c r="R66" s="442">
        <v>0</v>
      </c>
      <c r="S66" s="442">
        <v>0</v>
      </c>
      <c r="T66" s="442">
        <v>0</v>
      </c>
      <c r="U66" s="442">
        <v>0</v>
      </c>
      <c r="V66" s="442">
        <v>0</v>
      </c>
      <c r="W66" s="442">
        <v>0</v>
      </c>
      <c r="X66" s="442">
        <v>0</v>
      </c>
      <c r="Y66" s="442">
        <v>0</v>
      </c>
      <c r="Z66" s="442">
        <v>0</v>
      </c>
    </row>
    <row r="67" spans="1:26" ht="13.8" x14ac:dyDescent="0.3">
      <c r="A67" s="416" t="s">
        <v>63</v>
      </c>
      <c r="C67" s="442">
        <v>0</v>
      </c>
      <c r="D67" s="442">
        <v>0</v>
      </c>
      <c r="E67" s="442">
        <v>0</v>
      </c>
      <c r="F67" s="442">
        <v>0</v>
      </c>
      <c r="G67" s="442">
        <v>0</v>
      </c>
      <c r="H67" s="442">
        <v>0</v>
      </c>
      <c r="I67" s="442">
        <v>0</v>
      </c>
      <c r="J67" s="442">
        <v>0</v>
      </c>
      <c r="K67" s="442">
        <v>0</v>
      </c>
      <c r="L67" s="442">
        <v>0</v>
      </c>
      <c r="M67" s="442">
        <v>0</v>
      </c>
      <c r="N67" s="442">
        <v>0</v>
      </c>
      <c r="O67" s="442">
        <v>0</v>
      </c>
      <c r="P67" s="442">
        <v>0</v>
      </c>
      <c r="Q67" s="442">
        <v>0</v>
      </c>
      <c r="R67" s="442">
        <v>0</v>
      </c>
      <c r="S67" s="442">
        <v>0</v>
      </c>
      <c r="T67" s="442">
        <v>0</v>
      </c>
      <c r="U67" s="442">
        <v>0</v>
      </c>
      <c r="V67" s="442">
        <v>0</v>
      </c>
      <c r="W67" s="442">
        <v>0</v>
      </c>
      <c r="X67" s="442">
        <v>0</v>
      </c>
      <c r="Y67" s="442">
        <v>0</v>
      </c>
      <c r="Z67" s="442">
        <v>0</v>
      </c>
    </row>
    <row r="68" spans="1:26" ht="13.8" x14ac:dyDescent="0.3">
      <c r="A68" s="416" t="s">
        <v>64</v>
      </c>
      <c r="C68" s="442">
        <v>0</v>
      </c>
      <c r="D68" s="442">
        <v>0</v>
      </c>
      <c r="E68" s="442">
        <v>0</v>
      </c>
      <c r="F68" s="442">
        <v>0</v>
      </c>
      <c r="G68" s="442">
        <v>0</v>
      </c>
      <c r="H68" s="442">
        <v>0</v>
      </c>
      <c r="I68" s="442">
        <v>0</v>
      </c>
      <c r="J68" s="442">
        <v>0</v>
      </c>
      <c r="K68" s="442">
        <v>0</v>
      </c>
      <c r="L68" s="442">
        <v>0</v>
      </c>
      <c r="M68" s="442">
        <v>0</v>
      </c>
      <c r="N68" s="442">
        <v>0</v>
      </c>
      <c r="O68" s="442">
        <v>0</v>
      </c>
      <c r="P68" s="442">
        <v>0</v>
      </c>
      <c r="Q68" s="442">
        <v>0</v>
      </c>
      <c r="R68" s="442">
        <v>0</v>
      </c>
      <c r="S68" s="442">
        <v>0</v>
      </c>
      <c r="T68" s="442">
        <v>0</v>
      </c>
      <c r="U68" s="442">
        <v>0</v>
      </c>
      <c r="V68" s="442">
        <v>0</v>
      </c>
      <c r="W68" s="442">
        <v>0</v>
      </c>
      <c r="X68" s="442">
        <v>0</v>
      </c>
      <c r="Y68" s="442">
        <v>0</v>
      </c>
      <c r="Z68" s="442">
        <v>0</v>
      </c>
    </row>
    <row r="69" spans="1:26" ht="13.8" x14ac:dyDescent="0.3">
      <c r="A69" s="416" t="s">
        <v>663</v>
      </c>
      <c r="C69" s="442">
        <v>0</v>
      </c>
      <c r="D69" s="442">
        <v>0</v>
      </c>
      <c r="E69" s="442">
        <v>0</v>
      </c>
      <c r="F69" s="442">
        <v>0</v>
      </c>
      <c r="G69" s="442">
        <v>0</v>
      </c>
      <c r="H69" s="442">
        <v>0</v>
      </c>
      <c r="I69" s="442">
        <v>0</v>
      </c>
      <c r="J69" s="442">
        <v>0</v>
      </c>
      <c r="K69" s="442">
        <v>0</v>
      </c>
      <c r="L69" s="442">
        <v>0</v>
      </c>
      <c r="M69" s="442">
        <v>0</v>
      </c>
      <c r="N69" s="442">
        <v>0</v>
      </c>
      <c r="O69" s="442">
        <v>0</v>
      </c>
      <c r="P69" s="442">
        <v>0</v>
      </c>
      <c r="Q69" s="442">
        <v>0</v>
      </c>
      <c r="R69" s="442">
        <v>0</v>
      </c>
      <c r="S69" s="442">
        <v>0</v>
      </c>
      <c r="T69" s="442">
        <v>0</v>
      </c>
      <c r="U69" s="442">
        <v>0</v>
      </c>
      <c r="V69" s="442">
        <v>0</v>
      </c>
      <c r="W69" s="442">
        <v>0</v>
      </c>
      <c r="X69" s="442">
        <v>0</v>
      </c>
      <c r="Y69" s="442">
        <v>0</v>
      </c>
      <c r="Z69" s="442">
        <v>0</v>
      </c>
    </row>
    <row r="70" spans="1:26" ht="13.8" x14ac:dyDescent="0.3">
      <c r="A70" s="416" t="s">
        <v>65</v>
      </c>
      <c r="C70" s="442">
        <v>0</v>
      </c>
      <c r="D70" s="442">
        <v>0</v>
      </c>
      <c r="E70" s="442">
        <v>0</v>
      </c>
      <c r="F70" s="442">
        <v>0</v>
      </c>
      <c r="G70" s="442">
        <v>0</v>
      </c>
      <c r="H70" s="442">
        <v>0</v>
      </c>
      <c r="I70" s="442">
        <v>0</v>
      </c>
      <c r="J70" s="442">
        <v>0</v>
      </c>
      <c r="K70" s="442">
        <v>0</v>
      </c>
      <c r="L70" s="442">
        <v>0</v>
      </c>
      <c r="M70" s="442">
        <v>0</v>
      </c>
      <c r="N70" s="442">
        <v>0</v>
      </c>
      <c r="O70" s="442">
        <v>0</v>
      </c>
      <c r="P70" s="442">
        <v>0</v>
      </c>
      <c r="Q70" s="442">
        <v>0</v>
      </c>
      <c r="R70" s="442">
        <v>0</v>
      </c>
      <c r="S70" s="442">
        <v>0</v>
      </c>
      <c r="T70" s="442">
        <v>0</v>
      </c>
      <c r="U70" s="442">
        <v>0</v>
      </c>
      <c r="V70" s="442">
        <v>0</v>
      </c>
      <c r="W70" s="442">
        <v>0</v>
      </c>
      <c r="X70" s="442">
        <v>0</v>
      </c>
      <c r="Y70" s="442">
        <v>0</v>
      </c>
      <c r="Z70" s="442">
        <v>0</v>
      </c>
    </row>
    <row r="71" spans="1:26" ht="13.8" x14ac:dyDescent="0.3">
      <c r="A71" s="416" t="s">
        <v>664</v>
      </c>
      <c r="C71" s="442">
        <f>C56*0.25</f>
        <v>1875</v>
      </c>
      <c r="D71" s="442">
        <v>578</v>
      </c>
      <c r="E71" s="442">
        <f>E56*0.25</f>
        <v>1875</v>
      </c>
      <c r="F71" s="442">
        <v>671.91</v>
      </c>
      <c r="G71" s="442">
        <f>G56*0.25</f>
        <v>1875</v>
      </c>
      <c r="H71" s="442">
        <v>1205.54</v>
      </c>
      <c r="I71" s="442">
        <f>I56*0.25</f>
        <v>978.25</v>
      </c>
      <c r="J71" s="442">
        <v>1118</v>
      </c>
      <c r="K71" s="442">
        <f>K56*0.25</f>
        <v>2062.5</v>
      </c>
      <c r="L71" s="442">
        <v>0</v>
      </c>
      <c r="M71" s="442">
        <f>M56*0.25</f>
        <v>2062.5</v>
      </c>
      <c r="N71" s="442">
        <v>0</v>
      </c>
      <c r="O71" s="442">
        <f>O56*0.25</f>
        <v>2186.25</v>
      </c>
      <c r="P71" s="442">
        <v>0</v>
      </c>
      <c r="Q71" s="442">
        <f>Q56*0.25</f>
        <v>2186.25</v>
      </c>
      <c r="R71" s="442">
        <v>0</v>
      </c>
      <c r="S71" s="442">
        <f>S56*0.25</f>
        <v>2186.25</v>
      </c>
      <c r="T71" s="442">
        <v>0</v>
      </c>
      <c r="U71" s="442">
        <f>U56*0.25</f>
        <v>2295.5625</v>
      </c>
      <c r="V71" s="442">
        <v>0</v>
      </c>
      <c r="W71" s="442">
        <f>W56*0.25</f>
        <v>2295.5625</v>
      </c>
      <c r="X71" s="442">
        <v>0</v>
      </c>
      <c r="Y71" s="442">
        <f>Y56*0.25</f>
        <v>2295.5625</v>
      </c>
      <c r="Z71" s="442">
        <v>0</v>
      </c>
    </row>
    <row r="72" spans="1:26" ht="13.8" x14ac:dyDescent="0.3">
      <c r="A72" s="416" t="s">
        <v>665</v>
      </c>
      <c r="C72" s="442">
        <f>C56*0.05</f>
        <v>375</v>
      </c>
      <c r="D72" s="442">
        <v>0</v>
      </c>
      <c r="E72" s="442">
        <f>E56*0.05</f>
        <v>375</v>
      </c>
      <c r="F72" s="442">
        <v>330.47</v>
      </c>
      <c r="G72" s="442">
        <f>G56*0.05</f>
        <v>375</v>
      </c>
      <c r="H72" s="442">
        <v>0</v>
      </c>
      <c r="I72" s="442">
        <f>I56*0.05</f>
        <v>195.65</v>
      </c>
      <c r="J72" s="442">
        <v>286.5</v>
      </c>
      <c r="K72" s="442">
        <f>K56*0.05</f>
        <v>412.5</v>
      </c>
      <c r="L72" s="442">
        <v>0</v>
      </c>
      <c r="M72" s="442">
        <f>M56*0.05</f>
        <v>412.5</v>
      </c>
      <c r="N72" s="442">
        <v>0</v>
      </c>
      <c r="O72" s="442">
        <f>O56*0.05</f>
        <v>437.25</v>
      </c>
      <c r="P72" s="442">
        <v>0</v>
      </c>
      <c r="Q72" s="442">
        <f>Q56*0.05</f>
        <v>437.25</v>
      </c>
      <c r="R72" s="442">
        <v>0</v>
      </c>
      <c r="S72" s="442">
        <f>S56*0.05</f>
        <v>437.25</v>
      </c>
      <c r="T72" s="442">
        <v>0</v>
      </c>
      <c r="U72" s="442">
        <f>U56*0.05</f>
        <v>459.11250000000001</v>
      </c>
      <c r="V72" s="442">
        <v>0</v>
      </c>
      <c r="W72" s="442">
        <f>W56*0.05</f>
        <v>459.11250000000001</v>
      </c>
      <c r="X72" s="442">
        <v>0</v>
      </c>
      <c r="Y72" s="442">
        <f>Y56*0.05</f>
        <v>459.11250000000001</v>
      </c>
      <c r="Z72" s="442">
        <v>0</v>
      </c>
    </row>
    <row r="73" spans="1:26" ht="13.8" x14ac:dyDescent="0.3">
      <c r="A73" s="415" t="s">
        <v>666</v>
      </c>
      <c r="C73" s="442">
        <v>0</v>
      </c>
      <c r="D73" s="442">
        <v>0</v>
      </c>
      <c r="E73" s="442">
        <v>0</v>
      </c>
      <c r="F73" s="442">
        <v>0</v>
      </c>
      <c r="G73" s="442">
        <v>0</v>
      </c>
      <c r="H73" s="442">
        <v>0</v>
      </c>
      <c r="I73" s="442">
        <v>0</v>
      </c>
      <c r="J73" s="442">
        <v>0</v>
      </c>
      <c r="K73" s="442">
        <v>0</v>
      </c>
      <c r="L73" s="442">
        <v>0</v>
      </c>
      <c r="M73" s="442">
        <v>0</v>
      </c>
      <c r="N73" s="442">
        <v>0</v>
      </c>
      <c r="O73" s="442">
        <v>0</v>
      </c>
      <c r="P73" s="442">
        <v>0</v>
      </c>
      <c r="Q73" s="442">
        <v>0</v>
      </c>
      <c r="R73" s="442">
        <v>0</v>
      </c>
      <c r="S73" s="442">
        <v>0</v>
      </c>
      <c r="T73" s="442">
        <v>0</v>
      </c>
      <c r="U73" s="442">
        <v>0</v>
      </c>
      <c r="V73" s="442">
        <v>0</v>
      </c>
      <c r="W73" s="442">
        <v>0</v>
      </c>
      <c r="X73" s="442">
        <v>0</v>
      </c>
      <c r="Y73" s="442">
        <v>0</v>
      </c>
      <c r="Z73" s="442">
        <v>0</v>
      </c>
    </row>
    <row r="74" spans="1:26" ht="14.4" thickBot="1" x14ac:dyDescent="0.35">
      <c r="A74" s="417" t="s">
        <v>667</v>
      </c>
      <c r="C74" s="418">
        <f>C55-C60</f>
        <v>5250</v>
      </c>
      <c r="D74" s="418">
        <f t="shared" ref="D74:Z74" si="17">D55-D60</f>
        <v>2128</v>
      </c>
      <c r="E74" s="418">
        <f t="shared" si="17"/>
        <v>5250</v>
      </c>
      <c r="F74" s="418">
        <f t="shared" si="17"/>
        <v>2771.72</v>
      </c>
      <c r="G74" s="418">
        <f t="shared" si="17"/>
        <v>5250</v>
      </c>
      <c r="H74" s="418">
        <f t="shared" si="17"/>
        <v>2707.46</v>
      </c>
      <c r="I74" s="418">
        <f t="shared" si="17"/>
        <v>2739.1</v>
      </c>
      <c r="J74" s="418">
        <f t="shared" si="17"/>
        <v>2513.5</v>
      </c>
      <c r="K74" s="418">
        <f t="shared" si="17"/>
        <v>5775</v>
      </c>
      <c r="L74" s="418">
        <f t="shared" si="17"/>
        <v>0</v>
      </c>
      <c r="M74" s="418">
        <f t="shared" si="17"/>
        <v>5775</v>
      </c>
      <c r="N74" s="418">
        <f t="shared" si="17"/>
        <v>0</v>
      </c>
      <c r="O74" s="418">
        <f t="shared" si="17"/>
        <v>6121.5</v>
      </c>
      <c r="P74" s="418">
        <f t="shared" si="17"/>
        <v>0</v>
      </c>
      <c r="Q74" s="418">
        <f t="shared" si="17"/>
        <v>6121.5</v>
      </c>
      <c r="R74" s="418">
        <f t="shared" si="17"/>
        <v>0</v>
      </c>
      <c r="S74" s="418">
        <f t="shared" si="17"/>
        <v>6121.5</v>
      </c>
      <c r="T74" s="418">
        <f t="shared" si="17"/>
        <v>0</v>
      </c>
      <c r="U74" s="418">
        <f t="shared" si="17"/>
        <v>6427.5749999999998</v>
      </c>
      <c r="V74" s="418">
        <f t="shared" si="17"/>
        <v>0</v>
      </c>
      <c r="W74" s="418">
        <f t="shared" si="17"/>
        <v>6427.5749999999998</v>
      </c>
      <c r="X74" s="418">
        <f t="shared" si="17"/>
        <v>0</v>
      </c>
      <c r="Y74" s="418">
        <f t="shared" si="17"/>
        <v>6427.5749999999998</v>
      </c>
      <c r="Z74" s="418">
        <f t="shared" si="17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5800-0445-4CA0-BBAE-734FECEC9095}">
  <sheetPr>
    <tabColor theme="7" tint="-0.249977111117893"/>
  </sheetPr>
  <dimension ref="B1:J400"/>
  <sheetViews>
    <sheetView showGridLines="0" topLeftCell="A45" workbookViewId="0">
      <selection activeCell="I42" sqref="I42"/>
    </sheetView>
  </sheetViews>
  <sheetFormatPr defaultRowHeight="14.4" x14ac:dyDescent="0.3"/>
  <cols>
    <col min="2" max="2" width="27.109375" style="474" bestFit="1" customWidth="1"/>
    <col min="3" max="3" width="19.109375" style="479" customWidth="1"/>
    <col min="4" max="4" width="13.88671875" style="479" customWidth="1"/>
    <col min="5" max="5" width="16.44140625" style="460" bestFit="1" customWidth="1"/>
    <col min="6" max="6" width="19.44140625" style="480" bestFit="1" customWidth="1"/>
    <col min="7" max="7" width="19.44140625" style="480" customWidth="1"/>
    <col min="8" max="8" width="24" style="460" bestFit="1" customWidth="1"/>
    <col min="9" max="9" width="15.5546875" style="460" customWidth="1"/>
    <col min="10" max="10" width="13.33203125" bestFit="1" customWidth="1"/>
    <col min="12" max="12" width="9.5546875" bestFit="1" customWidth="1"/>
    <col min="16332" max="16332" width="10.109375" bestFit="1" customWidth="1"/>
  </cols>
  <sheetData>
    <row r="1" spans="2:9" ht="26.4" thickBot="1" x14ac:dyDescent="0.55000000000000004">
      <c r="B1" s="452" t="s">
        <v>723</v>
      </c>
      <c r="C1" s="453"/>
      <c r="D1" s="453"/>
      <c r="E1" s="453"/>
      <c r="F1" s="453"/>
      <c r="G1" s="453"/>
      <c r="H1" s="453"/>
      <c r="I1" s="453"/>
    </row>
    <row r="2" spans="2:9" ht="15" thickBot="1" x14ac:dyDescent="0.35">
      <c r="B2" s="516" t="s">
        <v>716</v>
      </c>
      <c r="C2" s="454"/>
      <c r="D2" s="454"/>
      <c r="E2" s="454"/>
      <c r="F2" s="454"/>
      <c r="G2" s="454"/>
      <c r="H2" s="454"/>
      <c r="I2" s="455"/>
    </row>
    <row r="3" spans="2:9" ht="15" thickBot="1" x14ac:dyDescent="0.35">
      <c r="B3" s="517"/>
      <c r="C3" s="456" t="s">
        <v>717</v>
      </c>
      <c r="D3" s="456" t="s">
        <v>718</v>
      </c>
      <c r="E3" s="457" t="s">
        <v>735</v>
      </c>
      <c r="F3" s="458" t="s">
        <v>719</v>
      </c>
      <c r="G3" s="458" t="s">
        <v>720</v>
      </c>
      <c r="H3" s="484" t="s">
        <v>736</v>
      </c>
      <c r="I3" s="459" t="s">
        <v>721</v>
      </c>
    </row>
    <row r="4" spans="2:9" x14ac:dyDescent="0.3">
      <c r="B4" s="461"/>
      <c r="C4" s="518"/>
      <c r="D4" s="518"/>
      <c r="E4" s="518"/>
      <c r="F4" s="518"/>
      <c r="G4" s="518"/>
      <c r="H4" s="519"/>
      <c r="I4" s="462">
        <v>350000</v>
      </c>
    </row>
    <row r="5" spans="2:9" x14ac:dyDescent="0.3">
      <c r="B5" s="463">
        <v>46023</v>
      </c>
      <c r="C5" s="464">
        <v>0</v>
      </c>
      <c r="D5" s="464">
        <v>0</v>
      </c>
      <c r="E5" s="465">
        <v>0</v>
      </c>
      <c r="F5" s="495">
        <v>0</v>
      </c>
      <c r="G5" s="466">
        <v>0</v>
      </c>
      <c r="H5" s="467">
        <v>0</v>
      </c>
      <c r="I5" s="462">
        <f t="shared" ref="I5:I15" si="0">+I4+C5+E5+G5+H5+F5+D5</f>
        <v>350000</v>
      </c>
    </row>
    <row r="6" spans="2:9" x14ac:dyDescent="0.3">
      <c r="B6" s="463">
        <v>46024</v>
      </c>
      <c r="C6" s="464">
        <v>0</v>
      </c>
      <c r="D6" s="464">
        <v>0</v>
      </c>
      <c r="E6" s="465">
        <v>0</v>
      </c>
      <c r="F6" s="495">
        <v>0</v>
      </c>
      <c r="G6" s="466">
        <v>0</v>
      </c>
      <c r="H6" s="467">
        <v>0</v>
      </c>
      <c r="I6" s="462">
        <f t="shared" si="0"/>
        <v>350000</v>
      </c>
    </row>
    <row r="7" spans="2:9" x14ac:dyDescent="0.3">
      <c r="B7" s="463">
        <v>46025</v>
      </c>
      <c r="C7" s="464">
        <v>0</v>
      </c>
      <c r="D7" s="464">
        <v>0</v>
      </c>
      <c r="E7" s="465">
        <v>0</v>
      </c>
      <c r="F7" s="495">
        <v>0</v>
      </c>
      <c r="G7" s="466">
        <v>0</v>
      </c>
      <c r="H7" s="467">
        <v>0</v>
      </c>
      <c r="I7" s="462">
        <f t="shared" si="0"/>
        <v>350000</v>
      </c>
    </row>
    <row r="8" spans="2:9" x14ac:dyDescent="0.3">
      <c r="B8" s="463">
        <v>46026</v>
      </c>
      <c r="C8" s="464">
        <v>0</v>
      </c>
      <c r="D8" s="464">
        <v>0</v>
      </c>
      <c r="E8" s="465">
        <v>0</v>
      </c>
      <c r="F8" s="495">
        <v>0</v>
      </c>
      <c r="G8" s="466">
        <v>0</v>
      </c>
      <c r="H8" s="467">
        <v>0</v>
      </c>
      <c r="I8" s="462">
        <f t="shared" si="0"/>
        <v>350000</v>
      </c>
    </row>
    <row r="9" spans="2:9" x14ac:dyDescent="0.3">
      <c r="B9" s="463">
        <v>46027</v>
      </c>
      <c r="C9" s="464">
        <v>0</v>
      </c>
      <c r="D9" s="464">
        <v>0</v>
      </c>
      <c r="E9" s="465">
        <v>0</v>
      </c>
      <c r="F9" s="495">
        <v>0</v>
      </c>
      <c r="G9" s="466">
        <v>0</v>
      </c>
      <c r="H9" s="467">
        <v>0</v>
      </c>
      <c r="I9" s="462">
        <f t="shared" si="0"/>
        <v>350000</v>
      </c>
    </row>
    <row r="10" spans="2:9" x14ac:dyDescent="0.3">
      <c r="B10" s="463">
        <v>46028</v>
      </c>
      <c r="C10" s="464">
        <v>0</v>
      </c>
      <c r="D10" s="464">
        <v>0</v>
      </c>
      <c r="E10" s="465">
        <v>0</v>
      </c>
      <c r="F10" s="495">
        <v>0</v>
      </c>
      <c r="G10" s="466">
        <v>0</v>
      </c>
      <c r="H10" s="467">
        <v>0</v>
      </c>
      <c r="I10" s="462">
        <f t="shared" si="0"/>
        <v>350000</v>
      </c>
    </row>
    <row r="11" spans="2:9" x14ac:dyDescent="0.3">
      <c r="B11" s="463">
        <v>46029</v>
      </c>
      <c r="C11" s="464">
        <v>0</v>
      </c>
      <c r="D11" s="464">
        <v>0</v>
      </c>
      <c r="E11" s="465">
        <v>0</v>
      </c>
      <c r="F11" s="495">
        <v>0</v>
      </c>
      <c r="G11" s="466">
        <v>0</v>
      </c>
      <c r="H11" s="467">
        <v>0</v>
      </c>
      <c r="I11" s="462">
        <f t="shared" si="0"/>
        <v>350000</v>
      </c>
    </row>
    <row r="12" spans="2:9" x14ac:dyDescent="0.3">
      <c r="B12" s="463">
        <v>46030</v>
      </c>
      <c r="C12" s="464">
        <v>0</v>
      </c>
      <c r="D12" s="464">
        <v>0</v>
      </c>
      <c r="E12" s="465">
        <v>0</v>
      </c>
      <c r="F12" s="495">
        <v>0</v>
      </c>
      <c r="G12" s="466">
        <v>0</v>
      </c>
      <c r="H12" s="467">
        <v>0</v>
      </c>
      <c r="I12" s="462">
        <f t="shared" si="0"/>
        <v>350000</v>
      </c>
    </row>
    <row r="13" spans="2:9" x14ac:dyDescent="0.3">
      <c r="B13" s="463">
        <v>46031</v>
      </c>
      <c r="C13" s="464">
        <v>0</v>
      </c>
      <c r="D13" s="464">
        <v>0</v>
      </c>
      <c r="E13" s="465">
        <v>0</v>
      </c>
      <c r="F13" s="495">
        <v>0</v>
      </c>
      <c r="G13" s="466">
        <v>0</v>
      </c>
      <c r="H13" s="467">
        <v>0</v>
      </c>
      <c r="I13" s="462">
        <f t="shared" si="0"/>
        <v>350000</v>
      </c>
    </row>
    <row r="14" spans="2:9" x14ac:dyDescent="0.3">
      <c r="B14" s="463">
        <v>46032</v>
      </c>
      <c r="C14" s="464">
        <v>0</v>
      </c>
      <c r="D14" s="464">
        <v>0</v>
      </c>
      <c r="E14" s="465">
        <v>0</v>
      </c>
      <c r="F14" s="495">
        <v>0</v>
      </c>
      <c r="G14" s="466">
        <v>0</v>
      </c>
      <c r="H14" s="467">
        <v>0</v>
      </c>
      <c r="I14" s="462">
        <f t="shared" si="0"/>
        <v>350000</v>
      </c>
    </row>
    <row r="15" spans="2:9" x14ac:dyDescent="0.3">
      <c r="B15" s="463">
        <v>46033</v>
      </c>
      <c r="C15" s="464">
        <v>0</v>
      </c>
      <c r="D15" s="464">
        <v>0</v>
      </c>
      <c r="E15" s="465">
        <v>0</v>
      </c>
      <c r="F15" s="495">
        <v>0</v>
      </c>
      <c r="G15" s="466">
        <v>0</v>
      </c>
      <c r="H15" s="467">
        <v>0</v>
      </c>
      <c r="I15" s="462">
        <f t="shared" si="0"/>
        <v>350000</v>
      </c>
    </row>
    <row r="16" spans="2:9" x14ac:dyDescent="0.3">
      <c r="B16" s="463">
        <v>46034</v>
      </c>
      <c r="C16" s="464">
        <v>0</v>
      </c>
      <c r="D16" s="464">
        <v>0</v>
      </c>
      <c r="E16" s="465">
        <v>0</v>
      </c>
      <c r="F16" s="495">
        <v>0</v>
      </c>
      <c r="G16" s="466">
        <v>0</v>
      </c>
      <c r="H16" s="467">
        <v>0</v>
      </c>
      <c r="I16" s="462">
        <f t="shared" ref="I16:I35" si="1">+I15+C16+E16+G16+H16+F16+D16</f>
        <v>350000</v>
      </c>
    </row>
    <row r="17" spans="2:9" x14ac:dyDescent="0.3">
      <c r="B17" s="463">
        <v>46035</v>
      </c>
      <c r="C17" s="464">
        <v>0</v>
      </c>
      <c r="D17" s="464">
        <v>0</v>
      </c>
      <c r="E17" s="465">
        <v>0</v>
      </c>
      <c r="F17" s="495">
        <v>0</v>
      </c>
      <c r="G17" s="466">
        <v>0</v>
      </c>
      <c r="H17" s="467">
        <v>0</v>
      </c>
      <c r="I17" s="462">
        <f t="shared" si="1"/>
        <v>350000</v>
      </c>
    </row>
    <row r="18" spans="2:9" x14ac:dyDescent="0.3">
      <c r="B18" s="463">
        <v>46036</v>
      </c>
      <c r="C18" s="464">
        <v>0</v>
      </c>
      <c r="D18" s="464">
        <v>0</v>
      </c>
      <c r="E18" s="465">
        <v>0</v>
      </c>
      <c r="F18" s="495">
        <v>0</v>
      </c>
      <c r="G18" s="466">
        <v>0</v>
      </c>
      <c r="H18" s="467">
        <v>0</v>
      </c>
      <c r="I18" s="462">
        <f t="shared" si="1"/>
        <v>350000</v>
      </c>
    </row>
    <row r="19" spans="2:9" x14ac:dyDescent="0.3">
      <c r="B19" s="463">
        <v>46037</v>
      </c>
      <c r="C19" s="464">
        <v>0</v>
      </c>
      <c r="D19" s="464">
        <v>0</v>
      </c>
      <c r="E19" s="465">
        <v>0</v>
      </c>
      <c r="F19" s="495">
        <v>0</v>
      </c>
      <c r="G19" s="466">
        <v>0</v>
      </c>
      <c r="H19" s="467">
        <v>0</v>
      </c>
      <c r="I19" s="462">
        <f t="shared" si="1"/>
        <v>350000</v>
      </c>
    </row>
    <row r="20" spans="2:9" x14ac:dyDescent="0.3">
      <c r="B20" s="463">
        <v>46038</v>
      </c>
      <c r="C20" s="464">
        <v>0</v>
      </c>
      <c r="D20" s="464">
        <v>0</v>
      </c>
      <c r="E20" s="465">
        <v>0</v>
      </c>
      <c r="F20" s="495">
        <v>0</v>
      </c>
      <c r="G20" s="466">
        <v>0</v>
      </c>
      <c r="H20" s="467">
        <v>0</v>
      </c>
      <c r="I20" s="462">
        <f t="shared" si="1"/>
        <v>350000</v>
      </c>
    </row>
    <row r="21" spans="2:9" x14ac:dyDescent="0.3">
      <c r="B21" s="463">
        <v>46039</v>
      </c>
      <c r="C21" s="464">
        <v>0</v>
      </c>
      <c r="D21" s="464">
        <v>0</v>
      </c>
      <c r="E21" s="465">
        <v>0</v>
      </c>
      <c r="F21" s="495">
        <v>0</v>
      </c>
      <c r="G21" s="466">
        <v>0</v>
      </c>
      <c r="H21" s="467">
        <v>0</v>
      </c>
      <c r="I21" s="462">
        <f t="shared" si="1"/>
        <v>350000</v>
      </c>
    </row>
    <row r="22" spans="2:9" x14ac:dyDescent="0.3">
      <c r="B22" s="463">
        <v>46040</v>
      </c>
      <c r="C22" s="464">
        <v>0</v>
      </c>
      <c r="D22" s="464">
        <v>0</v>
      </c>
      <c r="E22" s="465">
        <v>0</v>
      </c>
      <c r="F22" s="495">
        <v>0</v>
      </c>
      <c r="G22" s="466">
        <v>0</v>
      </c>
      <c r="H22" s="467">
        <v>0</v>
      </c>
      <c r="I22" s="462">
        <f t="shared" si="1"/>
        <v>350000</v>
      </c>
    </row>
    <row r="23" spans="2:9" x14ac:dyDescent="0.3">
      <c r="B23" s="463">
        <v>46041</v>
      </c>
      <c r="C23" s="464">
        <v>0</v>
      </c>
      <c r="D23" s="464">
        <v>0</v>
      </c>
      <c r="E23" s="465">
        <v>0</v>
      </c>
      <c r="F23" s="495">
        <v>0</v>
      </c>
      <c r="G23" s="466">
        <v>0</v>
      </c>
      <c r="H23" s="467">
        <v>0</v>
      </c>
      <c r="I23" s="462">
        <f t="shared" si="1"/>
        <v>350000</v>
      </c>
    </row>
    <row r="24" spans="2:9" x14ac:dyDescent="0.3">
      <c r="B24" s="463">
        <v>46042</v>
      </c>
      <c r="C24" s="464">
        <v>0</v>
      </c>
      <c r="D24" s="464">
        <v>0</v>
      </c>
      <c r="E24" s="465">
        <v>0</v>
      </c>
      <c r="F24" s="495">
        <v>0</v>
      </c>
      <c r="G24" s="466">
        <v>0</v>
      </c>
      <c r="H24" s="467">
        <v>0</v>
      </c>
      <c r="I24" s="462">
        <f t="shared" si="1"/>
        <v>350000</v>
      </c>
    </row>
    <row r="25" spans="2:9" x14ac:dyDescent="0.3">
      <c r="B25" s="463">
        <v>46043</v>
      </c>
      <c r="C25" s="464">
        <v>0</v>
      </c>
      <c r="D25" s="464">
        <v>0</v>
      </c>
      <c r="E25" s="465">
        <v>0</v>
      </c>
      <c r="F25" s="495">
        <v>0</v>
      </c>
      <c r="G25" s="466">
        <v>0</v>
      </c>
      <c r="H25" s="467">
        <v>0</v>
      </c>
      <c r="I25" s="462">
        <f t="shared" si="1"/>
        <v>350000</v>
      </c>
    </row>
    <row r="26" spans="2:9" x14ac:dyDescent="0.3">
      <c r="B26" s="463">
        <v>46044</v>
      </c>
      <c r="C26" s="464">
        <v>0</v>
      </c>
      <c r="D26" s="464">
        <v>0</v>
      </c>
      <c r="E26" s="465">
        <v>0</v>
      </c>
      <c r="F26" s="495">
        <v>0</v>
      </c>
      <c r="G26" s="466">
        <v>0</v>
      </c>
      <c r="H26" s="467">
        <v>0</v>
      </c>
      <c r="I26" s="462">
        <f t="shared" si="1"/>
        <v>350000</v>
      </c>
    </row>
    <row r="27" spans="2:9" x14ac:dyDescent="0.3">
      <c r="B27" s="463">
        <v>46045</v>
      </c>
      <c r="C27" s="464">
        <v>0</v>
      </c>
      <c r="D27" s="464">
        <v>0</v>
      </c>
      <c r="E27" s="465">
        <v>0</v>
      </c>
      <c r="F27" s="495">
        <v>0</v>
      </c>
      <c r="G27" s="466">
        <v>0</v>
      </c>
      <c r="H27" s="467">
        <v>0</v>
      </c>
      <c r="I27" s="462">
        <f t="shared" si="1"/>
        <v>350000</v>
      </c>
    </row>
    <row r="28" spans="2:9" x14ac:dyDescent="0.3">
      <c r="B28" s="463">
        <v>46046</v>
      </c>
      <c r="C28" s="464">
        <v>0</v>
      </c>
      <c r="D28" s="464">
        <v>0</v>
      </c>
      <c r="E28" s="465">
        <v>0</v>
      </c>
      <c r="F28" s="495">
        <v>0</v>
      </c>
      <c r="G28" s="466">
        <v>0</v>
      </c>
      <c r="H28" s="467">
        <v>0</v>
      </c>
      <c r="I28" s="462">
        <f t="shared" si="1"/>
        <v>350000</v>
      </c>
    </row>
    <row r="29" spans="2:9" x14ac:dyDescent="0.3">
      <c r="B29" s="463">
        <v>46047</v>
      </c>
      <c r="C29" s="464">
        <v>0</v>
      </c>
      <c r="D29" s="464">
        <v>0</v>
      </c>
      <c r="E29" s="465">
        <v>0</v>
      </c>
      <c r="F29" s="495">
        <v>0</v>
      </c>
      <c r="G29" s="466">
        <v>0</v>
      </c>
      <c r="H29" s="467">
        <v>0</v>
      </c>
      <c r="I29" s="462">
        <f t="shared" si="1"/>
        <v>350000</v>
      </c>
    </row>
    <row r="30" spans="2:9" x14ac:dyDescent="0.3">
      <c r="B30" s="463">
        <v>46048</v>
      </c>
      <c r="C30" s="464">
        <v>0</v>
      </c>
      <c r="D30" s="464">
        <v>0</v>
      </c>
      <c r="E30" s="465">
        <v>0</v>
      </c>
      <c r="F30" s="495">
        <v>0</v>
      </c>
      <c r="G30" s="466">
        <v>0</v>
      </c>
      <c r="H30" s="467">
        <v>0</v>
      </c>
      <c r="I30" s="462">
        <f t="shared" si="1"/>
        <v>350000</v>
      </c>
    </row>
    <row r="31" spans="2:9" x14ac:dyDescent="0.3">
      <c r="B31" s="463">
        <v>46049</v>
      </c>
      <c r="C31" s="464">
        <v>0</v>
      </c>
      <c r="D31" s="464">
        <v>0</v>
      </c>
      <c r="E31" s="465">
        <v>0</v>
      </c>
      <c r="F31" s="495">
        <v>0</v>
      </c>
      <c r="G31" s="466">
        <v>0</v>
      </c>
      <c r="H31" s="467">
        <v>0</v>
      </c>
      <c r="I31" s="462">
        <f t="shared" si="1"/>
        <v>350000</v>
      </c>
    </row>
    <row r="32" spans="2:9" x14ac:dyDescent="0.3">
      <c r="B32" s="463">
        <v>46050</v>
      </c>
      <c r="C32" s="464">
        <v>0</v>
      </c>
      <c r="D32" s="464">
        <v>0</v>
      </c>
      <c r="E32" s="465">
        <v>0</v>
      </c>
      <c r="F32" s="495">
        <v>0</v>
      </c>
      <c r="G32" s="466">
        <v>0</v>
      </c>
      <c r="H32" s="467">
        <v>0</v>
      </c>
      <c r="I32" s="462">
        <f t="shared" si="1"/>
        <v>350000</v>
      </c>
    </row>
    <row r="33" spans="2:9" x14ac:dyDescent="0.3">
      <c r="B33" s="463">
        <v>46051</v>
      </c>
      <c r="C33" s="464">
        <v>0</v>
      </c>
      <c r="D33" s="464">
        <v>0</v>
      </c>
      <c r="E33" s="465">
        <v>0</v>
      </c>
      <c r="F33" s="495">
        <v>0</v>
      </c>
      <c r="G33" s="466">
        <v>0</v>
      </c>
      <c r="H33" s="467">
        <v>0</v>
      </c>
      <c r="I33" s="462">
        <f t="shared" si="1"/>
        <v>350000</v>
      </c>
    </row>
    <row r="34" spans="2:9" x14ac:dyDescent="0.3">
      <c r="B34" s="463">
        <v>46052</v>
      </c>
      <c r="C34" s="464">
        <v>0</v>
      </c>
      <c r="D34" s="464">
        <v>0</v>
      </c>
      <c r="E34" s="465">
        <v>0</v>
      </c>
      <c r="F34" s="495">
        <v>0</v>
      </c>
      <c r="G34" s="466">
        <v>0</v>
      </c>
      <c r="H34" s="467">
        <v>0</v>
      </c>
      <c r="I34" s="462">
        <f t="shared" si="1"/>
        <v>350000</v>
      </c>
    </row>
    <row r="35" spans="2:9" ht="15" thickBot="1" x14ac:dyDescent="0.35">
      <c r="B35" s="463">
        <v>46053</v>
      </c>
      <c r="C35" s="464">
        <v>0</v>
      </c>
      <c r="D35" s="464">
        <v>0</v>
      </c>
      <c r="E35" s="465">
        <v>0</v>
      </c>
      <c r="F35" s="495">
        <v>0</v>
      </c>
      <c r="G35" s="466">
        <v>0</v>
      </c>
      <c r="H35" s="467">
        <v>0</v>
      </c>
      <c r="I35" s="462">
        <f t="shared" si="1"/>
        <v>350000</v>
      </c>
    </row>
    <row r="36" spans="2:9" ht="15" thickBot="1" x14ac:dyDescent="0.35">
      <c r="B36" s="469" t="s">
        <v>79</v>
      </c>
      <c r="C36" s="470">
        <f>SUM(C5:C35)</f>
        <v>0</v>
      </c>
      <c r="D36" s="470"/>
      <c r="E36" s="471">
        <f>SUM(E5:E35)</f>
        <v>0</v>
      </c>
      <c r="F36" s="472">
        <f>SUM(F5:F35)</f>
        <v>0</v>
      </c>
      <c r="G36" s="472">
        <f>SUM(G5:G35)</f>
        <v>0</v>
      </c>
      <c r="H36" s="471">
        <f>SUM(H5:H35)</f>
        <v>0</v>
      </c>
      <c r="I36" s="473"/>
    </row>
    <row r="37" spans="2:9" ht="15" thickBot="1" x14ac:dyDescent="0.35"/>
    <row r="38" spans="2:9" ht="26.4" thickBot="1" x14ac:dyDescent="0.55000000000000004">
      <c r="B38" s="452" t="s">
        <v>724</v>
      </c>
      <c r="C38" s="453"/>
      <c r="D38" s="453"/>
      <c r="E38" s="453"/>
      <c r="F38" s="453"/>
      <c r="G38" s="453"/>
      <c r="H38" s="453"/>
      <c r="I38" s="453"/>
    </row>
    <row r="39" spans="2:9" ht="15" thickBot="1" x14ac:dyDescent="0.35">
      <c r="B39" s="516" t="s">
        <v>716</v>
      </c>
      <c r="C39" s="454"/>
      <c r="D39" s="454"/>
      <c r="E39" s="454"/>
      <c r="F39" s="454"/>
      <c r="G39" s="454"/>
      <c r="H39" s="454"/>
      <c r="I39" s="455"/>
    </row>
    <row r="40" spans="2:9" ht="15" thickBot="1" x14ac:dyDescent="0.35">
      <c r="B40" s="517"/>
      <c r="C40" s="456" t="s">
        <v>717</v>
      </c>
      <c r="D40" s="456" t="s">
        <v>718</v>
      </c>
      <c r="E40" s="457" t="s">
        <v>735</v>
      </c>
      <c r="F40" s="458" t="s">
        <v>719</v>
      </c>
      <c r="G40" s="458" t="s">
        <v>720</v>
      </c>
      <c r="H40" s="484" t="s">
        <v>736</v>
      </c>
      <c r="I40" s="459" t="s">
        <v>721</v>
      </c>
    </row>
    <row r="41" spans="2:9" x14ac:dyDescent="0.3">
      <c r="B41" s="461"/>
      <c r="C41" s="518"/>
      <c r="D41" s="518"/>
      <c r="E41" s="518"/>
      <c r="F41" s="518"/>
      <c r="G41" s="518"/>
      <c r="H41" s="519"/>
      <c r="I41" s="462">
        <v>200000</v>
      </c>
    </row>
    <row r="42" spans="2:9" x14ac:dyDescent="0.3">
      <c r="B42" s="463">
        <v>46054</v>
      </c>
      <c r="C42" s="464">
        <v>0</v>
      </c>
      <c r="D42" s="464">
        <v>0</v>
      </c>
      <c r="E42" s="467">
        <v>0</v>
      </c>
      <c r="F42" s="432">
        <v>0</v>
      </c>
      <c r="G42" s="466">
        <v>0</v>
      </c>
      <c r="H42" s="467">
        <v>0</v>
      </c>
      <c r="I42" s="462">
        <f>+I41+C42+E42+G42+H42+F42+D42</f>
        <v>200000</v>
      </c>
    </row>
    <row r="43" spans="2:9" x14ac:dyDescent="0.3">
      <c r="B43" s="463">
        <v>46055</v>
      </c>
      <c r="C43" s="464">
        <v>0</v>
      </c>
      <c r="D43" s="464">
        <v>0</v>
      </c>
      <c r="E43" s="467">
        <v>0</v>
      </c>
      <c r="F43" s="432">
        <v>0</v>
      </c>
      <c r="G43" s="466">
        <v>0</v>
      </c>
      <c r="H43" s="467">
        <v>0</v>
      </c>
      <c r="I43" s="462">
        <f>+I42+C43+E43+G43+H43+F43+D43</f>
        <v>200000</v>
      </c>
    </row>
    <row r="44" spans="2:9" x14ac:dyDescent="0.3">
      <c r="B44" s="463">
        <v>46056</v>
      </c>
      <c r="C44" s="464">
        <v>0</v>
      </c>
      <c r="D44" s="464">
        <v>0</v>
      </c>
      <c r="E44" s="467">
        <v>0</v>
      </c>
      <c r="F44" s="432">
        <v>0</v>
      </c>
      <c r="G44" s="466">
        <v>0</v>
      </c>
      <c r="H44" s="467">
        <v>0</v>
      </c>
      <c r="I44" s="462">
        <f t="shared" ref="I44:I69" si="2">+I43+C44+E44+G44+H44+F44+D44</f>
        <v>200000</v>
      </c>
    </row>
    <row r="45" spans="2:9" x14ac:dyDescent="0.3">
      <c r="B45" s="463">
        <v>46057</v>
      </c>
      <c r="C45" s="464">
        <v>0</v>
      </c>
      <c r="D45" s="464">
        <v>0</v>
      </c>
      <c r="E45" s="467">
        <v>0</v>
      </c>
      <c r="F45" s="432">
        <v>0</v>
      </c>
      <c r="G45" s="466">
        <v>0</v>
      </c>
      <c r="H45" s="467">
        <v>0</v>
      </c>
      <c r="I45" s="462">
        <f t="shared" si="2"/>
        <v>200000</v>
      </c>
    </row>
    <row r="46" spans="2:9" x14ac:dyDescent="0.3">
      <c r="B46" s="463">
        <v>46058</v>
      </c>
      <c r="C46" s="464">
        <v>0</v>
      </c>
      <c r="D46" s="464">
        <v>0</v>
      </c>
      <c r="E46" s="467">
        <v>0</v>
      </c>
      <c r="F46" s="495">
        <v>0</v>
      </c>
      <c r="G46" s="466">
        <v>0</v>
      </c>
      <c r="H46" s="467">
        <v>0</v>
      </c>
      <c r="I46" s="462">
        <f t="shared" si="2"/>
        <v>200000</v>
      </c>
    </row>
    <row r="47" spans="2:9" x14ac:dyDescent="0.3">
      <c r="B47" s="463">
        <v>46059</v>
      </c>
      <c r="C47" s="464">
        <v>0</v>
      </c>
      <c r="D47" s="464">
        <v>0</v>
      </c>
      <c r="E47" s="467">
        <v>0</v>
      </c>
      <c r="F47" s="432">
        <v>0</v>
      </c>
      <c r="G47" s="466">
        <v>0</v>
      </c>
      <c r="H47" s="467">
        <v>0</v>
      </c>
      <c r="I47" s="462">
        <f t="shared" si="2"/>
        <v>200000</v>
      </c>
    </row>
    <row r="48" spans="2:9" x14ac:dyDescent="0.3">
      <c r="B48" s="463">
        <v>46060</v>
      </c>
      <c r="C48" s="464">
        <v>0</v>
      </c>
      <c r="D48" s="464">
        <v>0</v>
      </c>
      <c r="E48" s="467">
        <v>0</v>
      </c>
      <c r="F48" s="432">
        <v>-10062.67</v>
      </c>
      <c r="G48" s="466">
        <v>0</v>
      </c>
      <c r="H48" s="467">
        <v>0</v>
      </c>
      <c r="I48" s="462">
        <f t="shared" si="2"/>
        <v>189937.33</v>
      </c>
    </row>
    <row r="49" spans="2:9" x14ac:dyDescent="0.3">
      <c r="B49" s="463">
        <v>46061</v>
      </c>
      <c r="C49" s="464">
        <v>0</v>
      </c>
      <c r="D49" s="464">
        <v>0</v>
      </c>
      <c r="E49" s="467">
        <v>0</v>
      </c>
      <c r="F49" s="432">
        <v>-377.95</v>
      </c>
      <c r="G49" s="466">
        <v>0</v>
      </c>
      <c r="H49" s="467">
        <v>0</v>
      </c>
      <c r="I49" s="462">
        <f t="shared" si="2"/>
        <v>189559.37999999998</v>
      </c>
    </row>
    <row r="50" spans="2:9" x14ac:dyDescent="0.3">
      <c r="B50" s="463">
        <v>46062</v>
      </c>
      <c r="C50" s="464">
        <v>0</v>
      </c>
      <c r="D50" s="464">
        <v>0</v>
      </c>
      <c r="E50" s="467">
        <v>0</v>
      </c>
      <c r="F50" s="432">
        <v>-7572.81</v>
      </c>
      <c r="G50" s="466">
        <v>0</v>
      </c>
      <c r="H50" s="467">
        <v>0</v>
      </c>
      <c r="I50" s="462">
        <f t="shared" si="2"/>
        <v>181986.56999999998</v>
      </c>
    </row>
    <row r="51" spans="2:9" x14ac:dyDescent="0.3">
      <c r="B51" s="463">
        <v>46063</v>
      </c>
      <c r="C51" s="464">
        <v>0</v>
      </c>
      <c r="D51" s="464">
        <v>0</v>
      </c>
      <c r="E51" s="467">
        <v>0</v>
      </c>
      <c r="F51" s="432">
        <v>-11377.46</v>
      </c>
      <c r="G51" s="466">
        <v>0</v>
      </c>
      <c r="H51" s="467">
        <v>0</v>
      </c>
      <c r="I51" s="462">
        <f t="shared" si="2"/>
        <v>170609.11</v>
      </c>
    </row>
    <row r="52" spans="2:9" x14ac:dyDescent="0.3">
      <c r="B52" s="463">
        <v>46064</v>
      </c>
      <c r="C52" s="464">
        <v>0</v>
      </c>
      <c r="D52" s="464">
        <v>0</v>
      </c>
      <c r="E52" s="467">
        <v>0</v>
      </c>
      <c r="F52" s="432">
        <v>-5179.26</v>
      </c>
      <c r="G52" s="466">
        <v>0</v>
      </c>
      <c r="H52" s="467">
        <v>0</v>
      </c>
      <c r="I52" s="462">
        <f t="shared" si="2"/>
        <v>165429.84999999998</v>
      </c>
    </row>
    <row r="53" spans="2:9" x14ac:dyDescent="0.3">
      <c r="B53" s="463">
        <v>46065</v>
      </c>
      <c r="C53" s="464">
        <v>0</v>
      </c>
      <c r="D53" s="464">
        <v>0</v>
      </c>
      <c r="E53" s="467">
        <v>0</v>
      </c>
      <c r="F53" s="432">
        <v>-13917.42</v>
      </c>
      <c r="G53" s="466">
        <v>0</v>
      </c>
      <c r="H53" s="467">
        <v>0</v>
      </c>
      <c r="I53" s="462">
        <f t="shared" si="2"/>
        <v>151512.42999999996</v>
      </c>
    </row>
    <row r="54" spans="2:9" x14ac:dyDescent="0.3">
      <c r="B54" s="463">
        <v>46066</v>
      </c>
      <c r="C54" s="464">
        <v>0</v>
      </c>
      <c r="D54" s="464">
        <v>0</v>
      </c>
      <c r="E54" s="467">
        <v>0</v>
      </c>
      <c r="F54" s="434">
        <v>-4017.88</v>
      </c>
      <c r="G54" s="466">
        <v>0</v>
      </c>
      <c r="H54" s="467">
        <v>0</v>
      </c>
      <c r="I54" s="462">
        <f t="shared" si="2"/>
        <v>147494.54999999996</v>
      </c>
    </row>
    <row r="55" spans="2:9" x14ac:dyDescent="0.3">
      <c r="B55" s="463">
        <v>46067</v>
      </c>
      <c r="C55" s="464">
        <v>0</v>
      </c>
      <c r="D55" s="464">
        <v>0</v>
      </c>
      <c r="E55" s="467">
        <v>0</v>
      </c>
      <c r="F55" s="432">
        <v>-7101.4</v>
      </c>
      <c r="G55" s="466">
        <v>0</v>
      </c>
      <c r="H55" s="467">
        <v>0</v>
      </c>
      <c r="I55" s="462">
        <f t="shared" si="2"/>
        <v>140393.14999999997</v>
      </c>
    </row>
    <row r="56" spans="2:9" x14ac:dyDescent="0.3">
      <c r="B56" s="463">
        <v>46068</v>
      </c>
      <c r="C56" s="464">
        <v>0</v>
      </c>
      <c r="D56" s="464">
        <v>0</v>
      </c>
      <c r="E56" s="467">
        <v>0</v>
      </c>
      <c r="F56" s="432">
        <v>-10386.879999999999</v>
      </c>
      <c r="G56" s="466">
        <v>0</v>
      </c>
      <c r="H56" s="467">
        <v>0</v>
      </c>
      <c r="I56" s="462">
        <f t="shared" si="2"/>
        <v>130006.26999999996</v>
      </c>
    </row>
    <row r="57" spans="2:9" x14ac:dyDescent="0.3">
      <c r="B57" s="463">
        <v>46069</v>
      </c>
      <c r="C57" s="464">
        <v>0</v>
      </c>
      <c r="D57" s="464">
        <v>0</v>
      </c>
      <c r="E57" s="467">
        <v>0</v>
      </c>
      <c r="F57" s="432">
        <v>-22997.37</v>
      </c>
      <c r="G57" s="466">
        <v>0</v>
      </c>
      <c r="H57" s="467">
        <v>0</v>
      </c>
      <c r="I57" s="462">
        <f t="shared" si="2"/>
        <v>107008.89999999997</v>
      </c>
    </row>
    <row r="58" spans="2:9" x14ac:dyDescent="0.3">
      <c r="B58" s="463">
        <v>46070</v>
      </c>
      <c r="C58" s="464">
        <v>0</v>
      </c>
      <c r="D58" s="464">
        <v>0</v>
      </c>
      <c r="E58" s="467">
        <v>0</v>
      </c>
      <c r="F58" s="432">
        <v>-12144.28</v>
      </c>
      <c r="G58" s="466">
        <v>0</v>
      </c>
      <c r="H58" s="467">
        <v>0</v>
      </c>
      <c r="I58" s="462">
        <f t="shared" si="2"/>
        <v>94864.619999999966</v>
      </c>
    </row>
    <row r="59" spans="2:9" x14ac:dyDescent="0.3">
      <c r="B59" s="463">
        <v>46071</v>
      </c>
      <c r="C59" s="464">
        <v>0</v>
      </c>
      <c r="D59" s="464">
        <v>0</v>
      </c>
      <c r="E59" s="467">
        <v>0</v>
      </c>
      <c r="F59" s="432">
        <v>0</v>
      </c>
      <c r="G59" s="466">
        <v>0</v>
      </c>
      <c r="H59" s="467">
        <v>0</v>
      </c>
      <c r="I59" s="462">
        <f t="shared" si="2"/>
        <v>94864.619999999966</v>
      </c>
    </row>
    <row r="60" spans="2:9" x14ac:dyDescent="0.3">
      <c r="B60" s="463">
        <v>46072</v>
      </c>
      <c r="C60" s="464">
        <v>0</v>
      </c>
      <c r="D60" s="464">
        <v>0</v>
      </c>
      <c r="E60" s="467">
        <v>0</v>
      </c>
      <c r="F60" s="432">
        <v>-3905.48</v>
      </c>
      <c r="G60" s="466">
        <v>0</v>
      </c>
      <c r="H60" s="467">
        <v>0</v>
      </c>
      <c r="I60" s="462">
        <f t="shared" si="2"/>
        <v>90959.13999999997</v>
      </c>
    </row>
    <row r="61" spans="2:9" x14ac:dyDescent="0.3">
      <c r="B61" s="463">
        <v>46073</v>
      </c>
      <c r="C61" s="464">
        <v>0</v>
      </c>
      <c r="D61" s="464">
        <v>0</v>
      </c>
      <c r="E61" s="467">
        <v>0</v>
      </c>
      <c r="F61" s="434">
        <f>-(1973+450+40000+8031.05)</f>
        <v>-50454.05</v>
      </c>
      <c r="G61" s="466">
        <v>0</v>
      </c>
      <c r="H61" s="467">
        <v>0</v>
      </c>
      <c r="I61" s="462">
        <f t="shared" si="2"/>
        <v>40505.089999999967</v>
      </c>
    </row>
    <row r="62" spans="2:9" x14ac:dyDescent="0.3">
      <c r="B62" s="463">
        <v>46074</v>
      </c>
      <c r="C62" s="464">
        <v>0</v>
      </c>
      <c r="D62" s="464">
        <v>0</v>
      </c>
      <c r="E62" s="467">
        <v>0</v>
      </c>
      <c r="F62" s="432">
        <v>-2198.11</v>
      </c>
      <c r="G62" s="466">
        <v>0</v>
      </c>
      <c r="H62" s="467">
        <v>0</v>
      </c>
      <c r="I62" s="462">
        <f t="shared" si="2"/>
        <v>38306.979999999967</v>
      </c>
    </row>
    <row r="63" spans="2:9" x14ac:dyDescent="0.3">
      <c r="B63" s="463">
        <v>46075</v>
      </c>
      <c r="C63" s="464">
        <v>0</v>
      </c>
      <c r="D63" s="464">
        <v>0</v>
      </c>
      <c r="E63" s="467">
        <v>0</v>
      </c>
      <c r="F63" s="432">
        <v>-3304.59</v>
      </c>
      <c r="G63" s="466">
        <v>0</v>
      </c>
      <c r="H63" s="467">
        <v>0</v>
      </c>
      <c r="I63" s="462">
        <f t="shared" si="2"/>
        <v>35002.38999999997</v>
      </c>
    </row>
    <row r="64" spans="2:9" x14ac:dyDescent="0.3">
      <c r="B64" s="463">
        <v>46076</v>
      </c>
      <c r="C64" s="464">
        <v>0</v>
      </c>
      <c r="D64" s="464">
        <v>0</v>
      </c>
      <c r="E64" s="467">
        <v>0</v>
      </c>
      <c r="F64" s="432">
        <v>-3678.01</v>
      </c>
      <c r="G64" s="466">
        <v>0</v>
      </c>
      <c r="H64" s="467">
        <v>0</v>
      </c>
      <c r="I64" s="462">
        <f t="shared" si="2"/>
        <v>31324.379999999968</v>
      </c>
    </row>
    <row r="65" spans="2:9" x14ac:dyDescent="0.3">
      <c r="B65" s="463">
        <v>46077</v>
      </c>
      <c r="C65" s="464">
        <v>0</v>
      </c>
      <c r="D65" s="464">
        <v>0</v>
      </c>
      <c r="E65" s="467">
        <v>0</v>
      </c>
      <c r="F65" s="432">
        <v>-14281.68</v>
      </c>
      <c r="G65" s="466">
        <v>0</v>
      </c>
      <c r="H65" s="467">
        <v>0</v>
      </c>
      <c r="I65" s="462">
        <f t="shared" si="2"/>
        <v>17042.699999999968</v>
      </c>
    </row>
    <row r="66" spans="2:9" x14ac:dyDescent="0.3">
      <c r="B66" s="463">
        <v>46078</v>
      </c>
      <c r="C66" s="464">
        <v>0</v>
      </c>
      <c r="D66" s="464">
        <v>0</v>
      </c>
      <c r="E66" s="467">
        <v>0</v>
      </c>
      <c r="F66" s="432">
        <v>-7000.53</v>
      </c>
      <c r="G66" s="466">
        <v>0</v>
      </c>
      <c r="H66" s="467">
        <v>0</v>
      </c>
      <c r="I66" s="462">
        <f t="shared" si="2"/>
        <v>10042.169999999969</v>
      </c>
    </row>
    <row r="67" spans="2:9" x14ac:dyDescent="0.3">
      <c r="B67" s="463">
        <v>46079</v>
      </c>
      <c r="C67" s="464">
        <v>0</v>
      </c>
      <c r="D67" s="464">
        <v>0</v>
      </c>
      <c r="E67" s="467">
        <v>0</v>
      </c>
      <c r="F67" s="432">
        <v>-8416.8799999999992</v>
      </c>
      <c r="G67" s="466">
        <v>0</v>
      </c>
      <c r="H67" s="467">
        <v>0</v>
      </c>
      <c r="I67" s="462">
        <f t="shared" si="2"/>
        <v>1625.28999999997</v>
      </c>
    </row>
    <row r="68" spans="2:9" x14ac:dyDescent="0.3">
      <c r="B68" s="463">
        <v>46080</v>
      </c>
      <c r="C68" s="464">
        <v>0</v>
      </c>
      <c r="D68" s="464">
        <v>0</v>
      </c>
      <c r="E68" s="467">
        <v>0</v>
      </c>
      <c r="F68" s="434">
        <f>-(1000+9024.51)</f>
        <v>-10024.51</v>
      </c>
      <c r="G68" s="466">
        <v>0</v>
      </c>
      <c r="H68" s="467">
        <v>0</v>
      </c>
      <c r="I68" s="462">
        <f t="shared" si="2"/>
        <v>-8399.2200000000303</v>
      </c>
    </row>
    <row r="69" spans="2:9" ht="15" thickBot="1" x14ac:dyDescent="0.35">
      <c r="B69" s="463">
        <v>46081</v>
      </c>
      <c r="C69" s="464">
        <v>0</v>
      </c>
      <c r="D69" s="464">
        <v>0</v>
      </c>
      <c r="E69" s="467">
        <v>0</v>
      </c>
      <c r="F69" s="432">
        <v>-6628.49</v>
      </c>
      <c r="G69" s="466">
        <v>0</v>
      </c>
      <c r="H69" s="467">
        <v>0</v>
      </c>
      <c r="I69" s="462">
        <f t="shared" si="2"/>
        <v>-15027.71000000003</v>
      </c>
    </row>
    <row r="70" spans="2:9" ht="15" thickBot="1" x14ac:dyDescent="0.35">
      <c r="B70" s="469" t="s">
        <v>79</v>
      </c>
      <c r="C70" s="470">
        <f>SUM(C42:C69)</f>
        <v>0</v>
      </c>
      <c r="D70" s="470"/>
      <c r="E70" s="471">
        <f>SUM(E42:E69)</f>
        <v>0</v>
      </c>
      <c r="F70" s="472">
        <f>SUM(F42:F69)</f>
        <v>-215027.70999999996</v>
      </c>
      <c r="G70" s="472"/>
      <c r="H70" s="471">
        <f>SUM(H42:H69)</f>
        <v>0</v>
      </c>
      <c r="I70" s="473"/>
    </row>
    <row r="71" spans="2:9" ht="15" thickBot="1" x14ac:dyDescent="0.35"/>
    <row r="72" spans="2:9" ht="26.4" thickBot="1" x14ac:dyDescent="0.55000000000000004">
      <c r="B72" s="452" t="s">
        <v>725</v>
      </c>
      <c r="C72" s="453"/>
      <c r="D72" s="453"/>
      <c r="E72" s="453"/>
      <c r="F72" s="453"/>
      <c r="G72" s="453"/>
      <c r="H72" s="453"/>
      <c r="I72" s="453"/>
    </row>
    <row r="73" spans="2:9" ht="15" thickBot="1" x14ac:dyDescent="0.35">
      <c r="B73" s="516" t="s">
        <v>716</v>
      </c>
      <c r="C73" s="454"/>
      <c r="D73" s="454"/>
      <c r="E73" s="454"/>
      <c r="F73" s="454"/>
      <c r="G73" s="454"/>
      <c r="H73" s="454"/>
      <c r="I73" s="455"/>
    </row>
    <row r="74" spans="2:9" ht="15" thickBot="1" x14ac:dyDescent="0.35">
      <c r="B74" s="517"/>
      <c r="C74" s="456" t="s">
        <v>717</v>
      </c>
      <c r="D74" s="456" t="s">
        <v>718</v>
      </c>
      <c r="E74" s="457" t="s">
        <v>735</v>
      </c>
      <c r="F74" s="458" t="s">
        <v>719</v>
      </c>
      <c r="G74" s="458" t="s">
        <v>720</v>
      </c>
      <c r="H74" s="484" t="s">
        <v>736</v>
      </c>
      <c r="I74" s="487" t="s">
        <v>721</v>
      </c>
    </row>
    <row r="75" spans="2:9" x14ac:dyDescent="0.3">
      <c r="B75" s="461"/>
      <c r="C75" s="518"/>
      <c r="D75" s="518"/>
      <c r="E75" s="518"/>
      <c r="F75" s="518"/>
      <c r="G75" s="518"/>
      <c r="H75" s="518"/>
      <c r="I75" s="488">
        <f>I69</f>
        <v>-15027.71000000003</v>
      </c>
    </row>
    <row r="76" spans="2:9" x14ac:dyDescent="0.3">
      <c r="B76" s="463">
        <v>46082</v>
      </c>
      <c r="C76" s="464">
        <v>0</v>
      </c>
      <c r="D76" s="464">
        <v>0</v>
      </c>
      <c r="E76" s="465">
        <v>0</v>
      </c>
      <c r="F76" s="432">
        <v>0</v>
      </c>
      <c r="G76" s="466">
        <v>0</v>
      </c>
      <c r="H76" s="485">
        <v>0</v>
      </c>
      <c r="I76" s="488">
        <f>+I75+C76+E76+G76+H76+F76+D76</f>
        <v>-15027.71000000003</v>
      </c>
    </row>
    <row r="77" spans="2:9" x14ac:dyDescent="0.3">
      <c r="B77" s="463">
        <v>46083</v>
      </c>
      <c r="C77" s="464">
        <v>0</v>
      </c>
      <c r="D77" s="464">
        <v>0</v>
      </c>
      <c r="E77" s="465">
        <v>0</v>
      </c>
      <c r="F77" s="432">
        <v>0</v>
      </c>
      <c r="G77" s="466">
        <v>0</v>
      </c>
      <c r="H77" s="485">
        <v>0</v>
      </c>
      <c r="I77" s="488">
        <f t="shared" ref="I77:I106" si="3">+I76+C77+E77+G77+H77+F77+D77</f>
        <v>-15027.71000000003</v>
      </c>
    </row>
    <row r="78" spans="2:9" x14ac:dyDescent="0.3">
      <c r="B78" s="463">
        <v>46084</v>
      </c>
      <c r="C78" s="464">
        <v>0</v>
      </c>
      <c r="D78" s="464">
        <v>0</v>
      </c>
      <c r="E78" s="465">
        <v>0</v>
      </c>
      <c r="F78" s="432">
        <v>0</v>
      </c>
      <c r="G78" s="466">
        <v>0</v>
      </c>
      <c r="H78" s="485">
        <v>0</v>
      </c>
      <c r="I78" s="488">
        <f t="shared" si="3"/>
        <v>-15027.71000000003</v>
      </c>
    </row>
    <row r="79" spans="2:9" x14ac:dyDescent="0.3">
      <c r="B79" s="463">
        <v>46085</v>
      </c>
      <c r="C79" s="464">
        <v>0</v>
      </c>
      <c r="D79" s="464">
        <v>0</v>
      </c>
      <c r="E79" s="465">
        <v>0</v>
      </c>
      <c r="F79" s="432">
        <v>0</v>
      </c>
      <c r="G79" s="466">
        <v>0</v>
      </c>
      <c r="H79" s="485">
        <v>0</v>
      </c>
      <c r="I79" s="488">
        <f t="shared" si="3"/>
        <v>-15027.71000000003</v>
      </c>
    </row>
    <row r="80" spans="2:9" x14ac:dyDescent="0.3">
      <c r="B80" s="463">
        <v>46086</v>
      </c>
      <c r="C80" s="464">
        <v>0</v>
      </c>
      <c r="D80" s="464">
        <v>0</v>
      </c>
      <c r="E80" s="465">
        <v>0</v>
      </c>
      <c r="F80" s="495">
        <f>-(9779+20000+2000)</f>
        <v>-31779</v>
      </c>
      <c r="G80" s="466">
        <v>0</v>
      </c>
      <c r="H80" s="485">
        <v>0</v>
      </c>
      <c r="I80" s="488">
        <f t="shared" si="3"/>
        <v>-46806.710000000028</v>
      </c>
    </row>
    <row r="81" spans="2:9" x14ac:dyDescent="0.3">
      <c r="B81" s="463">
        <v>46087</v>
      </c>
      <c r="C81" s="464">
        <v>0</v>
      </c>
      <c r="D81" s="464">
        <v>0</v>
      </c>
      <c r="E81" s="465">
        <v>0</v>
      </c>
      <c r="F81" s="432">
        <v>0</v>
      </c>
      <c r="G81" s="466">
        <v>0</v>
      </c>
      <c r="H81" s="485">
        <v>0</v>
      </c>
      <c r="I81" s="488">
        <f t="shared" si="3"/>
        <v>-46806.710000000028</v>
      </c>
    </row>
    <row r="82" spans="2:9" x14ac:dyDescent="0.3">
      <c r="B82" s="463">
        <v>46088</v>
      </c>
      <c r="C82" s="464">
        <v>0</v>
      </c>
      <c r="D82" s="464">
        <v>0</v>
      </c>
      <c r="E82" s="465">
        <v>0</v>
      </c>
      <c r="F82" s="432">
        <v>0</v>
      </c>
      <c r="G82" s="466">
        <v>0</v>
      </c>
      <c r="H82" s="485">
        <v>0</v>
      </c>
      <c r="I82" s="488">
        <f t="shared" si="3"/>
        <v>-46806.710000000028</v>
      </c>
    </row>
    <row r="83" spans="2:9" x14ac:dyDescent="0.3">
      <c r="B83" s="463">
        <v>46089</v>
      </c>
      <c r="C83" s="464">
        <v>0</v>
      </c>
      <c r="D83" s="464">
        <v>0</v>
      </c>
      <c r="E83" s="465">
        <v>0</v>
      </c>
      <c r="F83" s="432">
        <v>0</v>
      </c>
      <c r="G83" s="466">
        <v>0</v>
      </c>
      <c r="H83" s="485">
        <v>0</v>
      </c>
      <c r="I83" s="488">
        <f t="shared" si="3"/>
        <v>-46806.710000000028</v>
      </c>
    </row>
    <row r="84" spans="2:9" x14ac:dyDescent="0.3">
      <c r="B84" s="463">
        <v>46090</v>
      </c>
      <c r="C84" s="464">
        <v>0</v>
      </c>
      <c r="D84" s="464">
        <v>0</v>
      </c>
      <c r="E84" s="465">
        <v>0</v>
      </c>
      <c r="F84" s="432">
        <v>0</v>
      </c>
      <c r="G84" s="466">
        <v>0</v>
      </c>
      <c r="H84" s="485">
        <v>0</v>
      </c>
      <c r="I84" s="488">
        <f t="shared" si="3"/>
        <v>-46806.710000000028</v>
      </c>
    </row>
    <row r="85" spans="2:9" x14ac:dyDescent="0.3">
      <c r="B85" s="463">
        <v>46091</v>
      </c>
      <c r="C85" s="464">
        <v>0</v>
      </c>
      <c r="D85" s="464">
        <v>0</v>
      </c>
      <c r="E85" s="465">
        <v>0</v>
      </c>
      <c r="F85" s="434">
        <f>-(2150+850+250+5000+3000)</f>
        <v>-11250</v>
      </c>
      <c r="G85" s="466">
        <v>0</v>
      </c>
      <c r="H85" s="485">
        <v>0</v>
      </c>
      <c r="I85" s="488">
        <f t="shared" si="3"/>
        <v>-58056.710000000028</v>
      </c>
    </row>
    <row r="86" spans="2:9" x14ac:dyDescent="0.3">
      <c r="B86" s="463">
        <v>46092</v>
      </c>
      <c r="C86" s="464">
        <v>0</v>
      </c>
      <c r="D86" s="464">
        <v>0</v>
      </c>
      <c r="E86" s="465">
        <v>0</v>
      </c>
      <c r="F86" s="432">
        <v>0</v>
      </c>
      <c r="G86" s="466">
        <v>0</v>
      </c>
      <c r="H86" s="485">
        <v>0</v>
      </c>
      <c r="I86" s="488">
        <f t="shared" si="3"/>
        <v>-58056.710000000028</v>
      </c>
    </row>
    <row r="87" spans="2:9" x14ac:dyDescent="0.3">
      <c r="B87" s="463">
        <v>46093</v>
      </c>
      <c r="C87" s="464">
        <v>0</v>
      </c>
      <c r="D87" s="464">
        <v>0</v>
      </c>
      <c r="E87" s="465">
        <v>0</v>
      </c>
      <c r="F87" s="432">
        <v>0</v>
      </c>
      <c r="G87" s="466">
        <v>0</v>
      </c>
      <c r="H87" s="485">
        <v>0</v>
      </c>
      <c r="I87" s="488">
        <f t="shared" si="3"/>
        <v>-58056.710000000028</v>
      </c>
    </row>
    <row r="88" spans="2:9" x14ac:dyDescent="0.3">
      <c r="B88" s="463">
        <v>46094</v>
      </c>
      <c r="C88" s="464">
        <v>0</v>
      </c>
      <c r="D88" s="464">
        <v>0</v>
      </c>
      <c r="E88" s="465">
        <v>0</v>
      </c>
      <c r="F88" s="434">
        <f>-6602</f>
        <v>-6602</v>
      </c>
      <c r="G88" s="466">
        <v>0</v>
      </c>
      <c r="H88" s="485">
        <v>0</v>
      </c>
      <c r="I88" s="488">
        <f t="shared" si="3"/>
        <v>-64658.710000000028</v>
      </c>
    </row>
    <row r="89" spans="2:9" x14ac:dyDescent="0.3">
      <c r="B89" s="463">
        <v>46095</v>
      </c>
      <c r="C89" s="464">
        <v>0</v>
      </c>
      <c r="D89" s="464">
        <v>0</v>
      </c>
      <c r="E89" s="465">
        <v>0</v>
      </c>
      <c r="F89" s="432">
        <v>0</v>
      </c>
      <c r="G89" s="466">
        <v>0</v>
      </c>
      <c r="H89" s="485">
        <v>0</v>
      </c>
      <c r="I89" s="488">
        <f t="shared" si="3"/>
        <v>-64658.710000000028</v>
      </c>
    </row>
    <row r="90" spans="2:9" x14ac:dyDescent="0.3">
      <c r="B90" s="463">
        <v>46096</v>
      </c>
      <c r="C90" s="464">
        <v>0</v>
      </c>
      <c r="D90" s="464">
        <v>0</v>
      </c>
      <c r="E90" s="465">
        <v>0</v>
      </c>
      <c r="F90" s="432">
        <v>0</v>
      </c>
      <c r="G90" s="466">
        <v>0</v>
      </c>
      <c r="H90" s="485">
        <v>0</v>
      </c>
      <c r="I90" s="488">
        <f t="shared" si="3"/>
        <v>-64658.710000000028</v>
      </c>
    </row>
    <row r="91" spans="2:9" x14ac:dyDescent="0.3">
      <c r="B91" s="463">
        <v>46097</v>
      </c>
      <c r="C91" s="464">
        <v>0</v>
      </c>
      <c r="D91" s="464">
        <v>0</v>
      </c>
      <c r="E91" s="465">
        <v>0</v>
      </c>
      <c r="F91" s="432">
        <v>0</v>
      </c>
      <c r="G91" s="466">
        <v>0</v>
      </c>
      <c r="H91" s="485">
        <v>0</v>
      </c>
      <c r="I91" s="488">
        <f t="shared" si="3"/>
        <v>-64658.710000000028</v>
      </c>
    </row>
    <row r="92" spans="2:9" x14ac:dyDescent="0.3">
      <c r="B92" s="463">
        <v>46098</v>
      </c>
      <c r="C92" s="464">
        <v>0</v>
      </c>
      <c r="D92" s="464">
        <v>0</v>
      </c>
      <c r="E92" s="465">
        <v>0</v>
      </c>
      <c r="F92" s="432">
        <v>0</v>
      </c>
      <c r="G92" s="466">
        <v>0</v>
      </c>
      <c r="H92" s="485">
        <v>0</v>
      </c>
      <c r="I92" s="488">
        <f t="shared" si="3"/>
        <v>-64658.710000000028</v>
      </c>
    </row>
    <row r="93" spans="2:9" x14ac:dyDescent="0.3">
      <c r="B93" s="463">
        <v>46099</v>
      </c>
      <c r="C93" s="464">
        <v>0</v>
      </c>
      <c r="D93" s="464">
        <v>0</v>
      </c>
      <c r="E93" s="465">
        <v>0</v>
      </c>
      <c r="F93" s="432">
        <v>0</v>
      </c>
      <c r="G93" s="466">
        <v>0</v>
      </c>
      <c r="H93" s="485">
        <v>0</v>
      </c>
      <c r="I93" s="488">
        <f t="shared" si="3"/>
        <v>-64658.710000000028</v>
      </c>
    </row>
    <row r="94" spans="2:9" x14ac:dyDescent="0.3">
      <c r="B94" s="463">
        <v>46100</v>
      </c>
      <c r="C94" s="464">
        <v>0</v>
      </c>
      <c r="D94" s="464">
        <v>0</v>
      </c>
      <c r="E94" s="465">
        <v>0</v>
      </c>
      <c r="F94" s="432">
        <v>0</v>
      </c>
      <c r="G94" s="466">
        <v>0</v>
      </c>
      <c r="H94" s="485">
        <v>0</v>
      </c>
      <c r="I94" s="488">
        <f t="shared" si="3"/>
        <v>-64658.710000000028</v>
      </c>
    </row>
    <row r="95" spans="2:9" x14ac:dyDescent="0.3">
      <c r="B95" s="463">
        <v>46101</v>
      </c>
      <c r="C95" s="464">
        <v>0</v>
      </c>
      <c r="D95" s="464">
        <v>0</v>
      </c>
      <c r="E95" s="465">
        <v>0</v>
      </c>
      <c r="F95" s="434">
        <f>-(1973+450+40000)</f>
        <v>-42423</v>
      </c>
      <c r="G95" s="466">
        <v>0</v>
      </c>
      <c r="H95" s="485">
        <v>0</v>
      </c>
      <c r="I95" s="488">
        <f t="shared" si="3"/>
        <v>-107081.71000000002</v>
      </c>
    </row>
    <row r="96" spans="2:9" x14ac:dyDescent="0.3">
      <c r="B96" s="463">
        <v>46102</v>
      </c>
      <c r="C96" s="464">
        <v>0</v>
      </c>
      <c r="D96" s="464">
        <v>0</v>
      </c>
      <c r="E96" s="465">
        <v>0</v>
      </c>
      <c r="F96" s="432">
        <v>0</v>
      </c>
      <c r="G96" s="466">
        <v>0</v>
      </c>
      <c r="H96" s="485">
        <v>0</v>
      </c>
      <c r="I96" s="488">
        <f t="shared" si="3"/>
        <v>-107081.71000000002</v>
      </c>
    </row>
    <row r="97" spans="2:9" x14ac:dyDescent="0.3">
      <c r="B97" s="463">
        <v>46103</v>
      </c>
      <c r="C97" s="464">
        <v>0</v>
      </c>
      <c r="D97" s="464">
        <v>0</v>
      </c>
      <c r="E97" s="465">
        <v>0</v>
      </c>
      <c r="F97" s="432">
        <v>0</v>
      </c>
      <c r="G97" s="466">
        <v>0</v>
      </c>
      <c r="H97" s="485">
        <v>0</v>
      </c>
      <c r="I97" s="488">
        <f t="shared" si="3"/>
        <v>-107081.71000000002</v>
      </c>
    </row>
    <row r="98" spans="2:9" x14ac:dyDescent="0.3">
      <c r="B98" s="463">
        <v>46104</v>
      </c>
      <c r="C98" s="464">
        <v>0</v>
      </c>
      <c r="D98" s="464">
        <v>0</v>
      </c>
      <c r="E98" s="465">
        <v>0</v>
      </c>
      <c r="F98" s="432">
        <v>0</v>
      </c>
      <c r="G98" s="466">
        <v>0</v>
      </c>
      <c r="H98" s="485">
        <v>0</v>
      </c>
      <c r="I98" s="488">
        <f t="shared" si="3"/>
        <v>-107081.71000000002</v>
      </c>
    </row>
    <row r="99" spans="2:9" x14ac:dyDescent="0.3">
      <c r="B99" s="463">
        <v>46105</v>
      </c>
      <c r="C99" s="464">
        <v>0</v>
      </c>
      <c r="D99" s="464">
        <v>0</v>
      </c>
      <c r="E99" s="465">
        <v>0</v>
      </c>
      <c r="F99" s="432">
        <v>0</v>
      </c>
      <c r="G99" s="466">
        <v>0</v>
      </c>
      <c r="H99" s="485">
        <v>0</v>
      </c>
      <c r="I99" s="488">
        <f t="shared" si="3"/>
        <v>-107081.71000000002</v>
      </c>
    </row>
    <row r="100" spans="2:9" x14ac:dyDescent="0.3">
      <c r="B100" s="463">
        <v>46106</v>
      </c>
      <c r="C100" s="464">
        <v>0</v>
      </c>
      <c r="D100" s="464">
        <v>0</v>
      </c>
      <c r="E100" s="465">
        <v>0</v>
      </c>
      <c r="F100" s="432">
        <v>0</v>
      </c>
      <c r="G100" s="466">
        <v>0</v>
      </c>
      <c r="H100" s="485">
        <v>0</v>
      </c>
      <c r="I100" s="488">
        <f t="shared" si="3"/>
        <v>-107081.71000000002</v>
      </c>
    </row>
    <row r="101" spans="2:9" x14ac:dyDescent="0.3">
      <c r="B101" s="463">
        <v>46107</v>
      </c>
      <c r="C101" s="464">
        <v>0</v>
      </c>
      <c r="D101" s="464">
        <v>0</v>
      </c>
      <c r="E101" s="465">
        <v>0</v>
      </c>
      <c r="F101" s="432">
        <v>0</v>
      </c>
      <c r="G101" s="466">
        <v>0</v>
      </c>
      <c r="H101" s="485">
        <v>0</v>
      </c>
      <c r="I101" s="488">
        <f t="shared" si="3"/>
        <v>-107081.71000000002</v>
      </c>
    </row>
    <row r="102" spans="2:9" x14ac:dyDescent="0.3">
      <c r="B102" s="463">
        <v>46108</v>
      </c>
      <c r="C102" s="464">
        <v>0</v>
      </c>
      <c r="D102" s="464">
        <v>0</v>
      </c>
      <c r="E102" s="465">
        <v>0</v>
      </c>
      <c r="F102" s="432">
        <v>0</v>
      </c>
      <c r="G102" s="466">
        <v>0</v>
      </c>
      <c r="H102" s="485">
        <v>0</v>
      </c>
      <c r="I102" s="488">
        <f t="shared" si="3"/>
        <v>-107081.71000000002</v>
      </c>
    </row>
    <row r="103" spans="2:9" x14ac:dyDescent="0.3">
      <c r="B103" s="463">
        <v>46109</v>
      </c>
      <c r="C103" s="464">
        <v>0</v>
      </c>
      <c r="D103" s="464">
        <v>0</v>
      </c>
      <c r="E103" s="465">
        <v>0</v>
      </c>
      <c r="F103" s="432">
        <v>0</v>
      </c>
      <c r="G103" s="466">
        <v>0</v>
      </c>
      <c r="H103" s="485">
        <v>0</v>
      </c>
      <c r="I103" s="488">
        <f t="shared" si="3"/>
        <v>-107081.71000000002</v>
      </c>
    </row>
    <row r="104" spans="2:9" x14ac:dyDescent="0.3">
      <c r="B104" s="463">
        <v>46110</v>
      </c>
      <c r="C104" s="464">
        <v>0</v>
      </c>
      <c r="D104" s="464">
        <v>0</v>
      </c>
      <c r="E104" s="465">
        <v>0</v>
      </c>
      <c r="F104" s="432">
        <v>0</v>
      </c>
      <c r="G104" s="466">
        <v>0</v>
      </c>
      <c r="H104" s="485">
        <v>0</v>
      </c>
      <c r="I104" s="488">
        <f t="shared" si="3"/>
        <v>-107081.71000000002</v>
      </c>
    </row>
    <row r="105" spans="2:9" x14ac:dyDescent="0.3">
      <c r="B105" s="463">
        <v>46111</v>
      </c>
      <c r="C105" s="464">
        <v>0</v>
      </c>
      <c r="D105" s="464">
        <v>0</v>
      </c>
      <c r="E105" s="465">
        <v>0</v>
      </c>
      <c r="F105" s="434">
        <f>-1000</f>
        <v>-1000</v>
      </c>
      <c r="G105" s="466">
        <v>0</v>
      </c>
      <c r="H105" s="485">
        <v>0</v>
      </c>
      <c r="I105" s="488">
        <f t="shared" si="3"/>
        <v>-108081.71000000002</v>
      </c>
    </row>
    <row r="106" spans="2:9" ht="15" thickBot="1" x14ac:dyDescent="0.35">
      <c r="B106" s="463">
        <v>46112</v>
      </c>
      <c r="C106" s="464">
        <v>0</v>
      </c>
      <c r="D106" s="464">
        <v>0</v>
      </c>
      <c r="E106" s="465">
        <v>0</v>
      </c>
      <c r="F106" s="432">
        <v>0</v>
      </c>
      <c r="G106" s="466">
        <v>0</v>
      </c>
      <c r="H106" s="485">
        <v>0</v>
      </c>
      <c r="I106" s="489">
        <f t="shared" si="3"/>
        <v>-108081.71000000002</v>
      </c>
    </row>
    <row r="107" spans="2:9" ht="15" thickBot="1" x14ac:dyDescent="0.35">
      <c r="B107" s="469" t="s">
        <v>79</v>
      </c>
      <c r="C107" s="470">
        <f>SUM(C79:C106)</f>
        <v>0</v>
      </c>
      <c r="D107" s="470"/>
      <c r="E107" s="471">
        <f>SUM(E79:E106)</f>
        <v>0</v>
      </c>
      <c r="F107" s="472">
        <f>SUM(F79:F106)</f>
        <v>-93054</v>
      </c>
      <c r="G107" s="472"/>
      <c r="H107" s="486">
        <f>SUM(H79:H106)</f>
        <v>0</v>
      </c>
      <c r="I107" s="490"/>
    </row>
    <row r="108" spans="2:9" ht="15" thickBot="1" x14ac:dyDescent="0.35"/>
    <row r="109" spans="2:9" ht="26.4" thickBot="1" x14ac:dyDescent="0.55000000000000004">
      <c r="B109" s="452" t="s">
        <v>726</v>
      </c>
      <c r="C109" s="453"/>
      <c r="D109" s="453"/>
      <c r="E109" s="453"/>
      <c r="F109" s="453"/>
      <c r="G109" s="453"/>
      <c r="H109" s="453"/>
      <c r="I109" s="453"/>
    </row>
    <row r="110" spans="2:9" ht="15" thickBot="1" x14ac:dyDescent="0.35">
      <c r="B110" s="516" t="s">
        <v>716</v>
      </c>
      <c r="C110" s="454"/>
      <c r="D110" s="454"/>
      <c r="E110" s="454"/>
      <c r="F110" s="454"/>
      <c r="G110" s="454"/>
      <c r="H110" s="454"/>
      <c r="I110" s="455"/>
    </row>
    <row r="111" spans="2:9" ht="15" thickBot="1" x14ac:dyDescent="0.35">
      <c r="B111" s="517"/>
      <c r="C111" s="456" t="s">
        <v>717</v>
      </c>
      <c r="D111" s="456" t="s">
        <v>718</v>
      </c>
      <c r="E111" s="457" t="s">
        <v>735</v>
      </c>
      <c r="F111" s="458" t="s">
        <v>719</v>
      </c>
      <c r="G111" s="458" t="s">
        <v>720</v>
      </c>
      <c r="H111" s="484" t="s">
        <v>736</v>
      </c>
      <c r="I111" s="459" t="s">
        <v>721</v>
      </c>
    </row>
    <row r="112" spans="2:9" x14ac:dyDescent="0.3">
      <c r="B112" s="461"/>
      <c r="C112" s="518"/>
      <c r="D112" s="518"/>
      <c r="E112" s="518"/>
      <c r="F112" s="518"/>
      <c r="G112" s="518"/>
      <c r="H112" s="519"/>
      <c r="I112" s="462">
        <f>I106</f>
        <v>-108081.71000000002</v>
      </c>
    </row>
    <row r="113" spans="2:9" x14ac:dyDescent="0.3">
      <c r="B113" s="463">
        <v>46113</v>
      </c>
      <c r="C113" s="464">
        <v>0</v>
      </c>
      <c r="D113" s="464">
        <v>0</v>
      </c>
      <c r="E113" s="481">
        <v>0</v>
      </c>
      <c r="F113" s="432">
        <v>0</v>
      </c>
      <c r="G113" s="466">
        <v>0</v>
      </c>
      <c r="H113" s="467">
        <v>0</v>
      </c>
      <c r="I113" s="462">
        <f>+I112+C113+E113+G113+H113+F113+D113</f>
        <v>-108081.71000000002</v>
      </c>
    </row>
    <row r="114" spans="2:9" x14ac:dyDescent="0.3">
      <c r="B114" s="463">
        <v>46114</v>
      </c>
      <c r="C114" s="464">
        <v>0</v>
      </c>
      <c r="D114" s="464">
        <v>0</v>
      </c>
      <c r="E114" s="481">
        <v>0</v>
      </c>
      <c r="F114" s="432">
        <v>0</v>
      </c>
      <c r="G114" s="466">
        <v>0</v>
      </c>
      <c r="H114" s="467">
        <v>0</v>
      </c>
      <c r="I114" s="462">
        <f t="shared" ref="I114:I142" si="4">+I113+C114+E114+G114+H114+F114+D114</f>
        <v>-108081.71000000002</v>
      </c>
    </row>
    <row r="115" spans="2:9" x14ac:dyDescent="0.3">
      <c r="B115" s="463">
        <v>46115</v>
      </c>
      <c r="C115" s="464">
        <v>0</v>
      </c>
      <c r="D115" s="464">
        <v>0</v>
      </c>
      <c r="E115" s="481">
        <v>0</v>
      </c>
      <c r="F115" s="432">
        <v>0</v>
      </c>
      <c r="G115" s="466">
        <v>0</v>
      </c>
      <c r="H115" s="467">
        <v>0</v>
      </c>
      <c r="I115" s="462">
        <f t="shared" si="4"/>
        <v>-108081.71000000002</v>
      </c>
    </row>
    <row r="116" spans="2:9" x14ac:dyDescent="0.3">
      <c r="B116" s="463">
        <v>46116</v>
      </c>
      <c r="C116" s="464">
        <v>0</v>
      </c>
      <c r="D116" s="464">
        <v>0</v>
      </c>
      <c r="E116" s="481">
        <v>0</v>
      </c>
      <c r="F116" s="432">
        <v>0</v>
      </c>
      <c r="G116" s="466">
        <v>0</v>
      </c>
      <c r="H116" s="467">
        <v>0</v>
      </c>
      <c r="I116" s="462">
        <f t="shared" si="4"/>
        <v>-108081.71000000002</v>
      </c>
    </row>
    <row r="117" spans="2:9" x14ac:dyDescent="0.3">
      <c r="B117" s="463">
        <v>46117</v>
      </c>
      <c r="C117" s="464">
        <v>0</v>
      </c>
      <c r="D117" s="464">
        <v>0</v>
      </c>
      <c r="E117" s="481">
        <v>0</v>
      </c>
      <c r="F117" s="432">
        <v>0</v>
      </c>
      <c r="G117" s="466">
        <v>0</v>
      </c>
      <c r="H117" s="467">
        <v>0</v>
      </c>
      <c r="I117" s="462">
        <f t="shared" si="4"/>
        <v>-108081.71000000002</v>
      </c>
    </row>
    <row r="118" spans="2:9" x14ac:dyDescent="0.3">
      <c r="B118" s="463">
        <v>46118</v>
      </c>
      <c r="C118" s="464">
        <v>0</v>
      </c>
      <c r="D118" s="464">
        <v>0</v>
      </c>
      <c r="E118" s="481">
        <v>0</v>
      </c>
      <c r="F118" s="495">
        <f>-(9779+20000+2000)</f>
        <v>-31779</v>
      </c>
      <c r="G118" s="466">
        <v>0</v>
      </c>
      <c r="H118" s="467">
        <v>0</v>
      </c>
      <c r="I118" s="462">
        <f t="shared" si="4"/>
        <v>-139860.71000000002</v>
      </c>
    </row>
    <row r="119" spans="2:9" x14ac:dyDescent="0.3">
      <c r="B119" s="463">
        <v>46119</v>
      </c>
      <c r="C119" s="464">
        <v>0</v>
      </c>
      <c r="D119" s="464">
        <v>0</v>
      </c>
      <c r="E119" s="481">
        <v>0</v>
      </c>
      <c r="F119" s="432">
        <v>0</v>
      </c>
      <c r="G119" s="466">
        <v>0</v>
      </c>
      <c r="H119" s="467">
        <v>0</v>
      </c>
      <c r="I119" s="462">
        <f t="shared" si="4"/>
        <v>-139860.71000000002</v>
      </c>
    </row>
    <row r="120" spans="2:9" x14ac:dyDescent="0.3">
      <c r="B120" s="463">
        <v>46120</v>
      </c>
      <c r="C120" s="464">
        <v>0</v>
      </c>
      <c r="D120" s="464">
        <v>0</v>
      </c>
      <c r="E120" s="481">
        <v>0</v>
      </c>
      <c r="F120" s="432">
        <v>0</v>
      </c>
      <c r="G120" s="466">
        <v>0</v>
      </c>
      <c r="H120" s="467">
        <v>0</v>
      </c>
      <c r="I120" s="462">
        <f t="shared" si="4"/>
        <v>-139860.71000000002</v>
      </c>
    </row>
    <row r="121" spans="2:9" x14ac:dyDescent="0.3">
      <c r="B121" s="463">
        <v>46121</v>
      </c>
      <c r="C121" s="464">
        <v>0</v>
      </c>
      <c r="D121" s="464">
        <v>0</v>
      </c>
      <c r="E121" s="481">
        <v>0</v>
      </c>
      <c r="F121" s="432">
        <v>0</v>
      </c>
      <c r="G121" s="466">
        <v>0</v>
      </c>
      <c r="H121" s="467">
        <v>0</v>
      </c>
      <c r="I121" s="462">
        <f t="shared" si="4"/>
        <v>-139860.71000000002</v>
      </c>
    </row>
    <row r="122" spans="2:9" x14ac:dyDescent="0.3">
      <c r="B122" s="463">
        <v>46122</v>
      </c>
      <c r="C122" s="464">
        <v>0</v>
      </c>
      <c r="D122" s="464">
        <v>0</v>
      </c>
      <c r="E122" s="481">
        <v>0</v>
      </c>
      <c r="F122" s="434">
        <f>-(2150+850+250+5000+3250)</f>
        <v>-11500</v>
      </c>
      <c r="G122" s="466">
        <v>0</v>
      </c>
      <c r="H122" s="467">
        <v>0</v>
      </c>
      <c r="I122" s="462">
        <f t="shared" si="4"/>
        <v>-151360.71000000002</v>
      </c>
    </row>
    <row r="123" spans="2:9" x14ac:dyDescent="0.3">
      <c r="B123" s="463">
        <v>46123</v>
      </c>
      <c r="C123" s="464">
        <v>0</v>
      </c>
      <c r="D123" s="464">
        <v>0</v>
      </c>
      <c r="E123" s="481">
        <v>0</v>
      </c>
      <c r="F123" s="432">
        <v>0</v>
      </c>
      <c r="G123" s="466">
        <v>0</v>
      </c>
      <c r="H123" s="467">
        <v>0</v>
      </c>
      <c r="I123" s="462">
        <f t="shared" si="4"/>
        <v>-151360.71000000002</v>
      </c>
    </row>
    <row r="124" spans="2:9" x14ac:dyDescent="0.3">
      <c r="B124" s="463">
        <v>46124</v>
      </c>
      <c r="C124" s="464">
        <v>0</v>
      </c>
      <c r="D124" s="464">
        <v>0</v>
      </c>
      <c r="E124" s="481">
        <v>0</v>
      </c>
      <c r="F124" s="432">
        <v>0</v>
      </c>
      <c r="G124" s="466">
        <v>0</v>
      </c>
      <c r="H124" s="467">
        <v>0</v>
      </c>
      <c r="I124" s="462">
        <f t="shared" si="4"/>
        <v>-151360.71000000002</v>
      </c>
    </row>
    <row r="125" spans="2:9" x14ac:dyDescent="0.3">
      <c r="B125" s="463">
        <v>46125</v>
      </c>
      <c r="C125" s="464">
        <v>0</v>
      </c>
      <c r="D125" s="464">
        <v>0</v>
      </c>
      <c r="E125" s="481">
        <v>0</v>
      </c>
      <c r="F125" s="432">
        <v>0</v>
      </c>
      <c r="G125" s="466">
        <v>0</v>
      </c>
      <c r="H125" s="467">
        <v>0</v>
      </c>
      <c r="I125" s="462">
        <f t="shared" si="4"/>
        <v>-151360.71000000002</v>
      </c>
    </row>
    <row r="126" spans="2:9" x14ac:dyDescent="0.3">
      <c r="B126" s="463">
        <v>46126</v>
      </c>
      <c r="C126" s="464">
        <v>0</v>
      </c>
      <c r="D126" s="464">
        <v>0</v>
      </c>
      <c r="E126" s="481">
        <v>0</v>
      </c>
      <c r="F126" s="432">
        <v>0</v>
      </c>
      <c r="G126" s="466">
        <v>0</v>
      </c>
      <c r="H126" s="467">
        <v>0</v>
      </c>
      <c r="I126" s="462">
        <f t="shared" si="4"/>
        <v>-151360.71000000002</v>
      </c>
    </row>
    <row r="127" spans="2:9" x14ac:dyDescent="0.3">
      <c r="B127" s="463">
        <v>46127</v>
      </c>
      <c r="C127" s="464">
        <v>0</v>
      </c>
      <c r="D127" s="464">
        <v>0</v>
      </c>
      <c r="E127" s="481">
        <v>0</v>
      </c>
      <c r="F127" s="434">
        <f>-6602</f>
        <v>-6602</v>
      </c>
      <c r="G127" s="466">
        <v>0</v>
      </c>
      <c r="H127" s="467">
        <v>0</v>
      </c>
      <c r="I127" s="462">
        <f t="shared" si="4"/>
        <v>-157962.71000000002</v>
      </c>
    </row>
    <row r="128" spans="2:9" x14ac:dyDescent="0.3">
      <c r="B128" s="463">
        <v>46128</v>
      </c>
      <c r="C128" s="464">
        <v>0</v>
      </c>
      <c r="D128" s="464">
        <v>0</v>
      </c>
      <c r="E128" s="481">
        <v>0</v>
      </c>
      <c r="F128" s="432">
        <v>0</v>
      </c>
      <c r="G128" s="466">
        <v>0</v>
      </c>
      <c r="H128" s="467">
        <v>0</v>
      </c>
      <c r="I128" s="462">
        <f t="shared" si="4"/>
        <v>-157962.71000000002</v>
      </c>
    </row>
    <row r="129" spans="2:9" x14ac:dyDescent="0.3">
      <c r="B129" s="463">
        <v>46129</v>
      </c>
      <c r="C129" s="464">
        <v>0</v>
      </c>
      <c r="D129" s="464">
        <v>0</v>
      </c>
      <c r="E129" s="481">
        <v>0</v>
      </c>
      <c r="F129" s="432">
        <v>0</v>
      </c>
      <c r="G129" s="466">
        <v>0</v>
      </c>
      <c r="H129" s="467">
        <v>0</v>
      </c>
      <c r="I129" s="462">
        <f t="shared" si="4"/>
        <v>-157962.71000000002</v>
      </c>
    </row>
    <row r="130" spans="2:9" x14ac:dyDescent="0.3">
      <c r="B130" s="463">
        <v>46130</v>
      </c>
      <c r="C130" s="464">
        <v>0</v>
      </c>
      <c r="D130" s="464">
        <v>0</v>
      </c>
      <c r="E130" s="481">
        <v>0</v>
      </c>
      <c r="F130" s="432">
        <v>0</v>
      </c>
      <c r="G130" s="466">
        <v>0</v>
      </c>
      <c r="H130" s="467">
        <v>0</v>
      </c>
      <c r="I130" s="462">
        <f t="shared" si="4"/>
        <v>-157962.71000000002</v>
      </c>
    </row>
    <row r="131" spans="2:9" x14ac:dyDescent="0.3">
      <c r="B131" s="463">
        <v>46131</v>
      </c>
      <c r="C131" s="464">
        <v>0</v>
      </c>
      <c r="D131" s="464">
        <v>0</v>
      </c>
      <c r="E131" s="481">
        <v>0</v>
      </c>
      <c r="F131" s="432">
        <v>0</v>
      </c>
      <c r="G131" s="466">
        <v>0</v>
      </c>
      <c r="H131" s="467">
        <v>0</v>
      </c>
      <c r="I131" s="462">
        <f t="shared" si="4"/>
        <v>-157962.71000000002</v>
      </c>
    </row>
    <row r="132" spans="2:9" x14ac:dyDescent="0.3">
      <c r="B132" s="463">
        <v>46132</v>
      </c>
      <c r="C132" s="464">
        <v>0</v>
      </c>
      <c r="D132" s="464">
        <v>0</v>
      </c>
      <c r="E132" s="481">
        <v>0</v>
      </c>
      <c r="F132" s="434">
        <f>-(1973+450+40000)</f>
        <v>-42423</v>
      </c>
      <c r="G132" s="466">
        <v>0</v>
      </c>
      <c r="H132" s="467">
        <v>0</v>
      </c>
      <c r="I132" s="462">
        <f t="shared" si="4"/>
        <v>-200385.71000000002</v>
      </c>
    </row>
    <row r="133" spans="2:9" x14ac:dyDescent="0.3">
      <c r="B133" s="463">
        <v>46133</v>
      </c>
      <c r="C133" s="464">
        <v>0</v>
      </c>
      <c r="D133" s="464">
        <v>0</v>
      </c>
      <c r="E133" s="481">
        <v>0</v>
      </c>
      <c r="F133" s="432">
        <v>0</v>
      </c>
      <c r="G133" s="466">
        <v>0</v>
      </c>
      <c r="H133" s="467">
        <v>0</v>
      </c>
      <c r="I133" s="462">
        <f t="shared" si="4"/>
        <v>-200385.71000000002</v>
      </c>
    </row>
    <row r="134" spans="2:9" x14ac:dyDescent="0.3">
      <c r="B134" s="463">
        <v>46134</v>
      </c>
      <c r="C134" s="464">
        <v>0</v>
      </c>
      <c r="D134" s="464">
        <v>0</v>
      </c>
      <c r="E134" s="481">
        <v>0</v>
      </c>
      <c r="F134" s="432">
        <v>0</v>
      </c>
      <c r="G134" s="466">
        <v>0</v>
      </c>
      <c r="H134" s="467">
        <v>0</v>
      </c>
      <c r="I134" s="462">
        <f t="shared" si="4"/>
        <v>-200385.71000000002</v>
      </c>
    </row>
    <row r="135" spans="2:9" x14ac:dyDescent="0.3">
      <c r="B135" s="463">
        <v>46135</v>
      </c>
      <c r="C135" s="464">
        <v>0</v>
      </c>
      <c r="D135" s="464">
        <v>0</v>
      </c>
      <c r="E135" s="481">
        <v>0</v>
      </c>
      <c r="F135" s="432">
        <v>0</v>
      </c>
      <c r="G135" s="466">
        <v>0</v>
      </c>
      <c r="H135" s="467">
        <v>0</v>
      </c>
      <c r="I135" s="462">
        <f t="shared" si="4"/>
        <v>-200385.71000000002</v>
      </c>
    </row>
    <row r="136" spans="2:9" x14ac:dyDescent="0.3">
      <c r="B136" s="463">
        <v>46136</v>
      </c>
      <c r="C136" s="464">
        <v>0</v>
      </c>
      <c r="D136" s="464">
        <v>0</v>
      </c>
      <c r="E136" s="481">
        <v>0</v>
      </c>
      <c r="F136" s="432">
        <v>0</v>
      </c>
      <c r="G136" s="466">
        <v>0</v>
      </c>
      <c r="H136" s="467">
        <v>0</v>
      </c>
      <c r="I136" s="462">
        <f t="shared" si="4"/>
        <v>-200385.71000000002</v>
      </c>
    </row>
    <row r="137" spans="2:9" x14ac:dyDescent="0.3">
      <c r="B137" s="463">
        <v>46137</v>
      </c>
      <c r="C137" s="464">
        <v>0</v>
      </c>
      <c r="D137" s="464">
        <v>0</v>
      </c>
      <c r="E137" s="481">
        <v>0</v>
      </c>
      <c r="F137" s="432">
        <v>0</v>
      </c>
      <c r="G137" s="466">
        <v>0</v>
      </c>
      <c r="H137" s="467">
        <v>0</v>
      </c>
      <c r="I137" s="462">
        <f t="shared" si="4"/>
        <v>-200385.71000000002</v>
      </c>
    </row>
    <row r="138" spans="2:9" x14ac:dyDescent="0.3">
      <c r="B138" s="463">
        <v>46138</v>
      </c>
      <c r="C138" s="464">
        <v>0</v>
      </c>
      <c r="D138" s="464">
        <v>0</v>
      </c>
      <c r="E138" s="481">
        <v>0</v>
      </c>
      <c r="F138" s="432">
        <v>0</v>
      </c>
      <c r="G138" s="466">
        <v>0</v>
      </c>
      <c r="H138" s="467">
        <v>0</v>
      </c>
      <c r="I138" s="462">
        <f t="shared" si="4"/>
        <v>-200385.71000000002</v>
      </c>
    </row>
    <row r="139" spans="2:9" x14ac:dyDescent="0.3">
      <c r="B139" s="463">
        <v>46139</v>
      </c>
      <c r="C139" s="464">
        <v>0</v>
      </c>
      <c r="D139" s="464">
        <v>0</v>
      </c>
      <c r="E139" s="481">
        <v>0</v>
      </c>
      <c r="F139" s="432">
        <v>0</v>
      </c>
      <c r="G139" s="466">
        <v>0</v>
      </c>
      <c r="H139" s="467">
        <v>0</v>
      </c>
      <c r="I139" s="462">
        <f t="shared" si="4"/>
        <v>-200385.71000000002</v>
      </c>
    </row>
    <row r="140" spans="2:9" x14ac:dyDescent="0.3">
      <c r="B140" s="463">
        <v>46140</v>
      </c>
      <c r="C140" s="464">
        <v>0</v>
      </c>
      <c r="D140" s="464">
        <v>0</v>
      </c>
      <c r="E140" s="481">
        <v>0</v>
      </c>
      <c r="F140" s="432">
        <v>0</v>
      </c>
      <c r="G140" s="466">
        <v>0</v>
      </c>
      <c r="H140" s="467">
        <v>0</v>
      </c>
      <c r="I140" s="462">
        <f t="shared" si="4"/>
        <v>-200385.71000000002</v>
      </c>
    </row>
    <row r="141" spans="2:9" x14ac:dyDescent="0.3">
      <c r="B141" s="463">
        <v>46141</v>
      </c>
      <c r="C141" s="464">
        <v>0</v>
      </c>
      <c r="D141" s="464">
        <v>0</v>
      </c>
      <c r="E141" s="481">
        <v>0</v>
      </c>
      <c r="F141" s="432">
        <v>0</v>
      </c>
      <c r="G141" s="466">
        <v>0</v>
      </c>
      <c r="H141" s="467">
        <v>0</v>
      </c>
      <c r="I141" s="462">
        <f t="shared" si="4"/>
        <v>-200385.71000000002</v>
      </c>
    </row>
    <row r="142" spans="2:9" ht="15" thickBot="1" x14ac:dyDescent="0.35">
      <c r="B142" s="463">
        <v>46142</v>
      </c>
      <c r="C142" s="464">
        <v>0</v>
      </c>
      <c r="D142" s="464">
        <v>0</v>
      </c>
      <c r="E142" s="481">
        <v>0</v>
      </c>
      <c r="F142" s="434">
        <f>-1000</f>
        <v>-1000</v>
      </c>
      <c r="G142" s="466">
        <v>0</v>
      </c>
      <c r="H142" s="467">
        <v>0</v>
      </c>
      <c r="I142" s="462">
        <f t="shared" si="4"/>
        <v>-201385.71000000002</v>
      </c>
    </row>
    <row r="143" spans="2:9" ht="15" thickBot="1" x14ac:dyDescent="0.35">
      <c r="B143" s="469" t="s">
        <v>79</v>
      </c>
      <c r="C143" s="470">
        <f>SUM(C113:C142)</f>
        <v>0</v>
      </c>
      <c r="D143" s="470"/>
      <c r="E143" s="471">
        <f>SUM(E113:E142)</f>
        <v>0</v>
      </c>
      <c r="F143" s="472">
        <f>SUM(F113:F142)</f>
        <v>-93304</v>
      </c>
      <c r="G143" s="472"/>
      <c r="H143" s="471">
        <f>SUM(H113:H142)</f>
        <v>0</v>
      </c>
      <c r="I143" s="473"/>
    </row>
    <row r="145" spans="2:9" ht="15" thickBot="1" x14ac:dyDescent="0.35"/>
    <row r="146" spans="2:9" ht="26.4" thickBot="1" x14ac:dyDescent="0.55000000000000004">
      <c r="B146" s="452" t="s">
        <v>727</v>
      </c>
      <c r="C146" s="453"/>
      <c r="D146" s="453"/>
      <c r="E146" s="453"/>
      <c r="F146" s="453"/>
      <c r="G146" s="453"/>
      <c r="H146" s="453"/>
      <c r="I146" s="453"/>
    </row>
    <row r="147" spans="2:9" ht="15" thickBot="1" x14ac:dyDescent="0.35">
      <c r="B147" s="516" t="s">
        <v>716</v>
      </c>
      <c r="C147" s="454"/>
      <c r="D147" s="454"/>
      <c r="E147" s="454"/>
      <c r="F147" s="454"/>
      <c r="G147" s="454"/>
      <c r="H147" s="454"/>
      <c r="I147" s="455"/>
    </row>
    <row r="148" spans="2:9" ht="15" thickBot="1" x14ac:dyDescent="0.35">
      <c r="B148" s="517"/>
      <c r="C148" s="456" t="s">
        <v>717</v>
      </c>
      <c r="D148" s="456" t="s">
        <v>718</v>
      </c>
      <c r="E148" s="457" t="s">
        <v>735</v>
      </c>
      <c r="F148" s="458" t="s">
        <v>719</v>
      </c>
      <c r="G148" s="458" t="s">
        <v>720</v>
      </c>
      <c r="H148" s="484" t="s">
        <v>736</v>
      </c>
      <c r="I148" s="459" t="s">
        <v>721</v>
      </c>
    </row>
    <row r="149" spans="2:9" x14ac:dyDescent="0.3">
      <c r="B149" s="461"/>
      <c r="C149" s="518"/>
      <c r="D149" s="518"/>
      <c r="E149" s="518"/>
      <c r="F149" s="518"/>
      <c r="G149" s="518"/>
      <c r="H149" s="519"/>
      <c r="I149" s="462">
        <f>I142</f>
        <v>-201385.71000000002</v>
      </c>
    </row>
    <row r="150" spans="2:9" x14ac:dyDescent="0.3">
      <c r="B150" s="463">
        <v>46143</v>
      </c>
      <c r="C150" s="464">
        <v>0</v>
      </c>
      <c r="D150" s="464">
        <v>0</v>
      </c>
      <c r="E150" s="465">
        <v>0</v>
      </c>
      <c r="F150" s="432">
        <v>0</v>
      </c>
      <c r="G150" s="466">
        <v>0</v>
      </c>
      <c r="H150" s="467">
        <v>0</v>
      </c>
      <c r="I150" s="462">
        <f>+I149+C150+E150+G150+H150+F150+D150</f>
        <v>-201385.71000000002</v>
      </c>
    </row>
    <row r="151" spans="2:9" x14ac:dyDescent="0.3">
      <c r="B151" s="463">
        <v>46144</v>
      </c>
      <c r="C151" s="464">
        <v>0</v>
      </c>
      <c r="D151" s="464">
        <v>0</v>
      </c>
      <c r="E151" s="465">
        <v>0</v>
      </c>
      <c r="F151" s="432">
        <v>0</v>
      </c>
      <c r="G151" s="466">
        <v>0</v>
      </c>
      <c r="H151" s="467">
        <v>0</v>
      </c>
      <c r="I151" s="462">
        <f>+I150+C151+E151+G151+H151+F151+D151</f>
        <v>-201385.71000000002</v>
      </c>
    </row>
    <row r="152" spans="2:9" x14ac:dyDescent="0.3">
      <c r="B152" s="463">
        <v>46145</v>
      </c>
      <c r="C152" s="464">
        <v>0</v>
      </c>
      <c r="D152" s="464">
        <v>0</v>
      </c>
      <c r="E152" s="465">
        <v>0</v>
      </c>
      <c r="F152" s="432">
        <v>0</v>
      </c>
      <c r="G152" s="466">
        <v>0</v>
      </c>
      <c r="H152" s="467">
        <v>0</v>
      </c>
      <c r="I152" s="462">
        <f t="shared" ref="I152:I180" si="5">+I151+C152+E152+G152+H152+F152+D152</f>
        <v>-201385.71000000002</v>
      </c>
    </row>
    <row r="153" spans="2:9" x14ac:dyDescent="0.3">
      <c r="B153" s="463">
        <v>46146</v>
      </c>
      <c r="C153" s="464">
        <v>0</v>
      </c>
      <c r="D153" s="464">
        <v>0</v>
      </c>
      <c r="E153" s="465">
        <v>0</v>
      </c>
      <c r="F153" s="432">
        <v>0</v>
      </c>
      <c r="G153" s="466">
        <v>0</v>
      </c>
      <c r="H153" s="467">
        <v>0</v>
      </c>
      <c r="I153" s="462">
        <f t="shared" si="5"/>
        <v>-201385.71000000002</v>
      </c>
    </row>
    <row r="154" spans="2:9" x14ac:dyDescent="0.3">
      <c r="B154" s="463">
        <v>46147</v>
      </c>
      <c r="C154" s="464">
        <v>0</v>
      </c>
      <c r="D154" s="464">
        <v>0</v>
      </c>
      <c r="E154" s="465">
        <v>0</v>
      </c>
      <c r="F154" s="495">
        <f>-(9779+20000+2000)</f>
        <v>-31779</v>
      </c>
      <c r="G154" s="466">
        <v>0</v>
      </c>
      <c r="H154" s="467">
        <v>0</v>
      </c>
      <c r="I154" s="462">
        <f t="shared" si="5"/>
        <v>-233164.71000000002</v>
      </c>
    </row>
    <row r="155" spans="2:9" x14ac:dyDescent="0.3">
      <c r="B155" s="463">
        <v>46148</v>
      </c>
      <c r="C155" s="464">
        <v>0</v>
      </c>
      <c r="D155" s="464">
        <v>0</v>
      </c>
      <c r="E155" s="465">
        <v>0</v>
      </c>
      <c r="F155" s="432">
        <v>0</v>
      </c>
      <c r="G155" s="466">
        <v>0</v>
      </c>
      <c r="H155" s="467">
        <v>0</v>
      </c>
      <c r="I155" s="462">
        <f t="shared" si="5"/>
        <v>-233164.71000000002</v>
      </c>
    </row>
    <row r="156" spans="2:9" x14ac:dyDescent="0.3">
      <c r="B156" s="463">
        <v>46149</v>
      </c>
      <c r="C156" s="464">
        <v>0</v>
      </c>
      <c r="D156" s="464">
        <v>0</v>
      </c>
      <c r="E156" s="465">
        <v>0</v>
      </c>
      <c r="F156" s="432">
        <v>0</v>
      </c>
      <c r="G156" s="466">
        <v>0</v>
      </c>
      <c r="H156" s="467">
        <v>0</v>
      </c>
      <c r="I156" s="462">
        <f t="shared" si="5"/>
        <v>-233164.71000000002</v>
      </c>
    </row>
    <row r="157" spans="2:9" x14ac:dyDescent="0.3">
      <c r="B157" s="463">
        <v>46150</v>
      </c>
      <c r="C157" s="464">
        <v>0</v>
      </c>
      <c r="D157" s="464">
        <v>0</v>
      </c>
      <c r="E157" s="465">
        <v>0</v>
      </c>
      <c r="F157" s="434">
        <f>-(2150+850+250+5000+3250)</f>
        <v>-11500</v>
      </c>
      <c r="G157" s="466">
        <v>0</v>
      </c>
      <c r="H157" s="467">
        <v>0</v>
      </c>
      <c r="I157" s="462">
        <f t="shared" si="5"/>
        <v>-244664.71000000002</v>
      </c>
    </row>
    <row r="158" spans="2:9" x14ac:dyDescent="0.3">
      <c r="B158" s="463">
        <v>46151</v>
      </c>
      <c r="C158" s="464">
        <v>0</v>
      </c>
      <c r="D158" s="464">
        <v>0</v>
      </c>
      <c r="E158" s="465">
        <v>0</v>
      </c>
      <c r="F158" s="432">
        <v>0</v>
      </c>
      <c r="G158" s="466">
        <v>0</v>
      </c>
      <c r="H158" s="467">
        <v>0</v>
      </c>
      <c r="I158" s="462">
        <f t="shared" si="5"/>
        <v>-244664.71000000002</v>
      </c>
    </row>
    <row r="159" spans="2:9" x14ac:dyDescent="0.3">
      <c r="B159" s="463">
        <v>46152</v>
      </c>
      <c r="C159" s="464">
        <v>0</v>
      </c>
      <c r="D159" s="464">
        <v>0</v>
      </c>
      <c r="E159" s="465">
        <v>0</v>
      </c>
      <c r="F159" s="432">
        <v>0</v>
      </c>
      <c r="G159" s="466">
        <v>0</v>
      </c>
      <c r="H159" s="467">
        <v>0</v>
      </c>
      <c r="I159" s="462">
        <f t="shared" si="5"/>
        <v>-244664.71000000002</v>
      </c>
    </row>
    <row r="160" spans="2:9" x14ac:dyDescent="0.3">
      <c r="B160" s="463">
        <v>46153</v>
      </c>
      <c r="C160" s="464">
        <v>0</v>
      </c>
      <c r="D160" s="464">
        <v>0</v>
      </c>
      <c r="E160" s="465">
        <v>0</v>
      </c>
      <c r="F160" s="432">
        <v>0</v>
      </c>
      <c r="G160" s="466">
        <v>0</v>
      </c>
      <c r="H160" s="467">
        <v>0</v>
      </c>
      <c r="I160" s="462">
        <f t="shared" si="5"/>
        <v>-244664.71000000002</v>
      </c>
    </row>
    <row r="161" spans="2:9" x14ac:dyDescent="0.3">
      <c r="B161" s="463">
        <v>46154</v>
      </c>
      <c r="C161" s="464">
        <v>0</v>
      </c>
      <c r="D161" s="464">
        <v>0</v>
      </c>
      <c r="E161" s="465">
        <v>0</v>
      </c>
      <c r="F161" s="432">
        <v>0</v>
      </c>
      <c r="G161" s="466">
        <v>0</v>
      </c>
      <c r="H161" s="467">
        <v>0</v>
      </c>
      <c r="I161" s="462">
        <f t="shared" si="5"/>
        <v>-244664.71000000002</v>
      </c>
    </row>
    <row r="162" spans="2:9" x14ac:dyDescent="0.3">
      <c r="B162" s="463">
        <v>46155</v>
      </c>
      <c r="C162" s="464">
        <v>0</v>
      </c>
      <c r="D162" s="464">
        <v>0</v>
      </c>
      <c r="E162" s="465">
        <v>0</v>
      </c>
      <c r="F162" s="432">
        <v>0</v>
      </c>
      <c r="G162" s="466">
        <v>0</v>
      </c>
      <c r="H162" s="467">
        <v>0</v>
      </c>
      <c r="I162" s="462">
        <f t="shared" si="5"/>
        <v>-244664.71000000002</v>
      </c>
    </row>
    <row r="163" spans="2:9" x14ac:dyDescent="0.3">
      <c r="B163" s="463">
        <v>46156</v>
      </c>
      <c r="C163" s="464">
        <v>0</v>
      </c>
      <c r="D163" s="464">
        <v>0</v>
      </c>
      <c r="E163" s="465">
        <v>0</v>
      </c>
      <c r="F163" s="432">
        <v>0</v>
      </c>
      <c r="G163" s="466">
        <v>0</v>
      </c>
      <c r="H163" s="467">
        <v>0</v>
      </c>
      <c r="I163" s="462">
        <f t="shared" si="5"/>
        <v>-244664.71000000002</v>
      </c>
    </row>
    <row r="164" spans="2:9" x14ac:dyDescent="0.3">
      <c r="B164" s="463">
        <v>46157</v>
      </c>
      <c r="C164" s="464">
        <v>0</v>
      </c>
      <c r="D164" s="464">
        <v>0</v>
      </c>
      <c r="E164" s="465">
        <v>0</v>
      </c>
      <c r="F164" s="434">
        <f>-6602</f>
        <v>-6602</v>
      </c>
      <c r="G164" s="466">
        <v>0</v>
      </c>
      <c r="H164" s="467">
        <v>0</v>
      </c>
      <c r="I164" s="462">
        <f t="shared" si="5"/>
        <v>-251266.71000000002</v>
      </c>
    </row>
    <row r="165" spans="2:9" x14ac:dyDescent="0.3">
      <c r="B165" s="463">
        <v>46158</v>
      </c>
      <c r="C165" s="464">
        <v>0</v>
      </c>
      <c r="D165" s="464">
        <v>0</v>
      </c>
      <c r="E165" s="465">
        <v>0</v>
      </c>
      <c r="F165" s="432">
        <v>0</v>
      </c>
      <c r="G165" s="466">
        <v>0</v>
      </c>
      <c r="H165" s="467">
        <v>0</v>
      </c>
      <c r="I165" s="462">
        <f t="shared" si="5"/>
        <v>-251266.71000000002</v>
      </c>
    </row>
    <row r="166" spans="2:9" x14ac:dyDescent="0.3">
      <c r="B166" s="463">
        <v>46159</v>
      </c>
      <c r="C166" s="464">
        <v>0</v>
      </c>
      <c r="D166" s="464">
        <v>0</v>
      </c>
      <c r="E166" s="465">
        <v>0</v>
      </c>
      <c r="F166" s="432">
        <v>0</v>
      </c>
      <c r="G166" s="466">
        <v>0</v>
      </c>
      <c r="H166" s="467">
        <v>0</v>
      </c>
      <c r="I166" s="462">
        <f t="shared" si="5"/>
        <v>-251266.71000000002</v>
      </c>
    </row>
    <row r="167" spans="2:9" x14ac:dyDescent="0.3">
      <c r="B167" s="463">
        <v>46160</v>
      </c>
      <c r="C167" s="464">
        <v>0</v>
      </c>
      <c r="D167" s="464">
        <v>0</v>
      </c>
      <c r="E167" s="465">
        <v>0</v>
      </c>
      <c r="F167" s="432">
        <v>0</v>
      </c>
      <c r="G167" s="466">
        <v>0</v>
      </c>
      <c r="H167" s="467">
        <v>0</v>
      </c>
      <c r="I167" s="462">
        <f t="shared" si="5"/>
        <v>-251266.71000000002</v>
      </c>
    </row>
    <row r="168" spans="2:9" x14ac:dyDescent="0.3">
      <c r="B168" s="463">
        <v>46161</v>
      </c>
      <c r="C168" s="464">
        <v>0</v>
      </c>
      <c r="D168" s="464">
        <v>0</v>
      </c>
      <c r="E168" s="465">
        <v>0</v>
      </c>
      <c r="F168" s="432">
        <v>0</v>
      </c>
      <c r="G168" s="466">
        <v>0</v>
      </c>
      <c r="H168" s="467">
        <v>0</v>
      </c>
      <c r="I168" s="462">
        <f t="shared" si="5"/>
        <v>-251266.71000000002</v>
      </c>
    </row>
    <row r="169" spans="2:9" x14ac:dyDescent="0.3">
      <c r="B169" s="463">
        <v>46162</v>
      </c>
      <c r="C169" s="464">
        <v>0</v>
      </c>
      <c r="D169" s="464">
        <v>0</v>
      </c>
      <c r="E169" s="465">
        <v>0</v>
      </c>
      <c r="F169" s="434">
        <f>-(1973+450+40000)</f>
        <v>-42423</v>
      </c>
      <c r="G169" s="466">
        <v>0</v>
      </c>
      <c r="H169" s="467">
        <v>0</v>
      </c>
      <c r="I169" s="462">
        <f t="shared" si="5"/>
        <v>-293689.71000000002</v>
      </c>
    </row>
    <row r="170" spans="2:9" x14ac:dyDescent="0.3">
      <c r="B170" s="463">
        <v>46163</v>
      </c>
      <c r="C170" s="464">
        <v>0</v>
      </c>
      <c r="D170" s="464">
        <v>0</v>
      </c>
      <c r="E170" s="465">
        <v>0</v>
      </c>
      <c r="F170" s="432">
        <v>0</v>
      </c>
      <c r="G170" s="466">
        <v>0</v>
      </c>
      <c r="H170" s="467">
        <v>0</v>
      </c>
      <c r="I170" s="462">
        <f t="shared" si="5"/>
        <v>-293689.71000000002</v>
      </c>
    </row>
    <row r="171" spans="2:9" x14ac:dyDescent="0.3">
      <c r="B171" s="463">
        <v>46164</v>
      </c>
      <c r="C171" s="464">
        <v>0</v>
      </c>
      <c r="D171" s="464">
        <v>0</v>
      </c>
      <c r="E171" s="465">
        <v>0</v>
      </c>
      <c r="F171" s="432">
        <v>0</v>
      </c>
      <c r="G171" s="466">
        <v>0</v>
      </c>
      <c r="H171" s="467">
        <v>0</v>
      </c>
      <c r="I171" s="462">
        <f t="shared" si="5"/>
        <v>-293689.71000000002</v>
      </c>
    </row>
    <row r="172" spans="2:9" x14ac:dyDescent="0.3">
      <c r="B172" s="463">
        <v>46165</v>
      </c>
      <c r="C172" s="464">
        <v>0</v>
      </c>
      <c r="D172" s="464">
        <v>0</v>
      </c>
      <c r="E172" s="465">
        <v>0</v>
      </c>
      <c r="F172" s="432">
        <v>0</v>
      </c>
      <c r="G172" s="466">
        <v>0</v>
      </c>
      <c r="H172" s="467">
        <v>0</v>
      </c>
      <c r="I172" s="462">
        <f t="shared" si="5"/>
        <v>-293689.71000000002</v>
      </c>
    </row>
    <row r="173" spans="2:9" x14ac:dyDescent="0.3">
      <c r="B173" s="463">
        <v>46166</v>
      </c>
      <c r="C173" s="464">
        <v>0</v>
      </c>
      <c r="D173" s="464">
        <v>0</v>
      </c>
      <c r="E173" s="465">
        <v>0</v>
      </c>
      <c r="F173" s="432">
        <v>0</v>
      </c>
      <c r="G173" s="466">
        <v>0</v>
      </c>
      <c r="H173" s="467">
        <v>0</v>
      </c>
      <c r="I173" s="462">
        <f t="shared" si="5"/>
        <v>-293689.71000000002</v>
      </c>
    </row>
    <row r="174" spans="2:9" x14ac:dyDescent="0.3">
      <c r="B174" s="463">
        <v>46167</v>
      </c>
      <c r="C174" s="464">
        <v>0</v>
      </c>
      <c r="D174" s="464">
        <v>0</v>
      </c>
      <c r="E174" s="465">
        <v>0</v>
      </c>
      <c r="F174" s="432">
        <v>0</v>
      </c>
      <c r="G174" s="466">
        <v>0</v>
      </c>
      <c r="H174" s="467">
        <v>0</v>
      </c>
      <c r="I174" s="462">
        <f t="shared" si="5"/>
        <v>-293689.71000000002</v>
      </c>
    </row>
    <row r="175" spans="2:9" x14ac:dyDescent="0.3">
      <c r="B175" s="463">
        <v>46168</v>
      </c>
      <c r="C175" s="464">
        <v>0</v>
      </c>
      <c r="D175" s="464">
        <v>0</v>
      </c>
      <c r="E175" s="465">
        <v>0</v>
      </c>
      <c r="F175" s="432">
        <v>0</v>
      </c>
      <c r="G175" s="466">
        <v>0</v>
      </c>
      <c r="H175" s="467">
        <v>0</v>
      </c>
      <c r="I175" s="462">
        <f t="shared" si="5"/>
        <v>-293689.71000000002</v>
      </c>
    </row>
    <row r="176" spans="2:9" x14ac:dyDescent="0.3">
      <c r="B176" s="463">
        <v>46169</v>
      </c>
      <c r="C176" s="464">
        <v>0</v>
      </c>
      <c r="D176" s="464">
        <v>0</v>
      </c>
      <c r="E176" s="465">
        <v>0</v>
      </c>
      <c r="F176" s="432">
        <v>0</v>
      </c>
      <c r="G176" s="466">
        <v>0</v>
      </c>
      <c r="H176" s="467">
        <v>0</v>
      </c>
      <c r="I176" s="462">
        <f t="shared" si="5"/>
        <v>-293689.71000000002</v>
      </c>
    </row>
    <row r="177" spans="2:9" x14ac:dyDescent="0.3">
      <c r="B177" s="463">
        <v>46170</v>
      </c>
      <c r="C177" s="464">
        <v>0</v>
      </c>
      <c r="D177" s="464">
        <v>0</v>
      </c>
      <c r="E177" s="465">
        <v>0</v>
      </c>
      <c r="F177" s="432">
        <v>0</v>
      </c>
      <c r="G177" s="466">
        <v>0</v>
      </c>
      <c r="H177" s="467">
        <v>0</v>
      </c>
      <c r="I177" s="462">
        <f t="shared" si="5"/>
        <v>-293689.71000000002</v>
      </c>
    </row>
    <row r="178" spans="2:9" x14ac:dyDescent="0.3">
      <c r="B178" s="463">
        <v>46171</v>
      </c>
      <c r="C178" s="464">
        <v>0</v>
      </c>
      <c r="D178" s="464">
        <v>0</v>
      </c>
      <c r="E178" s="465">
        <v>0</v>
      </c>
      <c r="F178" s="434">
        <f>-1000</f>
        <v>-1000</v>
      </c>
      <c r="G178" s="466">
        <v>0</v>
      </c>
      <c r="H178" s="467">
        <v>0</v>
      </c>
      <c r="I178" s="462">
        <f t="shared" si="5"/>
        <v>-294689.71000000002</v>
      </c>
    </row>
    <row r="179" spans="2:9" x14ac:dyDescent="0.3">
      <c r="B179" s="463">
        <v>46172</v>
      </c>
      <c r="C179" s="464">
        <v>0</v>
      </c>
      <c r="D179" s="464">
        <v>0</v>
      </c>
      <c r="E179" s="465">
        <v>0</v>
      </c>
      <c r="F179" s="432">
        <v>0</v>
      </c>
      <c r="G179" s="466">
        <v>0</v>
      </c>
      <c r="H179" s="467">
        <v>0</v>
      </c>
      <c r="I179" s="462">
        <f t="shared" si="5"/>
        <v>-294689.71000000002</v>
      </c>
    </row>
    <row r="180" spans="2:9" ht="15" thickBot="1" x14ac:dyDescent="0.35">
      <c r="B180" s="463">
        <v>46173</v>
      </c>
      <c r="C180" s="464">
        <v>0</v>
      </c>
      <c r="D180" s="464">
        <v>0</v>
      </c>
      <c r="E180" s="465">
        <v>0</v>
      </c>
      <c r="F180" s="432">
        <v>0</v>
      </c>
      <c r="G180" s="466">
        <v>0</v>
      </c>
      <c r="H180" s="467">
        <v>0</v>
      </c>
      <c r="I180" s="462">
        <f t="shared" si="5"/>
        <v>-294689.71000000002</v>
      </c>
    </row>
    <row r="181" spans="2:9" ht="15" thickBot="1" x14ac:dyDescent="0.35">
      <c r="B181" s="469" t="s">
        <v>79</v>
      </c>
      <c r="C181" s="470">
        <f>SUM(C150:C180)</f>
        <v>0</v>
      </c>
      <c r="D181" s="470"/>
      <c r="E181" s="471">
        <f>SUM(E150:E180)</f>
        <v>0</v>
      </c>
      <c r="F181" s="472">
        <f>SUM(F150:F180)</f>
        <v>-93304</v>
      </c>
      <c r="G181" s="472"/>
      <c r="H181" s="471">
        <f>SUM(H150:H177)</f>
        <v>0</v>
      </c>
      <c r="I181" s="473"/>
    </row>
    <row r="183" spans="2:9" ht="15" thickBot="1" x14ac:dyDescent="0.35"/>
    <row r="184" spans="2:9" ht="26.4" thickBot="1" x14ac:dyDescent="0.55000000000000004">
      <c r="B184" s="452" t="s">
        <v>728</v>
      </c>
      <c r="C184" s="453"/>
      <c r="D184" s="453"/>
      <c r="E184" s="453"/>
      <c r="F184" s="453"/>
      <c r="G184" s="453"/>
      <c r="H184" s="453"/>
      <c r="I184" s="453"/>
    </row>
    <row r="185" spans="2:9" ht="15" thickBot="1" x14ac:dyDescent="0.35">
      <c r="B185" s="516" t="s">
        <v>716</v>
      </c>
      <c r="C185" s="454"/>
      <c r="D185" s="454"/>
      <c r="E185" s="454"/>
      <c r="F185" s="454"/>
      <c r="G185" s="454"/>
      <c r="H185" s="454"/>
      <c r="I185" s="455"/>
    </row>
    <row r="186" spans="2:9" ht="15" thickBot="1" x14ac:dyDescent="0.35">
      <c r="B186" s="517"/>
      <c r="C186" s="456" t="s">
        <v>717</v>
      </c>
      <c r="D186" s="456" t="s">
        <v>718</v>
      </c>
      <c r="E186" s="457" t="s">
        <v>735</v>
      </c>
      <c r="F186" s="458" t="s">
        <v>719</v>
      </c>
      <c r="G186" s="458" t="s">
        <v>720</v>
      </c>
      <c r="H186" s="484" t="s">
        <v>736</v>
      </c>
      <c r="I186" s="459" t="s">
        <v>721</v>
      </c>
    </row>
    <row r="187" spans="2:9" x14ac:dyDescent="0.3">
      <c r="B187" s="461"/>
      <c r="C187" s="518"/>
      <c r="D187" s="518"/>
      <c r="E187" s="518"/>
      <c r="F187" s="518"/>
      <c r="G187" s="518"/>
      <c r="H187" s="519"/>
      <c r="I187" s="462">
        <f>I180</f>
        <v>-294689.71000000002</v>
      </c>
    </row>
    <row r="188" spans="2:9" x14ac:dyDescent="0.3">
      <c r="B188" s="463">
        <v>46174</v>
      </c>
      <c r="C188" s="464">
        <v>0</v>
      </c>
      <c r="D188" s="464">
        <v>0</v>
      </c>
      <c r="E188" s="465">
        <v>0</v>
      </c>
      <c r="F188" s="432">
        <v>0</v>
      </c>
      <c r="G188" s="466">
        <v>0</v>
      </c>
      <c r="H188" s="467">
        <v>0</v>
      </c>
      <c r="I188" s="462">
        <f>+I187+C188+E188+G188+H188+F188+D188</f>
        <v>-294689.71000000002</v>
      </c>
    </row>
    <row r="189" spans="2:9" x14ac:dyDescent="0.3">
      <c r="B189" s="463">
        <v>46175</v>
      </c>
      <c r="C189" s="464">
        <v>0</v>
      </c>
      <c r="D189" s="464">
        <v>0</v>
      </c>
      <c r="E189" s="465">
        <v>0</v>
      </c>
      <c r="F189" s="432">
        <v>0</v>
      </c>
      <c r="G189" s="466">
        <v>0</v>
      </c>
      <c r="H189" s="467">
        <v>0</v>
      </c>
      <c r="I189" s="462">
        <f>+I188+C189+E189+G189+H189+F189+D189</f>
        <v>-294689.71000000002</v>
      </c>
    </row>
    <row r="190" spans="2:9" x14ac:dyDescent="0.3">
      <c r="B190" s="463">
        <v>46176</v>
      </c>
      <c r="C190" s="464">
        <v>0</v>
      </c>
      <c r="D190" s="464">
        <v>0</v>
      </c>
      <c r="E190" s="465">
        <v>0</v>
      </c>
      <c r="F190" s="432">
        <v>0</v>
      </c>
      <c r="G190" s="466">
        <v>0</v>
      </c>
      <c r="H190" s="467">
        <v>0</v>
      </c>
      <c r="I190" s="462">
        <f t="shared" ref="I190:I217" si="6">+I189+C190+E190+G190+H190+F190+D190</f>
        <v>-294689.71000000002</v>
      </c>
    </row>
    <row r="191" spans="2:9" x14ac:dyDescent="0.3">
      <c r="B191" s="463">
        <v>46177</v>
      </c>
      <c r="C191" s="464">
        <v>0</v>
      </c>
      <c r="D191" s="464">
        <v>0</v>
      </c>
      <c r="E191" s="465">
        <v>0</v>
      </c>
      <c r="F191" s="432">
        <v>0</v>
      </c>
      <c r="G191" s="466">
        <v>0</v>
      </c>
      <c r="H191" s="467">
        <v>0</v>
      </c>
      <c r="I191" s="462">
        <f t="shared" si="6"/>
        <v>-294689.71000000002</v>
      </c>
    </row>
    <row r="192" spans="2:9" x14ac:dyDescent="0.3">
      <c r="B192" s="463">
        <v>46178</v>
      </c>
      <c r="C192" s="464">
        <v>0</v>
      </c>
      <c r="D192" s="464">
        <v>0</v>
      </c>
      <c r="E192" s="465">
        <v>0</v>
      </c>
      <c r="F192" s="495">
        <f>-(9779+20000+2000)</f>
        <v>-31779</v>
      </c>
      <c r="G192" s="466">
        <v>0</v>
      </c>
      <c r="H192" s="467">
        <v>0</v>
      </c>
      <c r="I192" s="462">
        <f t="shared" si="6"/>
        <v>-326468.71000000002</v>
      </c>
    </row>
    <row r="193" spans="2:9" x14ac:dyDescent="0.3">
      <c r="B193" s="463">
        <v>46179</v>
      </c>
      <c r="C193" s="464">
        <v>0</v>
      </c>
      <c r="D193" s="464">
        <v>0</v>
      </c>
      <c r="E193" s="465">
        <v>0</v>
      </c>
      <c r="F193" s="432">
        <v>0</v>
      </c>
      <c r="G193" s="466">
        <v>0</v>
      </c>
      <c r="H193" s="467">
        <v>0</v>
      </c>
      <c r="I193" s="462">
        <f t="shared" si="6"/>
        <v>-326468.71000000002</v>
      </c>
    </row>
    <row r="194" spans="2:9" x14ac:dyDescent="0.3">
      <c r="B194" s="463">
        <v>46180</v>
      </c>
      <c r="C194" s="464">
        <v>0</v>
      </c>
      <c r="D194" s="464">
        <v>0</v>
      </c>
      <c r="E194" s="465">
        <v>0</v>
      </c>
      <c r="F194" s="432">
        <v>0</v>
      </c>
      <c r="G194" s="466">
        <v>0</v>
      </c>
      <c r="H194" s="467">
        <v>0</v>
      </c>
      <c r="I194" s="462">
        <f t="shared" si="6"/>
        <v>-326468.71000000002</v>
      </c>
    </row>
    <row r="195" spans="2:9" x14ac:dyDescent="0.3">
      <c r="B195" s="463">
        <v>46181</v>
      </c>
      <c r="C195" s="464">
        <v>0</v>
      </c>
      <c r="D195" s="464">
        <v>0</v>
      </c>
      <c r="E195" s="465">
        <v>0</v>
      </c>
      <c r="F195" s="432">
        <v>0</v>
      </c>
      <c r="G195" s="466">
        <v>0</v>
      </c>
      <c r="H195" s="467">
        <v>0</v>
      </c>
      <c r="I195" s="462">
        <f t="shared" si="6"/>
        <v>-326468.71000000002</v>
      </c>
    </row>
    <row r="196" spans="2:9" x14ac:dyDescent="0.3">
      <c r="B196" s="463">
        <v>46182</v>
      </c>
      <c r="C196" s="464">
        <v>0</v>
      </c>
      <c r="D196" s="464">
        <v>0</v>
      </c>
      <c r="E196" s="465">
        <v>0</v>
      </c>
      <c r="F196" s="432">
        <v>0</v>
      </c>
      <c r="G196" s="466">
        <v>0</v>
      </c>
      <c r="H196" s="467">
        <v>0</v>
      </c>
      <c r="I196" s="462">
        <f t="shared" si="6"/>
        <v>-326468.71000000002</v>
      </c>
    </row>
    <row r="197" spans="2:9" x14ac:dyDescent="0.3">
      <c r="B197" s="463">
        <v>46183</v>
      </c>
      <c r="C197" s="464">
        <v>0</v>
      </c>
      <c r="D197" s="464">
        <v>0</v>
      </c>
      <c r="E197" s="465">
        <v>0</v>
      </c>
      <c r="F197" s="434">
        <f>-(2150+850+250+5000+3250)</f>
        <v>-11500</v>
      </c>
      <c r="G197" s="466">
        <v>0</v>
      </c>
      <c r="H197" s="467">
        <v>0</v>
      </c>
      <c r="I197" s="462">
        <f t="shared" si="6"/>
        <v>-337968.71</v>
      </c>
    </row>
    <row r="198" spans="2:9" x14ac:dyDescent="0.3">
      <c r="B198" s="463">
        <v>46184</v>
      </c>
      <c r="C198" s="464">
        <v>0</v>
      </c>
      <c r="D198" s="464">
        <v>0</v>
      </c>
      <c r="E198" s="465">
        <v>0</v>
      </c>
      <c r="F198" s="432">
        <v>0</v>
      </c>
      <c r="G198" s="466">
        <v>0</v>
      </c>
      <c r="H198" s="467">
        <v>0</v>
      </c>
      <c r="I198" s="462">
        <f t="shared" si="6"/>
        <v>-337968.71</v>
      </c>
    </row>
    <row r="199" spans="2:9" x14ac:dyDescent="0.3">
      <c r="B199" s="463">
        <v>46185</v>
      </c>
      <c r="C199" s="464">
        <v>0</v>
      </c>
      <c r="D199" s="464">
        <v>0</v>
      </c>
      <c r="E199" s="465">
        <v>0</v>
      </c>
      <c r="F199" s="432">
        <v>0</v>
      </c>
      <c r="G199" s="466">
        <v>0</v>
      </c>
      <c r="H199" s="467">
        <v>0</v>
      </c>
      <c r="I199" s="462">
        <f t="shared" si="6"/>
        <v>-337968.71</v>
      </c>
    </row>
    <row r="200" spans="2:9" x14ac:dyDescent="0.3">
      <c r="B200" s="463">
        <v>46186</v>
      </c>
      <c r="C200" s="464">
        <v>0</v>
      </c>
      <c r="D200" s="464">
        <v>0</v>
      </c>
      <c r="E200" s="465">
        <v>0</v>
      </c>
      <c r="F200" s="432">
        <v>0</v>
      </c>
      <c r="G200" s="466">
        <v>0</v>
      </c>
      <c r="H200" s="467">
        <v>0</v>
      </c>
      <c r="I200" s="462">
        <f t="shared" si="6"/>
        <v>-337968.71</v>
      </c>
    </row>
    <row r="201" spans="2:9" x14ac:dyDescent="0.3">
      <c r="B201" s="463">
        <v>46187</v>
      </c>
      <c r="C201" s="464">
        <v>0</v>
      </c>
      <c r="D201" s="464">
        <v>0</v>
      </c>
      <c r="E201" s="465">
        <v>0</v>
      </c>
      <c r="F201" s="432">
        <v>0</v>
      </c>
      <c r="G201" s="466">
        <v>0</v>
      </c>
      <c r="H201" s="467">
        <v>0</v>
      </c>
      <c r="I201" s="462">
        <f t="shared" si="6"/>
        <v>-337968.71</v>
      </c>
    </row>
    <row r="202" spans="2:9" x14ac:dyDescent="0.3">
      <c r="B202" s="463">
        <v>46188</v>
      </c>
      <c r="C202" s="464">
        <v>0</v>
      </c>
      <c r="D202" s="464">
        <v>0</v>
      </c>
      <c r="E202" s="465">
        <v>0</v>
      </c>
      <c r="F202" s="434">
        <f>-6602</f>
        <v>-6602</v>
      </c>
      <c r="G202" s="466">
        <v>0</v>
      </c>
      <c r="H202" s="467">
        <v>0</v>
      </c>
      <c r="I202" s="462">
        <f t="shared" si="6"/>
        <v>-344570.71</v>
      </c>
    </row>
    <row r="203" spans="2:9" x14ac:dyDescent="0.3">
      <c r="B203" s="463">
        <v>46189</v>
      </c>
      <c r="C203" s="464">
        <v>0</v>
      </c>
      <c r="D203" s="464">
        <v>0</v>
      </c>
      <c r="E203" s="465">
        <v>0</v>
      </c>
      <c r="F203" s="432">
        <v>0</v>
      </c>
      <c r="G203" s="466">
        <v>0</v>
      </c>
      <c r="H203" s="467">
        <v>0</v>
      </c>
      <c r="I203" s="462">
        <f t="shared" si="6"/>
        <v>-344570.71</v>
      </c>
    </row>
    <row r="204" spans="2:9" x14ac:dyDescent="0.3">
      <c r="B204" s="463">
        <v>46190</v>
      </c>
      <c r="C204" s="464">
        <v>0</v>
      </c>
      <c r="D204" s="464">
        <v>0</v>
      </c>
      <c r="E204" s="465">
        <v>0</v>
      </c>
      <c r="F204" s="432">
        <v>0</v>
      </c>
      <c r="G204" s="466">
        <v>0</v>
      </c>
      <c r="H204" s="467">
        <v>0</v>
      </c>
      <c r="I204" s="462">
        <f t="shared" si="6"/>
        <v>-344570.71</v>
      </c>
    </row>
    <row r="205" spans="2:9" x14ac:dyDescent="0.3">
      <c r="B205" s="463">
        <v>46191</v>
      </c>
      <c r="C205" s="464">
        <v>0</v>
      </c>
      <c r="D205" s="464">
        <v>0</v>
      </c>
      <c r="E205" s="465">
        <v>0</v>
      </c>
      <c r="F205" s="432">
        <v>0</v>
      </c>
      <c r="G205" s="466">
        <v>0</v>
      </c>
      <c r="H205" s="467">
        <v>0</v>
      </c>
      <c r="I205" s="462">
        <f t="shared" si="6"/>
        <v>-344570.71</v>
      </c>
    </row>
    <row r="206" spans="2:9" x14ac:dyDescent="0.3">
      <c r="B206" s="463">
        <v>46192</v>
      </c>
      <c r="C206" s="464">
        <v>0</v>
      </c>
      <c r="D206" s="464">
        <v>0</v>
      </c>
      <c r="E206" s="465">
        <v>0</v>
      </c>
      <c r="F206" s="434">
        <f>-(1973+450+40000)</f>
        <v>-42423</v>
      </c>
      <c r="G206" s="466">
        <v>0</v>
      </c>
      <c r="H206" s="467">
        <v>0</v>
      </c>
      <c r="I206" s="462">
        <f t="shared" si="6"/>
        <v>-386993.71</v>
      </c>
    </row>
    <row r="207" spans="2:9" x14ac:dyDescent="0.3">
      <c r="B207" s="463">
        <v>46193</v>
      </c>
      <c r="C207" s="464">
        <v>0</v>
      </c>
      <c r="D207" s="464">
        <v>0</v>
      </c>
      <c r="E207" s="465">
        <v>0</v>
      </c>
      <c r="F207" s="432">
        <v>0</v>
      </c>
      <c r="G207" s="466">
        <v>0</v>
      </c>
      <c r="H207" s="467">
        <v>0</v>
      </c>
      <c r="I207" s="462">
        <f t="shared" si="6"/>
        <v>-386993.71</v>
      </c>
    </row>
    <row r="208" spans="2:9" x14ac:dyDescent="0.3">
      <c r="B208" s="463">
        <v>46194</v>
      </c>
      <c r="C208" s="464">
        <v>0</v>
      </c>
      <c r="D208" s="464">
        <v>0</v>
      </c>
      <c r="E208" s="465">
        <v>0</v>
      </c>
      <c r="F208" s="432">
        <v>0</v>
      </c>
      <c r="G208" s="466">
        <v>0</v>
      </c>
      <c r="H208" s="467">
        <v>0</v>
      </c>
      <c r="I208" s="462">
        <f t="shared" si="6"/>
        <v>-386993.71</v>
      </c>
    </row>
    <row r="209" spans="2:9" x14ac:dyDescent="0.3">
      <c r="B209" s="463">
        <v>46195</v>
      </c>
      <c r="C209" s="464">
        <v>0</v>
      </c>
      <c r="D209" s="464">
        <v>0</v>
      </c>
      <c r="E209" s="465">
        <v>0</v>
      </c>
      <c r="F209" s="432">
        <v>0</v>
      </c>
      <c r="G209" s="466">
        <v>0</v>
      </c>
      <c r="H209" s="467">
        <v>0</v>
      </c>
      <c r="I209" s="462">
        <f t="shared" si="6"/>
        <v>-386993.71</v>
      </c>
    </row>
    <row r="210" spans="2:9" x14ac:dyDescent="0.3">
      <c r="B210" s="463">
        <v>46196</v>
      </c>
      <c r="C210" s="464">
        <v>0</v>
      </c>
      <c r="D210" s="464">
        <v>0</v>
      </c>
      <c r="E210" s="465">
        <v>0</v>
      </c>
      <c r="F210" s="432">
        <v>0</v>
      </c>
      <c r="G210" s="466">
        <v>0</v>
      </c>
      <c r="H210" s="467">
        <v>0</v>
      </c>
      <c r="I210" s="462">
        <f t="shared" si="6"/>
        <v>-386993.71</v>
      </c>
    </row>
    <row r="211" spans="2:9" x14ac:dyDescent="0.3">
      <c r="B211" s="463">
        <v>46197</v>
      </c>
      <c r="C211" s="464">
        <v>0</v>
      </c>
      <c r="D211" s="464">
        <v>0</v>
      </c>
      <c r="E211" s="465">
        <v>0</v>
      </c>
      <c r="F211" s="432">
        <v>0</v>
      </c>
      <c r="G211" s="466">
        <v>0</v>
      </c>
      <c r="H211" s="467">
        <v>0</v>
      </c>
      <c r="I211" s="462">
        <f t="shared" si="6"/>
        <v>-386993.71</v>
      </c>
    </row>
    <row r="212" spans="2:9" x14ac:dyDescent="0.3">
      <c r="B212" s="463">
        <v>46198</v>
      </c>
      <c r="C212" s="464">
        <v>0</v>
      </c>
      <c r="D212" s="464">
        <v>0</v>
      </c>
      <c r="E212" s="465">
        <v>0</v>
      </c>
      <c r="F212" s="432">
        <v>0</v>
      </c>
      <c r="G212" s="466">
        <v>0</v>
      </c>
      <c r="H212" s="467">
        <v>0</v>
      </c>
      <c r="I212" s="462">
        <f t="shared" si="6"/>
        <v>-386993.71</v>
      </c>
    </row>
    <row r="213" spans="2:9" x14ac:dyDescent="0.3">
      <c r="B213" s="463">
        <v>46199</v>
      </c>
      <c r="C213" s="464">
        <v>0</v>
      </c>
      <c r="D213" s="464">
        <v>0</v>
      </c>
      <c r="E213" s="465">
        <v>0</v>
      </c>
      <c r="F213" s="432">
        <v>0</v>
      </c>
      <c r="G213" s="466">
        <v>0</v>
      </c>
      <c r="H213" s="467">
        <v>0</v>
      </c>
      <c r="I213" s="462">
        <f t="shared" si="6"/>
        <v>-386993.71</v>
      </c>
    </row>
    <row r="214" spans="2:9" x14ac:dyDescent="0.3">
      <c r="B214" s="463">
        <v>46200</v>
      </c>
      <c r="C214" s="464">
        <v>0</v>
      </c>
      <c r="D214" s="464">
        <v>0</v>
      </c>
      <c r="E214" s="465">
        <v>0</v>
      </c>
      <c r="F214" s="432">
        <v>0</v>
      </c>
      <c r="G214" s="466">
        <v>0</v>
      </c>
      <c r="H214" s="467">
        <v>0</v>
      </c>
      <c r="I214" s="462">
        <f t="shared" si="6"/>
        <v>-386993.71</v>
      </c>
    </row>
    <row r="215" spans="2:9" x14ac:dyDescent="0.3">
      <c r="B215" s="463">
        <v>46201</v>
      </c>
      <c r="C215" s="464">
        <v>0</v>
      </c>
      <c r="D215" s="464">
        <v>0</v>
      </c>
      <c r="E215" s="465">
        <v>0</v>
      </c>
      <c r="F215" s="432">
        <v>0</v>
      </c>
      <c r="G215" s="466">
        <v>0</v>
      </c>
      <c r="H215" s="467">
        <v>0</v>
      </c>
      <c r="I215" s="462">
        <f t="shared" si="6"/>
        <v>-386993.71</v>
      </c>
    </row>
    <row r="216" spans="2:9" x14ac:dyDescent="0.3">
      <c r="B216" s="463">
        <v>46202</v>
      </c>
      <c r="C216" s="464">
        <v>0</v>
      </c>
      <c r="D216" s="464">
        <v>0</v>
      </c>
      <c r="E216" s="465">
        <v>0</v>
      </c>
      <c r="F216" s="432">
        <v>0</v>
      </c>
      <c r="G216" s="466">
        <v>0</v>
      </c>
      <c r="H216" s="467">
        <v>0</v>
      </c>
      <c r="I216" s="462">
        <f t="shared" si="6"/>
        <v>-386993.71</v>
      </c>
    </row>
    <row r="217" spans="2:9" ht="15" thickBot="1" x14ac:dyDescent="0.35">
      <c r="B217" s="463">
        <v>46203</v>
      </c>
      <c r="C217" s="464">
        <v>0</v>
      </c>
      <c r="D217" s="464">
        <v>0</v>
      </c>
      <c r="E217" s="465">
        <v>0</v>
      </c>
      <c r="F217" s="434">
        <f>-1000</f>
        <v>-1000</v>
      </c>
      <c r="G217" s="466">
        <v>0</v>
      </c>
      <c r="H217" s="467">
        <v>0</v>
      </c>
      <c r="I217" s="462">
        <f t="shared" si="6"/>
        <v>-387993.71</v>
      </c>
    </row>
    <row r="218" spans="2:9" ht="15" thickBot="1" x14ac:dyDescent="0.35">
      <c r="B218" s="469" t="s">
        <v>79</v>
      </c>
      <c r="C218" s="470"/>
      <c r="D218" s="470"/>
      <c r="E218" s="471">
        <f>SUM(E188:E217)</f>
        <v>0</v>
      </c>
      <c r="F218" s="472">
        <f>SUM(F188:F217)</f>
        <v>-93304</v>
      </c>
      <c r="G218" s="472"/>
      <c r="H218" s="471">
        <f>SUM(H188:H217)</f>
        <v>0</v>
      </c>
      <c r="I218" s="473"/>
    </row>
    <row r="220" spans="2:9" ht="15" thickBot="1" x14ac:dyDescent="0.35"/>
    <row r="221" spans="2:9" ht="26.4" thickBot="1" x14ac:dyDescent="0.55000000000000004">
      <c r="B221" s="452" t="s">
        <v>729</v>
      </c>
      <c r="C221" s="453"/>
      <c r="D221" s="453"/>
      <c r="E221" s="453"/>
      <c r="F221" s="453"/>
      <c r="G221" s="453"/>
      <c r="H221" s="453"/>
      <c r="I221" s="453"/>
    </row>
    <row r="222" spans="2:9" ht="15" thickBot="1" x14ac:dyDescent="0.35">
      <c r="B222" s="516" t="s">
        <v>716</v>
      </c>
      <c r="C222" s="454"/>
      <c r="D222" s="454"/>
      <c r="E222" s="454"/>
      <c r="F222" s="454"/>
      <c r="G222" s="454"/>
      <c r="H222" s="454"/>
      <c r="I222" s="455"/>
    </row>
    <row r="223" spans="2:9" ht="15" thickBot="1" x14ac:dyDescent="0.35">
      <c r="B223" s="517"/>
      <c r="C223" s="456" t="s">
        <v>717</v>
      </c>
      <c r="D223" s="456" t="s">
        <v>718</v>
      </c>
      <c r="E223" s="457" t="s">
        <v>735</v>
      </c>
      <c r="F223" s="458" t="s">
        <v>719</v>
      </c>
      <c r="G223" s="458" t="s">
        <v>720</v>
      </c>
      <c r="H223" s="484" t="s">
        <v>736</v>
      </c>
      <c r="I223" s="459" t="s">
        <v>721</v>
      </c>
    </row>
    <row r="224" spans="2:9" x14ac:dyDescent="0.3">
      <c r="B224" s="461"/>
      <c r="C224" s="518"/>
      <c r="D224" s="518"/>
      <c r="E224" s="518"/>
      <c r="F224" s="518"/>
      <c r="G224" s="518"/>
      <c r="H224" s="519"/>
      <c r="I224" s="462" t="e">
        <f>#REF!</f>
        <v>#REF!</v>
      </c>
    </row>
    <row r="225" spans="2:9" x14ac:dyDescent="0.3">
      <c r="B225" s="463">
        <v>45474</v>
      </c>
      <c r="C225" s="464" t="e">
        <f>SUMIF('[1]Receitas KIM '!$B$3:$B$569,'[1]Fluxo caixa KIM-BIG'!B189,'[1]Receitas KIM '!$H$3:$H$569)</f>
        <v>#VALUE!</v>
      </c>
      <c r="D225" s="464">
        <v>102069.24</v>
      </c>
      <c r="E225" s="465">
        <v>100000</v>
      </c>
      <c r="F225" s="466" t="e">
        <f>-SUMIFS([1]Despesas!$H$4:$H$1223,[1]Despesas!$M$4:$M$1223,'[1]Fluxo caixa KIM-BIG'!$H$2,[1]Despesas!$A$4:$A$1223,'[1]Fluxo caixa KIM-BIG'!B189)</f>
        <v>#VALUE!</v>
      </c>
      <c r="G225" s="466">
        <v>-100989.58</v>
      </c>
      <c r="H225" s="467"/>
      <c r="I225" s="462" t="e">
        <f t="shared" ref="I225:I247" si="7">+I224+C225+E225+G225+H225+F225+D225</f>
        <v>#REF!</v>
      </c>
    </row>
    <row r="226" spans="2:9" x14ac:dyDescent="0.3">
      <c r="B226" s="463">
        <v>45475</v>
      </c>
      <c r="C226" s="464" t="e">
        <f>SUMIF('[1]Receitas KIM '!$B$3:$B$569,'[1]Fluxo caixa KIM-BIG'!B190,'[1]Receitas KIM '!$H$3:$H$569)</f>
        <v>#VALUE!</v>
      </c>
      <c r="D226" s="464"/>
      <c r="E226" s="467"/>
      <c r="F226" s="466" t="e">
        <f>-SUMIFS([1]Despesas!$H$4:$H$1223,[1]Despesas!$M$4:$M$1223,'[1]Fluxo caixa KIM-BIG'!$H$2,[1]Despesas!$A$4:$A$1223,'[1]Fluxo caixa KIM-BIG'!B190)</f>
        <v>#VALUE!</v>
      </c>
      <c r="G226" s="466"/>
      <c r="H226" s="467"/>
      <c r="I226" s="462" t="e">
        <f t="shared" si="7"/>
        <v>#REF!</v>
      </c>
    </row>
    <row r="227" spans="2:9" x14ac:dyDescent="0.3">
      <c r="B227" s="463">
        <v>45476</v>
      </c>
      <c r="C227" s="464" t="e">
        <f>SUMIF('[1]Receitas KIM '!$B$3:$B$569,'[1]Fluxo caixa KIM-BIG'!B191,'[1]Receitas KIM '!$H$3:$H$569)</f>
        <v>#VALUE!</v>
      </c>
      <c r="D227" s="464"/>
      <c r="E227" s="467"/>
      <c r="F227" s="466" t="e">
        <f>-SUMIFS([1]Despesas!$H$4:$H$1223,[1]Despesas!$M$4:$M$1223,'[1]Fluxo caixa KIM-BIG'!$H$2,[1]Despesas!$A$4:$A$1223,'[1]Fluxo caixa KIM-BIG'!B191)</f>
        <v>#VALUE!</v>
      </c>
      <c r="G227" s="466">
        <v>-1996.68</v>
      </c>
      <c r="H227" s="467"/>
      <c r="I227" s="462" t="e">
        <f t="shared" si="7"/>
        <v>#REF!</v>
      </c>
    </row>
    <row r="228" spans="2:9" x14ac:dyDescent="0.3">
      <c r="B228" s="463">
        <v>45477</v>
      </c>
      <c r="C228" s="464" t="e">
        <f>SUMIF('[1]Receitas KIM '!$B$3:$B$569,'[1]Fluxo caixa KIM-BIG'!B192,'[1]Receitas KIM '!$H$3:$H$569)</f>
        <v>#VALUE!</v>
      </c>
      <c r="D228" s="464"/>
      <c r="E228" s="467"/>
      <c r="F228" s="466" t="e">
        <f>-SUMIFS([1]Despesas!$H$4:$H$1223,[1]Despesas!$M$4:$M$1223,'[1]Fluxo caixa KIM-BIG'!$H$2,[1]Despesas!$A$4:$A$1223,'[1]Fluxo caixa KIM-BIG'!B192)</f>
        <v>#VALUE!</v>
      </c>
      <c r="G228" s="466"/>
      <c r="H228" s="467"/>
      <c r="I228" s="462" t="e">
        <f t="shared" si="7"/>
        <v>#REF!</v>
      </c>
    </row>
    <row r="229" spans="2:9" x14ac:dyDescent="0.3">
      <c r="B229" s="463">
        <v>45478</v>
      </c>
      <c r="C229" s="464" t="e">
        <f>SUMIF('[1]Receitas KIM '!$B$3:$B$569,'[1]Fluxo caixa KIM-BIG'!B193,'[1]Receitas KIM '!$H$3:$H$569)</f>
        <v>#VALUE!</v>
      </c>
      <c r="D229" s="464">
        <v>86159.28</v>
      </c>
      <c r="E229" s="467"/>
      <c r="F229" s="466" t="e">
        <f>-SUMIFS([1]Despesas!$H$4:$H$1223,[1]Despesas!$M$4:$M$1223,'[1]Fluxo caixa KIM-BIG'!$H$2,[1]Despesas!$A$4:$A$1223,'[1]Fluxo caixa KIM-BIG'!B193)</f>
        <v>#VALUE!</v>
      </c>
      <c r="G229" s="466"/>
      <c r="H229" s="467"/>
      <c r="I229" s="462" t="e">
        <f t="shared" si="7"/>
        <v>#REF!</v>
      </c>
    </row>
    <row r="230" spans="2:9" x14ac:dyDescent="0.3">
      <c r="B230" s="463">
        <v>45481</v>
      </c>
      <c r="C230" s="464" t="e">
        <f>SUMIF('[1]Receitas KIM '!$B$3:$B$569,'[1]Fluxo caixa KIM-BIG'!B194,'[1]Receitas KIM '!$H$3:$H$569)</f>
        <v>#VALUE!</v>
      </c>
      <c r="D230" s="464">
        <v>13060.51</v>
      </c>
      <c r="E230" s="467"/>
      <c r="F230" s="466" t="e">
        <f>-SUMIFS([1]Despesas!$H$4:$H$1223,[1]Despesas!$M$4:$M$1223,'[1]Fluxo caixa KIM-BIG'!$H$2,[1]Despesas!$A$4:$A$1223,'[1]Fluxo caixa KIM-BIG'!B194)</f>
        <v>#VALUE!</v>
      </c>
      <c r="G230" s="466"/>
      <c r="H230" s="467"/>
      <c r="I230" s="462" t="e">
        <f t="shared" si="7"/>
        <v>#REF!</v>
      </c>
    </row>
    <row r="231" spans="2:9" x14ac:dyDescent="0.3">
      <c r="B231" s="463">
        <v>45482</v>
      </c>
      <c r="C231" s="464" t="e">
        <f>SUMIF('[1]Receitas KIM '!$B$3:$B$569,'[1]Fluxo caixa KIM-BIG'!B195,'[1]Receitas KIM '!$H$3:$H$569)</f>
        <v>#VALUE!</v>
      </c>
      <c r="D231" s="464">
        <v>2107.0300000000002</v>
      </c>
      <c r="E231" s="467"/>
      <c r="F231" s="466" t="e">
        <f>-SUMIFS([1]Despesas!$H$4:$H$1223,[1]Despesas!$M$4:$M$1223,'[1]Fluxo caixa KIM-BIG'!$H$2,[1]Despesas!$A$4:$A$1223,'[1]Fluxo caixa KIM-BIG'!B195)</f>
        <v>#VALUE!</v>
      </c>
      <c r="G231" s="466">
        <v>-195985.99</v>
      </c>
      <c r="H231" s="467"/>
      <c r="I231" s="462" t="e">
        <f t="shared" si="7"/>
        <v>#REF!</v>
      </c>
    </row>
    <row r="232" spans="2:9" x14ac:dyDescent="0.3">
      <c r="B232" s="463">
        <v>45483</v>
      </c>
      <c r="C232" s="464" t="e">
        <f>SUMIF('[1]Receitas KIM '!$B$3:$B$569,'[1]Fluxo caixa KIM-BIG'!B196,'[1]Receitas KIM '!$H$3:$H$569)</f>
        <v>#VALUE!</v>
      </c>
      <c r="D232" s="464">
        <v>514999.97</v>
      </c>
      <c r="E232" s="467">
        <v>400000</v>
      </c>
      <c r="F232" s="466" t="e">
        <f>-SUMIFS([1]Despesas!$H$4:$H$1223,[1]Despesas!$M$4:$M$1223,'[1]Fluxo caixa KIM-BIG'!$H$2,[1]Despesas!$A$4:$A$1223,'[1]Fluxo caixa KIM-BIG'!B196)</f>
        <v>#VALUE!</v>
      </c>
      <c r="G232" s="466">
        <v>-400285.47</v>
      </c>
      <c r="H232" s="467"/>
      <c r="I232" s="462" t="e">
        <f t="shared" si="7"/>
        <v>#REF!</v>
      </c>
    </row>
    <row r="233" spans="2:9" x14ac:dyDescent="0.3">
      <c r="B233" s="463">
        <v>45484</v>
      </c>
      <c r="C233" s="464" t="e">
        <f>SUMIF('[1]Receitas KIM '!$B$3:$B$569,'[1]Fluxo caixa KIM-BIG'!B197,'[1]Receitas KIM '!$H$3:$H$569)</f>
        <v>#VALUE!</v>
      </c>
      <c r="D233" s="464"/>
      <c r="E233" s="467"/>
      <c r="F233" s="466" t="e">
        <f>-SUMIFS([1]Despesas!$H$4:$H$1223,[1]Despesas!$M$4:$M$1223,'[1]Fluxo caixa KIM-BIG'!$H$2,[1]Despesas!$A$4:$A$1223,'[1]Fluxo caixa KIM-BIG'!B197)</f>
        <v>#VALUE!</v>
      </c>
      <c r="G233" s="466"/>
      <c r="H233" s="467"/>
      <c r="I233" s="462" t="e">
        <f t="shared" si="7"/>
        <v>#REF!</v>
      </c>
    </row>
    <row r="234" spans="2:9" x14ac:dyDescent="0.3">
      <c r="B234" s="463">
        <v>45485</v>
      </c>
      <c r="C234" s="464" t="e">
        <f>SUMIF('[1]Receitas KIM '!$B$3:$B$569,'[1]Fluxo caixa KIM-BIG'!B198,'[1]Receitas KIM '!$H$3:$H$569)</f>
        <v>#VALUE!</v>
      </c>
      <c r="D234" s="464"/>
      <c r="E234" s="467"/>
      <c r="F234" s="466" t="e">
        <f>-SUMIFS([1]Despesas!$H$4:$H$1223,[1]Despesas!$M$4:$M$1223,'[1]Fluxo caixa KIM-BIG'!$H$2,[1]Despesas!$A$4:$A$1223,'[1]Fluxo caixa KIM-BIG'!B198)</f>
        <v>#VALUE!</v>
      </c>
      <c r="G234" s="466"/>
      <c r="H234" s="465"/>
      <c r="I234" s="462" t="e">
        <f t="shared" si="7"/>
        <v>#REF!</v>
      </c>
    </row>
    <row r="235" spans="2:9" x14ac:dyDescent="0.3">
      <c r="B235" s="463">
        <v>45488</v>
      </c>
      <c r="C235" s="464" t="e">
        <f>SUMIF('[1]Receitas KIM '!$B$3:$B$569,'[1]Fluxo caixa KIM-BIG'!B199,'[1]Receitas KIM '!$H$3:$H$569)</f>
        <v>#VALUE!</v>
      </c>
      <c r="D235" s="464">
        <v>29777.919999999998</v>
      </c>
      <c r="E235" s="467"/>
      <c r="F235" s="466" t="e">
        <f>-SUMIFS([1]Despesas!$H$4:$H$1223,[1]Despesas!$M$4:$M$1223,'[1]Fluxo caixa KIM-BIG'!$H$2,[1]Despesas!$A$4:$A$1223,'[1]Fluxo caixa KIM-BIG'!B199)</f>
        <v>#VALUE!</v>
      </c>
      <c r="G235" s="466"/>
      <c r="H235" s="465"/>
      <c r="I235" s="462" t="e">
        <f t="shared" si="7"/>
        <v>#REF!</v>
      </c>
    </row>
    <row r="236" spans="2:9" x14ac:dyDescent="0.3">
      <c r="B236" s="463">
        <v>45489</v>
      </c>
      <c r="C236" s="464" t="e">
        <f>SUMIF('[1]Receitas KIM '!$B$3:$B$569,'[1]Fluxo caixa KIM-BIG'!B200,'[1]Receitas KIM '!$H$3:$H$569)</f>
        <v>#VALUE!</v>
      </c>
      <c r="D236" s="464"/>
      <c r="E236" s="467"/>
      <c r="F236" s="466" t="e">
        <f>-SUMIFS([1]Despesas!$H$4:$H$1223,[1]Despesas!$M$4:$M$1223,'[1]Fluxo caixa KIM-BIG'!$H$2,[1]Despesas!$A$4:$A$1223,'[1]Fluxo caixa KIM-BIG'!B200)</f>
        <v>#VALUE!</v>
      </c>
      <c r="G236" s="466"/>
      <c r="H236" s="465"/>
      <c r="I236" s="462" t="e">
        <f t="shared" si="7"/>
        <v>#REF!</v>
      </c>
    </row>
    <row r="237" spans="2:9" x14ac:dyDescent="0.3">
      <c r="B237" s="463">
        <v>45490</v>
      </c>
      <c r="C237" s="464" t="e">
        <f>SUMIF('[1]Receitas KIM '!$B$3:$B$569,'[1]Fluxo caixa KIM-BIG'!B201,'[1]Receitas KIM '!$H$3:$H$569)</f>
        <v>#VALUE!</v>
      </c>
      <c r="D237" s="464"/>
      <c r="E237" s="467"/>
      <c r="F237" s="466" t="e">
        <f>-SUMIFS([1]Despesas!$H$4:$H$1223,[1]Despesas!$M$4:$M$1223,'[1]Fluxo caixa KIM-BIG'!$H$2,[1]Despesas!$A$4:$A$1223,'[1]Fluxo caixa KIM-BIG'!B201)</f>
        <v>#VALUE!</v>
      </c>
      <c r="G237" s="466"/>
      <c r="H237" s="465"/>
      <c r="I237" s="462" t="e">
        <f t="shared" si="7"/>
        <v>#REF!</v>
      </c>
    </row>
    <row r="238" spans="2:9" x14ac:dyDescent="0.3">
      <c r="B238" s="463">
        <v>45491</v>
      </c>
      <c r="C238" s="464" t="e">
        <f>SUMIF('[1]Receitas KIM '!$B$3:$B$569,'[1]Fluxo caixa KIM-BIG'!B202,'[1]Receitas KIM '!$H$3:$H$569)</f>
        <v>#VALUE!</v>
      </c>
      <c r="D238" s="464"/>
      <c r="E238" s="467"/>
      <c r="F238" s="466" t="e">
        <f>-SUMIFS([1]Despesas!$H$4:$H$1223,[1]Despesas!$M$4:$M$1223,'[1]Fluxo caixa KIM-BIG'!$H$2,[1]Despesas!$A$4:$A$1223,'[1]Fluxo caixa KIM-BIG'!B202)</f>
        <v>#VALUE!</v>
      </c>
      <c r="G238" s="482"/>
      <c r="H238" s="468"/>
      <c r="I238" s="462" t="e">
        <f t="shared" si="7"/>
        <v>#REF!</v>
      </c>
    </row>
    <row r="239" spans="2:9" x14ac:dyDescent="0.3">
      <c r="B239" s="463">
        <v>45492</v>
      </c>
      <c r="C239" s="464" t="e">
        <f>SUMIF('[1]Receitas KIM '!$B$3:$B$569,'[1]Fluxo caixa KIM-BIG'!B203,'[1]Receitas KIM '!$H$3:$H$569)</f>
        <v>#VALUE!</v>
      </c>
      <c r="D239" s="464">
        <v>32071.09</v>
      </c>
      <c r="E239" s="465"/>
      <c r="F239" s="466" t="e">
        <f>-SUMIFS([1]Despesas!$H$4:$H$1223,[1]Despesas!$M$4:$M$1223,'[1]Fluxo caixa KIM-BIG'!$H$2,[1]Despesas!$A$4:$A$1223,'[1]Fluxo caixa KIM-BIG'!B203)</f>
        <v>#VALUE!</v>
      </c>
      <c r="G239" s="466"/>
      <c r="H239" s="465"/>
      <c r="I239" s="462" t="e">
        <f t="shared" si="7"/>
        <v>#REF!</v>
      </c>
    </row>
    <row r="240" spans="2:9" x14ac:dyDescent="0.3">
      <c r="B240" s="463">
        <v>45495</v>
      </c>
      <c r="C240" s="464" t="e">
        <f>SUMIF('[1]Receitas KIM '!$B$3:$B$569,'[1]Fluxo caixa KIM-BIG'!B204,'[1]Receitas KIM '!$H$3:$H$569)</f>
        <v>#VALUE!</v>
      </c>
      <c r="D240" s="464">
        <v>215800.71</v>
      </c>
      <c r="E240" s="465">
        <v>300000</v>
      </c>
      <c r="F240" s="466" t="e">
        <f>-SUMIFS([1]Despesas!$H$4:$H$1223,[1]Despesas!$M$4:$M$1223,'[1]Fluxo caixa KIM-BIG'!$H$2,[1]Despesas!$A$4:$A$1223,'[1]Fluxo caixa KIM-BIG'!B204)</f>
        <v>#VALUE!</v>
      </c>
      <c r="G240" s="466">
        <v>-293945.82</v>
      </c>
      <c r="H240" s="465"/>
      <c r="I240" s="462" t="e">
        <f t="shared" si="7"/>
        <v>#REF!</v>
      </c>
    </row>
    <row r="241" spans="2:9" x14ac:dyDescent="0.3">
      <c r="B241" s="463">
        <v>45496</v>
      </c>
      <c r="C241" s="464" t="e">
        <f>SUMIF('[1]Receitas KIM '!$B$3:$B$569,'[1]Fluxo caixa KIM-BIG'!B205,'[1]Receitas KIM '!$H$3:$H$569)</f>
        <v>#VALUE!</v>
      </c>
      <c r="D241" s="464"/>
      <c r="E241" s="467"/>
      <c r="F241" s="466" t="e">
        <f>-SUMIFS([1]Despesas!$H$4:$H$1223,[1]Despesas!$M$4:$M$1223,'[1]Fluxo caixa KIM-BIG'!$H$2,[1]Despesas!$A$4:$A$1223,'[1]Fluxo caixa KIM-BIG'!B205)</f>
        <v>#VALUE!</v>
      </c>
      <c r="G241" s="466">
        <v>-6963.98</v>
      </c>
      <c r="H241" s="465"/>
      <c r="I241" s="462" t="e">
        <f t="shared" si="7"/>
        <v>#REF!</v>
      </c>
    </row>
    <row r="242" spans="2:9" x14ac:dyDescent="0.3">
      <c r="B242" s="463">
        <v>45497</v>
      </c>
      <c r="C242" s="464" t="e">
        <f>SUMIF('[1]Receitas KIM '!$B$3:$B$569,'[1]Fluxo caixa KIM-BIG'!B206,'[1]Receitas KIM '!$H$3:$H$569)</f>
        <v>#VALUE!</v>
      </c>
      <c r="D242" s="464"/>
      <c r="E242" s="467"/>
      <c r="F242" s="466" t="e">
        <f>-SUMIFS([1]Despesas!$H$4:$H$1223,[1]Despesas!$M$4:$M$1223,'[1]Fluxo caixa KIM-BIG'!$H$2,[1]Despesas!$A$4:$A$1223,'[1]Fluxo caixa KIM-BIG'!B206)</f>
        <v>#VALUE!</v>
      </c>
      <c r="G242" s="466"/>
      <c r="H242" s="465"/>
      <c r="I242" s="462" t="e">
        <f t="shared" si="7"/>
        <v>#REF!</v>
      </c>
    </row>
    <row r="243" spans="2:9" x14ac:dyDescent="0.3">
      <c r="B243" s="463">
        <v>45498</v>
      </c>
      <c r="C243" s="464" t="e">
        <f>SUMIF('[1]Receitas KIM '!$B$3:$B$569,'[1]Fluxo caixa KIM-BIG'!B207,'[1]Receitas KIM '!$H$3:$H$569)</f>
        <v>#VALUE!</v>
      </c>
      <c r="D243" s="464">
        <v>22707.58</v>
      </c>
      <c r="E243" s="467"/>
      <c r="F243" s="466" t="e">
        <f>-SUMIFS([1]Despesas!$H$4:$H$1223,[1]Despesas!$M$4:$M$1223,'[1]Fluxo caixa KIM-BIG'!$H$2,[1]Despesas!$A$4:$A$1223,'[1]Fluxo caixa KIM-BIG'!B207)</f>
        <v>#VALUE!</v>
      </c>
      <c r="G243" s="466"/>
      <c r="H243" s="465"/>
      <c r="I243" s="462" t="e">
        <f t="shared" si="7"/>
        <v>#REF!</v>
      </c>
    </row>
    <row r="244" spans="2:9" x14ac:dyDescent="0.3">
      <c r="B244" s="463">
        <v>45499</v>
      </c>
      <c r="C244" s="464" t="e">
        <f>SUMIF('[1]Receitas KIM '!$B$3:$B$569,'[1]Fluxo caixa KIM-BIG'!B208,'[1]Receitas KIM '!$H$3:$H$569)</f>
        <v>#VALUE!</v>
      </c>
      <c r="D244" s="464"/>
      <c r="E244" s="467"/>
      <c r="F244" s="466" t="e">
        <f>-SUMIFS([1]Despesas!$H$4:$H$1223,[1]Despesas!$M$4:$M$1223,'[1]Fluxo caixa KIM-BIG'!$H$2,[1]Despesas!$A$4:$A$1223,'[1]Fluxo caixa KIM-BIG'!B208)</f>
        <v>#VALUE!</v>
      </c>
      <c r="G244" s="466"/>
      <c r="H244" s="465"/>
      <c r="I244" s="462" t="e">
        <f t="shared" si="7"/>
        <v>#REF!</v>
      </c>
    </row>
    <row r="245" spans="2:9" x14ac:dyDescent="0.3">
      <c r="B245" s="463">
        <v>45502</v>
      </c>
      <c r="C245" s="464" t="e">
        <f>SUMIF('[1]Receitas KIM '!$B$3:$B$569,'[1]Fluxo caixa KIM-BIG'!B209,'[1]Receitas KIM '!$H$3:$H$569)</f>
        <v>#VALUE!</v>
      </c>
      <c r="D245" s="464"/>
      <c r="E245" s="467"/>
      <c r="F245" s="466" t="e">
        <f>-SUMIFS([1]Despesas!$H$4:$H$1223,[1]Despesas!$M$4:$M$1223,'[1]Fluxo caixa KIM-BIG'!$H$2,[1]Despesas!$A$4:$A$1223,'[1]Fluxo caixa KIM-BIG'!B209)</f>
        <v>#VALUE!</v>
      </c>
      <c r="G245" s="466"/>
      <c r="H245" s="465"/>
      <c r="I245" s="462" t="e">
        <f t="shared" si="7"/>
        <v>#REF!</v>
      </c>
    </row>
    <row r="246" spans="2:9" x14ac:dyDescent="0.3">
      <c r="B246" s="463">
        <v>45503</v>
      </c>
      <c r="C246" s="464" t="e">
        <f>SUMIF('[1]Receitas KIM '!$B$3:$B$569,'[1]Fluxo caixa KIM-BIG'!B210,'[1]Receitas KIM '!$H$3:$H$569)</f>
        <v>#VALUE!</v>
      </c>
      <c r="D246" s="464">
        <v>234328.49</v>
      </c>
      <c r="E246" s="467"/>
      <c r="F246" s="466" t="e">
        <f>-SUMIFS([1]Despesas!$H$4:$H$1223,[1]Despesas!$M$4:$M$1223,'[1]Fluxo caixa KIM-BIG'!$H$2,[1]Despesas!$A$4:$A$1223,'[1]Fluxo caixa KIM-BIG'!B210)</f>
        <v>#VALUE!</v>
      </c>
      <c r="G246" s="466">
        <v>-98979.57</v>
      </c>
      <c r="H246" s="465"/>
      <c r="I246" s="462" t="e">
        <f t="shared" si="7"/>
        <v>#REF!</v>
      </c>
    </row>
    <row r="247" spans="2:9" ht="15" thickBot="1" x14ac:dyDescent="0.35">
      <c r="B247" s="463">
        <v>45504</v>
      </c>
      <c r="C247" s="464" t="e">
        <f>SUMIF('[1]Receitas KIM '!$B$3:$B$569,'[1]Fluxo caixa KIM-BIG'!B211,'[1]Receitas KIM '!$H$3:$H$569)</f>
        <v>#VALUE!</v>
      </c>
      <c r="D247" s="464">
        <v>97913.279999999999</v>
      </c>
      <c r="E247" s="467"/>
      <c r="F247" s="466" t="e">
        <f>-SUMIFS([1]Despesas!$H$4:$H$1223,[1]Despesas!$M$4:$M$1223,'[1]Fluxo caixa KIM-BIG'!$H$2,[1]Despesas!$A$4:$A$1223,'[1]Fluxo caixa KIM-BIG'!B211)</f>
        <v>#VALUE!</v>
      </c>
      <c r="G247" s="466">
        <v>-4599.6499999999996</v>
      </c>
      <c r="H247" s="465"/>
      <c r="I247" s="462" t="e">
        <f t="shared" si="7"/>
        <v>#REF!</v>
      </c>
    </row>
    <row r="248" spans="2:9" ht="15" thickBot="1" x14ac:dyDescent="0.35">
      <c r="B248" s="469" t="s">
        <v>79</v>
      </c>
      <c r="C248" s="470" t="e">
        <f>SUM(C225:C247)</f>
        <v>#VALUE!</v>
      </c>
      <c r="D248" s="470"/>
      <c r="E248" s="471">
        <f>SUM(E225:E247)</f>
        <v>800000</v>
      </c>
      <c r="F248" s="472" t="e">
        <f>SUM(F225:F247)</f>
        <v>#VALUE!</v>
      </c>
      <c r="G248" s="472"/>
      <c r="H248" s="471">
        <f>SUM(H225:H244)</f>
        <v>0</v>
      </c>
      <c r="I248" s="473"/>
    </row>
    <row r="249" spans="2:9" x14ac:dyDescent="0.3">
      <c r="C249" s="475"/>
      <c r="D249" s="475"/>
      <c r="E249" s="476"/>
      <c r="F249" s="477"/>
      <c r="G249" s="477"/>
      <c r="H249" s="476"/>
      <c r="I249" s="478" t="e">
        <f>#REF!+#REF!</f>
        <v>#REF!</v>
      </c>
    </row>
    <row r="251" spans="2:9" ht="15" thickBot="1" x14ac:dyDescent="0.35"/>
    <row r="252" spans="2:9" ht="26.4" thickBot="1" x14ac:dyDescent="0.55000000000000004">
      <c r="B252" s="452" t="s">
        <v>730</v>
      </c>
      <c r="C252" s="453"/>
      <c r="D252" s="453"/>
      <c r="E252" s="453"/>
      <c r="F252" s="453"/>
      <c r="G252" s="453"/>
      <c r="H252" s="453"/>
      <c r="I252" s="453"/>
    </row>
    <row r="253" spans="2:9" ht="15" thickBot="1" x14ac:dyDescent="0.35">
      <c r="B253" s="516" t="s">
        <v>716</v>
      </c>
      <c r="C253" s="454"/>
      <c r="D253" s="454"/>
      <c r="E253" s="454"/>
      <c r="F253" s="454"/>
      <c r="G253" s="454"/>
      <c r="H253" s="454"/>
      <c r="I253" s="455"/>
    </row>
    <row r="254" spans="2:9" ht="15" thickBot="1" x14ac:dyDescent="0.35">
      <c r="B254" s="517"/>
      <c r="C254" s="456" t="s">
        <v>717</v>
      </c>
      <c r="D254" s="456" t="s">
        <v>718</v>
      </c>
      <c r="E254" s="457" t="s">
        <v>735</v>
      </c>
      <c r="F254" s="458" t="s">
        <v>719</v>
      </c>
      <c r="G254" s="458" t="s">
        <v>720</v>
      </c>
      <c r="H254" s="484" t="s">
        <v>736</v>
      </c>
      <c r="I254" s="459" t="s">
        <v>721</v>
      </c>
    </row>
    <row r="255" spans="2:9" x14ac:dyDescent="0.3">
      <c r="B255" s="461"/>
      <c r="C255" s="518"/>
      <c r="D255" s="518"/>
      <c r="E255" s="518"/>
      <c r="F255" s="518"/>
      <c r="G255" s="518"/>
      <c r="H255" s="519"/>
      <c r="I255" s="462" t="e">
        <f>I247</f>
        <v>#REF!</v>
      </c>
    </row>
    <row r="256" spans="2:9" x14ac:dyDescent="0.3">
      <c r="B256" s="463">
        <v>45505</v>
      </c>
      <c r="C256" s="464" t="e">
        <f>SUMIF('[1]Receitas KIM '!$B$3:$B$569,'[1]Fluxo caixa KIM-BIG'!B220,'[1]Receitas KIM '!$H$3:$H$569)</f>
        <v>#VALUE!</v>
      </c>
      <c r="D256" s="464">
        <v>22600.68</v>
      </c>
      <c r="E256" s="465"/>
      <c r="F256" s="466" t="e">
        <f>-SUMIFS([1]!Tabela4[Realizado],[1]!Tabela4[Vencimento],'[1]Fluxo caixa KIM-BIG'!B220,[1]!Tabela4[KIM/TACOM],'[1]Fluxo caixa KIM-BIG'!$H$2)</f>
        <v>#REF!</v>
      </c>
      <c r="G256" s="466"/>
      <c r="H256" s="467"/>
      <c r="I256" s="462" t="e">
        <f t="shared" ref="I256:I278" si="8">+I255+C256+E256+G256+H256+F256+D256</f>
        <v>#REF!</v>
      </c>
    </row>
    <row r="257" spans="2:9" x14ac:dyDescent="0.3">
      <c r="B257" s="463">
        <v>45506</v>
      </c>
      <c r="C257" s="464" t="e">
        <f>SUMIF('[1]Receitas KIM '!$B$3:$B$569,'[1]Fluxo caixa KIM-BIG'!B221,'[1]Receitas KIM '!$H$3:$H$569)</f>
        <v>#VALUE!</v>
      </c>
      <c r="D257" s="464"/>
      <c r="E257" s="467"/>
      <c r="F257" s="466" t="e">
        <f>-SUMIFS([1]!Tabela4[Realizado],[1]!Tabela4[Vencimento],'[1]Fluxo caixa KIM-BIG'!B221,[1]!Tabela4[KIM/TACOM],'[1]Fluxo caixa KIM-BIG'!$H$2)</f>
        <v>#REF!</v>
      </c>
      <c r="G257" s="466">
        <v>-2999.87</v>
      </c>
      <c r="H257" s="467"/>
      <c r="I257" s="462" t="e">
        <f t="shared" si="8"/>
        <v>#REF!</v>
      </c>
    </row>
    <row r="258" spans="2:9" x14ac:dyDescent="0.3">
      <c r="B258" s="463">
        <v>45509</v>
      </c>
      <c r="C258" s="464" t="e">
        <f>SUMIF('[1]Receitas KIM '!$B$3:$B$569,'[1]Fluxo caixa KIM-BIG'!B222,'[1]Receitas KIM '!$H$3:$H$569)</f>
        <v>#VALUE!</v>
      </c>
      <c r="D258" s="464">
        <v>1256.18</v>
      </c>
      <c r="E258" s="467"/>
      <c r="F258" s="466" t="e">
        <f>-SUMIFS([1]!Tabela4[Realizado],[1]!Tabela4[Vencimento],'[1]Fluxo caixa KIM-BIG'!B222,[1]!Tabela4[KIM/TACOM],'[1]Fluxo caixa KIM-BIG'!$H$2)</f>
        <v>#REF!</v>
      </c>
      <c r="G258" s="466"/>
      <c r="H258" s="467"/>
      <c r="I258" s="462" t="e">
        <f t="shared" si="8"/>
        <v>#REF!</v>
      </c>
    </row>
    <row r="259" spans="2:9" x14ac:dyDescent="0.3">
      <c r="B259" s="463">
        <v>45510</v>
      </c>
      <c r="C259" s="464" t="e">
        <f>SUMIF('[1]Receitas KIM '!$B$3:$B$569,'[1]Fluxo caixa KIM-BIG'!B223,'[1]Receitas KIM '!$H$3:$H$569)</f>
        <v>#VALUE!</v>
      </c>
      <c r="D259" s="464">
        <v>25129.54</v>
      </c>
      <c r="E259" s="467"/>
      <c r="F259" s="466" t="e">
        <f>-SUMIFS([1]!Tabela4[Realizado],[1]!Tabela4[Vencimento],'[1]Fluxo caixa KIM-BIG'!B223,[1]!Tabela4[KIM/TACOM],'[1]Fluxo caixa KIM-BIG'!$H$2)</f>
        <v>#REF!</v>
      </c>
      <c r="G259" s="466"/>
      <c r="H259" s="467"/>
      <c r="I259" s="462" t="e">
        <f t="shared" si="8"/>
        <v>#REF!</v>
      </c>
    </row>
    <row r="260" spans="2:9" x14ac:dyDescent="0.3">
      <c r="B260" s="463">
        <v>45511</v>
      </c>
      <c r="C260" s="464" t="e">
        <f>SUMIF('[1]Receitas KIM '!$B$3:$B$569,'[1]Fluxo caixa KIM-BIG'!B224,'[1]Receitas KIM '!$H$3:$H$569)</f>
        <v>#VALUE!</v>
      </c>
      <c r="D260" s="464">
        <v>37703.15</v>
      </c>
      <c r="E260" s="467"/>
      <c r="F260" s="466" t="e">
        <f>-SUMIFS([1]!Tabela4[Realizado],[1]!Tabela4[Vencimento],'[1]Fluxo caixa KIM-BIG'!B224,[1]!Tabela4[KIM/TACOM],'[1]Fluxo caixa KIM-BIG'!$H$2)</f>
        <v>#REF!</v>
      </c>
      <c r="G260" s="466"/>
      <c r="H260" s="467"/>
      <c r="I260" s="462" t="e">
        <f t="shared" si="8"/>
        <v>#REF!</v>
      </c>
    </row>
    <row r="261" spans="2:9" x14ac:dyDescent="0.3">
      <c r="B261" s="463">
        <v>45512</v>
      </c>
      <c r="C261" s="464" t="e">
        <f>SUMIF('[1]Receitas KIM '!$B$3:$B$569,'[1]Fluxo caixa KIM-BIG'!B225,'[1]Receitas KIM '!$H$3:$H$569)</f>
        <v>#VALUE!</v>
      </c>
      <c r="D261" s="464">
        <v>12570.67</v>
      </c>
      <c r="E261" s="467"/>
      <c r="F261" s="466" t="e">
        <f>-SUMIFS([1]!Tabela4[Realizado],[1]!Tabela4[Vencimento],'[1]Fluxo caixa KIM-BIG'!B225,[1]!Tabela4[KIM/TACOM],'[1]Fluxo caixa KIM-BIG'!$H$2)</f>
        <v>#REF!</v>
      </c>
      <c r="G261" s="466"/>
      <c r="H261" s="467"/>
      <c r="I261" s="462" t="e">
        <f t="shared" si="8"/>
        <v>#REF!</v>
      </c>
    </row>
    <row r="262" spans="2:9" x14ac:dyDescent="0.3">
      <c r="B262" s="463">
        <v>45513</v>
      </c>
      <c r="C262" s="464" t="e">
        <f>SUMIF('[1]Receitas KIM '!$B$3:$B$569,'[1]Fluxo caixa KIM-BIG'!B226,'[1]Receitas KIM '!$H$3:$H$569)</f>
        <v>#VALUE!</v>
      </c>
      <c r="D262" s="464">
        <v>12573.62</v>
      </c>
      <c r="E262" s="467"/>
      <c r="F262" s="466" t="e">
        <f>-SUMIFS([1]!Tabela4[Realizado],[1]!Tabela4[Vencimento],'[1]Fluxo caixa KIM-BIG'!B226,[1]!Tabela4[KIM/TACOM],'[1]Fluxo caixa KIM-BIG'!$H$2)</f>
        <v>#REF!</v>
      </c>
      <c r="G262" s="466">
        <v>-863.59</v>
      </c>
      <c r="H262" s="467"/>
      <c r="I262" s="462" t="e">
        <f t="shared" si="8"/>
        <v>#REF!</v>
      </c>
    </row>
    <row r="263" spans="2:9" x14ac:dyDescent="0.3">
      <c r="B263" s="463">
        <v>45516</v>
      </c>
      <c r="C263" s="464" t="e">
        <f>SUMIF('[1]Receitas KIM '!$B$3:$B$569,'[1]Fluxo caixa KIM-BIG'!B227,'[1]Receitas KIM '!$H$3:$H$569)</f>
        <v>#VALUE!</v>
      </c>
      <c r="D263" s="464">
        <v>382885.14</v>
      </c>
      <c r="E263" s="467">
        <v>250000</v>
      </c>
      <c r="F263" s="466" t="e">
        <f>-SUMIFS([1]!Tabela4[Realizado],[1]!Tabela4[Vencimento],'[1]Fluxo caixa KIM-BIG'!B227,[1]!Tabela4[KIM/TACOM],'[1]Fluxo caixa KIM-BIG'!$H$2)</f>
        <v>#REF!</v>
      </c>
      <c r="G263" s="466">
        <v>-260971.07</v>
      </c>
      <c r="H263" s="467"/>
      <c r="I263" s="462" t="e">
        <f t="shared" si="8"/>
        <v>#REF!</v>
      </c>
    </row>
    <row r="264" spans="2:9" x14ac:dyDescent="0.3">
      <c r="B264" s="463">
        <v>45517</v>
      </c>
      <c r="C264" s="464" t="e">
        <f>SUMIF('[1]Receitas KIM '!$B$3:$B$569,'[1]Fluxo caixa KIM-BIG'!B228,'[1]Receitas KIM '!$H$3:$H$569)</f>
        <v>#VALUE!</v>
      </c>
      <c r="D264" s="464"/>
      <c r="E264" s="467"/>
      <c r="F264" s="466" t="e">
        <f>-SUMIFS([1]!Tabela4[Realizado],[1]!Tabela4[Vencimento],'[1]Fluxo caixa KIM-BIG'!B228,[1]!Tabela4[KIM/TACOM],'[1]Fluxo caixa KIM-BIG'!$H$2)</f>
        <v>#REF!</v>
      </c>
      <c r="G264" s="466"/>
      <c r="H264" s="467"/>
      <c r="I264" s="462" t="e">
        <f t="shared" si="8"/>
        <v>#REF!</v>
      </c>
    </row>
    <row r="265" spans="2:9" x14ac:dyDescent="0.3">
      <c r="B265" s="463">
        <v>45518</v>
      </c>
      <c r="C265" s="464" t="e">
        <f>SUMIF('[1]Receitas KIM '!$B$3:$B$569,'[1]Fluxo caixa KIM-BIG'!B229,'[1]Receitas KIM '!$H$3:$H$569)</f>
        <v>#VALUE!</v>
      </c>
      <c r="D265" s="464">
        <v>2611.46</v>
      </c>
      <c r="E265" s="467"/>
      <c r="F265" s="466" t="e">
        <f>-SUMIFS([1]!Tabela4[Realizado],[1]!Tabela4[Vencimento],'[1]Fluxo caixa KIM-BIG'!B229,[1]!Tabela4[KIM/TACOM],'[1]Fluxo caixa KIM-BIG'!$H$2)</f>
        <v>#REF!</v>
      </c>
      <c r="G265" s="466">
        <v>-999.53</v>
      </c>
      <c r="H265" s="465"/>
      <c r="I265" s="462" t="e">
        <f t="shared" si="8"/>
        <v>#REF!</v>
      </c>
    </row>
    <row r="266" spans="2:9" x14ac:dyDescent="0.3">
      <c r="B266" s="463">
        <v>45519</v>
      </c>
      <c r="C266" s="464" t="e">
        <f>SUMIF('[1]Receitas KIM '!$B$3:$B$569,'[1]Fluxo caixa KIM-BIG'!B230,'[1]Receitas KIM '!$H$3:$H$569)</f>
        <v>#VALUE!</v>
      </c>
      <c r="D266" s="464"/>
      <c r="E266" s="467"/>
      <c r="F266" s="466" t="e">
        <f>-SUMIFS([1]!Tabela4[Realizado],[1]!Tabela4[Vencimento],'[1]Fluxo caixa KIM-BIG'!B230,[1]!Tabela4[KIM/TACOM],'[1]Fluxo caixa KIM-BIG'!$H$2)</f>
        <v>#REF!</v>
      </c>
      <c r="G266" s="466"/>
      <c r="H266" s="465"/>
      <c r="I266" s="462" t="e">
        <f t="shared" si="8"/>
        <v>#REF!</v>
      </c>
    </row>
    <row r="267" spans="2:9" x14ac:dyDescent="0.3">
      <c r="B267" s="463">
        <v>45520</v>
      </c>
      <c r="C267" s="464" t="e">
        <f>SUMIF('[1]Receitas KIM '!$B$3:$B$569,'[1]Fluxo caixa KIM-BIG'!B231,'[1]Receitas KIM '!$H$3:$H$569)</f>
        <v>#VALUE!</v>
      </c>
      <c r="D267" s="464"/>
      <c r="E267" s="467"/>
      <c r="F267" s="466" t="e">
        <f>-SUMIFS([1]!Tabela4[Realizado],[1]!Tabela4[Vencimento],'[1]Fluxo caixa KIM-BIG'!B231,[1]!Tabela4[KIM/TACOM],'[1]Fluxo caixa KIM-BIG'!$H$2)</f>
        <v>#REF!</v>
      </c>
      <c r="G267" s="466">
        <v>-3999.78</v>
      </c>
      <c r="H267" s="465"/>
      <c r="I267" s="462" t="e">
        <f t="shared" si="8"/>
        <v>#REF!</v>
      </c>
    </row>
    <row r="268" spans="2:9" x14ac:dyDescent="0.3">
      <c r="B268" s="463">
        <v>45523</v>
      </c>
      <c r="C268" s="464" t="e">
        <f>SUMIF('[1]Receitas KIM '!$B$3:$B$569,'[1]Fluxo caixa KIM-BIG'!B232,'[1]Receitas KIM '!$H$3:$H$569)</f>
        <v>#VALUE!</v>
      </c>
      <c r="D268" s="464"/>
      <c r="E268" s="467"/>
      <c r="F268" s="466" t="e">
        <f>-SUMIFS([1]!Tabela4[Realizado],[1]!Tabela4[Vencimento],'[1]Fluxo caixa KIM-BIG'!B232,[1]!Tabela4[KIM/TACOM],'[1]Fluxo caixa KIM-BIG'!$H$2)</f>
        <v>#REF!</v>
      </c>
      <c r="G268" s="466"/>
      <c r="H268" s="465"/>
      <c r="I268" s="462" t="e">
        <f t="shared" si="8"/>
        <v>#REF!</v>
      </c>
    </row>
    <row r="269" spans="2:9" x14ac:dyDescent="0.3">
      <c r="B269" s="463">
        <v>45524</v>
      </c>
      <c r="C269" s="464" t="e">
        <f>SUMIF('[1]Receitas KIM '!$B$3:$B$569,'[1]Fluxo caixa KIM-BIG'!B233,'[1]Receitas KIM '!$H$3:$H$569)</f>
        <v>#VALUE!</v>
      </c>
      <c r="D269" s="464"/>
      <c r="E269" s="467">
        <v>350000</v>
      </c>
      <c r="F269" s="466" t="e">
        <f>-SUMIFS([1]!Tabela4[Realizado],[1]!Tabela4[Vencimento],'[1]Fluxo caixa KIM-BIG'!B233,[1]!Tabela4[KIM/TACOM],'[1]Fluxo caixa KIM-BIG'!$H$2)</f>
        <v>#REF!</v>
      </c>
      <c r="G269" s="482">
        <v>-245995</v>
      </c>
      <c r="H269" s="465"/>
      <c r="I269" s="462" t="e">
        <f t="shared" si="8"/>
        <v>#REF!</v>
      </c>
    </row>
    <row r="270" spans="2:9" x14ac:dyDescent="0.3">
      <c r="B270" s="463">
        <v>45525</v>
      </c>
      <c r="C270" s="464" t="e">
        <f>SUMIF('[1]Receitas KIM '!$B$3:$B$569,'[1]Fluxo caixa KIM-BIG'!B234,'[1]Receitas KIM '!$H$3:$H$569)</f>
        <v>#VALUE!</v>
      </c>
      <c r="D270" s="464"/>
      <c r="E270" s="465"/>
      <c r="F270" s="466" t="e">
        <f>-SUMIFS([1]!Tabela4[Realizado],[1]!Tabela4[Vencimento],'[1]Fluxo caixa KIM-BIG'!B234,[1]!Tabela4[KIM/TACOM],'[1]Fluxo caixa KIM-BIG'!$H$2)</f>
        <v>#REF!</v>
      </c>
      <c r="G270" s="466"/>
      <c r="H270" s="465"/>
      <c r="I270" s="462" t="e">
        <f t="shared" si="8"/>
        <v>#REF!</v>
      </c>
    </row>
    <row r="271" spans="2:9" x14ac:dyDescent="0.3">
      <c r="B271" s="463">
        <v>45526</v>
      </c>
      <c r="C271" s="464" t="e">
        <f>SUMIF('[1]Receitas KIM '!$B$3:$B$569,'[1]Fluxo caixa KIM-BIG'!B235,'[1]Receitas KIM '!$H$3:$H$569)</f>
        <v>#VALUE!</v>
      </c>
      <c r="D271" s="464"/>
      <c r="E271" s="465"/>
      <c r="F271" s="466" t="e">
        <f>-SUMIFS([1]!Tabela4[Realizado],[1]!Tabela4[Vencimento],'[1]Fluxo caixa KIM-BIG'!B235,[1]!Tabela4[KIM/TACOM],'[1]Fluxo caixa KIM-BIG'!$H$2)</f>
        <v>#REF!</v>
      </c>
      <c r="G271" s="466"/>
      <c r="H271" s="465"/>
      <c r="I271" s="462" t="e">
        <f t="shared" si="8"/>
        <v>#REF!</v>
      </c>
    </row>
    <row r="272" spans="2:9" x14ac:dyDescent="0.3">
      <c r="B272" s="463">
        <v>45527</v>
      </c>
      <c r="C272" s="464" t="e">
        <f>SUMIF('[1]Receitas KIM '!$B$3:$B$569,'[1]Fluxo caixa KIM-BIG'!B236,'[1]Receitas KIM '!$H$3:$H$569)</f>
        <v>#VALUE!</v>
      </c>
      <c r="D272" s="464">
        <v>105809.04</v>
      </c>
      <c r="E272" s="467"/>
      <c r="F272" s="466" t="e">
        <f>-SUMIFS([1]!Tabela4[Realizado],[1]!Tabela4[Vencimento],'[1]Fluxo caixa KIM-BIG'!B236,[1]!Tabela4[KIM/TACOM],'[1]Fluxo caixa KIM-BIG'!$H$2)</f>
        <v>#REF!</v>
      </c>
      <c r="G272" s="466"/>
      <c r="H272" s="465"/>
      <c r="I272" s="462" t="e">
        <f t="shared" si="8"/>
        <v>#REF!</v>
      </c>
    </row>
    <row r="273" spans="2:9" x14ac:dyDescent="0.3">
      <c r="B273" s="463">
        <v>45530</v>
      </c>
      <c r="C273" s="464" t="e">
        <f>SUMIF('[1]Receitas KIM '!$B$3:$B$569,'[1]Fluxo caixa KIM-BIG'!B237,'[1]Receitas KIM '!$H$3:$H$569)</f>
        <v>#VALUE!</v>
      </c>
      <c r="D273" s="464"/>
      <c r="E273" s="467"/>
      <c r="F273" s="466" t="e">
        <f>-SUMIFS([1]!Tabela4[Realizado],[1]!Tabela4[Vencimento],'[1]Fluxo caixa KIM-BIG'!B237,[1]!Tabela4[KIM/TACOM],'[1]Fluxo caixa KIM-BIG'!$H$2)</f>
        <v>#REF!</v>
      </c>
      <c r="G273" s="466"/>
      <c r="H273" s="465"/>
      <c r="I273" s="462" t="e">
        <f t="shared" si="8"/>
        <v>#REF!</v>
      </c>
    </row>
    <row r="274" spans="2:9" x14ac:dyDescent="0.3">
      <c r="B274" s="463">
        <v>45531</v>
      </c>
      <c r="C274" s="464" t="e">
        <f>SUMIF('[1]Receitas KIM '!$B$3:$B$569,'[1]Fluxo caixa KIM-BIG'!B238,'[1]Receitas KIM '!$H$3:$H$569)</f>
        <v>#VALUE!</v>
      </c>
      <c r="D274" s="464"/>
      <c r="E274" s="467"/>
      <c r="F274" s="466" t="e">
        <f>-SUMIFS([1]!Tabela4[Realizado],[1]!Tabela4[Vencimento],'[1]Fluxo caixa KIM-BIG'!B238,[1]!Tabela4[KIM/TACOM],'[1]Fluxo caixa KIM-BIG'!$H$2)</f>
        <v>#REF!</v>
      </c>
      <c r="G274" s="466"/>
      <c r="H274" s="465"/>
      <c r="I274" s="462" t="e">
        <f t="shared" si="8"/>
        <v>#REF!</v>
      </c>
    </row>
    <row r="275" spans="2:9" x14ac:dyDescent="0.3">
      <c r="B275" s="463">
        <v>45532</v>
      </c>
      <c r="C275" s="464" t="e">
        <f>SUMIF('[1]Receitas KIM '!$B$3:$B$569,'[1]Fluxo caixa KIM-BIG'!B239,'[1]Receitas KIM '!$H$3:$H$569)</f>
        <v>#VALUE!</v>
      </c>
      <c r="D275" s="464"/>
      <c r="E275" s="467"/>
      <c r="F275" s="466" t="e">
        <f>-SUMIFS([1]!Tabela4[Realizado],[1]!Tabela4[Vencimento],'[1]Fluxo caixa KIM-BIG'!B239,[1]!Tabela4[KIM/TACOM],'[1]Fluxo caixa KIM-BIG'!$H$2)</f>
        <v>#REF!</v>
      </c>
      <c r="G275" s="466"/>
      <c r="H275" s="465"/>
      <c r="I275" s="462" t="e">
        <f t="shared" si="8"/>
        <v>#REF!</v>
      </c>
    </row>
    <row r="276" spans="2:9" x14ac:dyDescent="0.3">
      <c r="B276" s="463">
        <v>45533</v>
      </c>
      <c r="C276" s="464" t="e">
        <f>SUMIF('[1]Receitas KIM '!$B$3:$B$569,'[1]Fluxo caixa KIM-BIG'!B240,'[1]Receitas KIM '!$H$3:$H$569)</f>
        <v>#VALUE!</v>
      </c>
      <c r="D276" s="464">
        <v>4008.23</v>
      </c>
      <c r="E276" s="467"/>
      <c r="F276" s="466" t="e">
        <f>-SUMIFS([1]!Tabela4[Realizado],[1]!Tabela4[Vencimento],'[1]Fluxo caixa KIM-BIG'!B240,[1]!Tabela4[KIM/TACOM],'[1]Fluxo caixa KIM-BIG'!$H$2)</f>
        <v>#REF!</v>
      </c>
      <c r="G276" s="466"/>
      <c r="H276" s="465"/>
      <c r="I276" s="462" t="e">
        <f t="shared" si="8"/>
        <v>#REF!</v>
      </c>
    </row>
    <row r="277" spans="2:9" x14ac:dyDescent="0.3">
      <c r="B277" s="463">
        <v>45534</v>
      </c>
      <c r="C277" s="464" t="e">
        <f>SUMIF('[1]Receitas KIM '!$B$3:$B$569,'[1]Fluxo caixa KIM-BIG'!B241,'[1]Receitas KIM '!$H$3:$H$569)</f>
        <v>#VALUE!</v>
      </c>
      <c r="D277" s="464">
        <v>29741.62</v>
      </c>
      <c r="E277" s="467"/>
      <c r="F277" s="466" t="e">
        <f>-SUMIFS([1]!Tabela4[Realizado],[1]!Tabela4[Vencimento],'[1]Fluxo caixa KIM-BIG'!B241,[1]!Tabela4[KIM/TACOM],'[1]Fluxo caixa KIM-BIG'!$H$2)</f>
        <v>#REF!</v>
      </c>
      <c r="G277" s="466"/>
      <c r="H277" s="465"/>
      <c r="I277" s="462" t="e">
        <f t="shared" si="8"/>
        <v>#REF!</v>
      </c>
    </row>
    <row r="278" spans="2:9" ht="15" thickBot="1" x14ac:dyDescent="0.35">
      <c r="B278" s="463"/>
      <c r="C278" s="464" t="e">
        <f>SUMIF('[1]Receitas KIM '!$B$3:$B$569,'[1]Fluxo caixa KIM-BIG'!B242,'[1]Receitas KIM '!$H$3:$H$569)</f>
        <v>#VALUE!</v>
      </c>
      <c r="D278" s="464"/>
      <c r="E278" s="467"/>
      <c r="F278" s="466" t="e">
        <f>-SUMIFS([1]!Tabela4[Realizado],[1]!Tabela4[Vencimento],'[1]Fluxo caixa KIM-BIG'!B242,[1]!Tabela4[KIM/TACOM],'[1]Fluxo caixa KIM-BIG'!$H$2)</f>
        <v>#REF!</v>
      </c>
      <c r="G278" s="466"/>
      <c r="H278" s="465"/>
      <c r="I278" s="462" t="e">
        <f t="shared" si="8"/>
        <v>#REF!</v>
      </c>
    </row>
    <row r="279" spans="2:9" ht="15" thickBot="1" x14ac:dyDescent="0.35">
      <c r="B279" s="469" t="s">
        <v>79</v>
      </c>
      <c r="C279" s="470"/>
      <c r="D279" s="470"/>
      <c r="E279" s="471">
        <f>SUM(E256:E278)</f>
        <v>600000</v>
      </c>
      <c r="F279" s="472" t="e">
        <f>SUM(F256:F278)</f>
        <v>#REF!</v>
      </c>
      <c r="G279" s="472"/>
      <c r="H279" s="471">
        <f>SUM(H256:H275)</f>
        <v>0</v>
      </c>
      <c r="I279" s="473"/>
    </row>
    <row r="280" spans="2:9" x14ac:dyDescent="0.3">
      <c r="C280" s="475"/>
      <c r="D280" s="475"/>
      <c r="E280" s="476"/>
      <c r="F280" s="477"/>
      <c r="G280" s="477"/>
      <c r="H280" s="476"/>
      <c r="I280" s="478" t="e">
        <f>#REF!+#REF!</f>
        <v>#REF!</v>
      </c>
    </row>
    <row r="281" spans="2:9" ht="15" thickBot="1" x14ac:dyDescent="0.35"/>
    <row r="282" spans="2:9" ht="26.4" thickBot="1" x14ac:dyDescent="0.55000000000000004">
      <c r="B282" s="452" t="s">
        <v>731</v>
      </c>
      <c r="C282" s="453"/>
      <c r="D282" s="453"/>
      <c r="E282" s="453"/>
      <c r="F282" s="453"/>
      <c r="G282" s="453"/>
      <c r="H282" s="453"/>
      <c r="I282" s="453"/>
    </row>
    <row r="283" spans="2:9" ht="15" thickBot="1" x14ac:dyDescent="0.35">
      <c r="B283" s="516" t="s">
        <v>716</v>
      </c>
      <c r="C283" s="454"/>
      <c r="D283" s="454"/>
      <c r="E283" s="454"/>
      <c r="F283" s="454"/>
      <c r="G283" s="454"/>
      <c r="H283" s="454"/>
      <c r="I283" s="455"/>
    </row>
    <row r="284" spans="2:9" ht="15" thickBot="1" x14ac:dyDescent="0.35">
      <c r="B284" s="517"/>
      <c r="C284" s="456" t="s">
        <v>717</v>
      </c>
      <c r="D284" s="456" t="s">
        <v>718</v>
      </c>
      <c r="E284" s="457" t="s">
        <v>735</v>
      </c>
      <c r="F284" s="458" t="s">
        <v>719</v>
      </c>
      <c r="G284" s="458" t="s">
        <v>720</v>
      </c>
      <c r="H284" s="484" t="s">
        <v>736</v>
      </c>
      <c r="I284" s="459" t="s">
        <v>721</v>
      </c>
    </row>
    <row r="285" spans="2:9" x14ac:dyDescent="0.3">
      <c r="B285" s="461"/>
      <c r="C285" s="518"/>
      <c r="D285" s="518"/>
      <c r="E285" s="518"/>
      <c r="F285" s="518"/>
      <c r="G285" s="518"/>
      <c r="H285" s="519"/>
      <c r="I285" s="462" t="e">
        <f>I277</f>
        <v>#REF!</v>
      </c>
    </row>
    <row r="286" spans="2:9" x14ac:dyDescent="0.3">
      <c r="B286" s="463">
        <v>45537</v>
      </c>
      <c r="C286" s="464" t="e">
        <f>SUMIF('[1]Receitas KIM '!$B$3:$B$569,'[1]Fluxo caixa KIM-BIG'!B250,'[1]Receitas KIM '!$H$3:$H$569)</f>
        <v>#VALUE!</v>
      </c>
      <c r="D286" s="464"/>
      <c r="E286" s="465"/>
      <c r="F286" s="466" t="e">
        <f>-SUMIFS([1]!Tabela4[Realizado],[1]!Tabela4[Vencimento],'[1]Fluxo caixa KIM-BIG'!B250,[1]!Tabela4[KIM/TACOM],'[1]Fluxo caixa KIM-BIG'!$H$2)</f>
        <v>#REF!</v>
      </c>
      <c r="G286" s="466"/>
      <c r="H286" s="467"/>
      <c r="I286" s="462" t="e">
        <f t="shared" ref="I286:I308" si="9">+I285+C286+E286+G286+H286+F286+D286</f>
        <v>#REF!</v>
      </c>
    </row>
    <row r="287" spans="2:9" x14ac:dyDescent="0.3">
      <c r="B287" s="463">
        <v>45538</v>
      </c>
      <c r="C287" s="464" t="e">
        <f>SUMIF('[1]Receitas KIM '!$B$3:$B$569,'[1]Fluxo caixa KIM-BIG'!B251,'[1]Receitas KIM '!$H$3:$H$569)</f>
        <v>#VALUE!</v>
      </c>
      <c r="D287" s="464"/>
      <c r="E287" s="467"/>
      <c r="F287" s="466" t="e">
        <f>-SUMIFS([1]!Tabela4[Realizado],[1]!Tabela4[Vencimento],'[1]Fluxo caixa KIM-BIG'!B251,[1]!Tabela4[KIM/TACOM],'[1]Fluxo caixa KIM-BIG'!$H$2)</f>
        <v>#REF!</v>
      </c>
      <c r="G287" s="466">
        <v>-13499.82</v>
      </c>
      <c r="H287" s="467"/>
      <c r="I287" s="462" t="e">
        <f t="shared" si="9"/>
        <v>#REF!</v>
      </c>
    </row>
    <row r="288" spans="2:9" x14ac:dyDescent="0.3">
      <c r="B288" s="463">
        <v>45539</v>
      </c>
      <c r="C288" s="464" t="e">
        <f>SUMIF('[1]Receitas KIM '!$B$3:$B$569,'[1]Fluxo caixa KIM-BIG'!B252,'[1]Receitas KIM '!$H$3:$H$569)</f>
        <v>#VALUE!</v>
      </c>
      <c r="D288" s="464"/>
      <c r="E288" s="467"/>
      <c r="F288" s="466" t="e">
        <f>-SUMIFS([1]!Tabela4[Realizado],[1]!Tabela4[Vencimento],'[1]Fluxo caixa KIM-BIG'!B252,[1]!Tabela4[KIM/TACOM],'[1]Fluxo caixa KIM-BIG'!$H$2)</f>
        <v>#REF!</v>
      </c>
      <c r="G288" s="466"/>
      <c r="H288" s="467"/>
      <c r="I288" s="462" t="e">
        <f t="shared" si="9"/>
        <v>#REF!</v>
      </c>
    </row>
    <row r="289" spans="2:9" x14ac:dyDescent="0.3">
      <c r="B289" s="463">
        <v>45540</v>
      </c>
      <c r="C289" s="464" t="e">
        <f>SUMIF('[1]Receitas KIM '!$B$3:$B$569,'[1]Fluxo caixa KIM-BIG'!B253,'[1]Receitas KIM '!$H$3:$H$569)</f>
        <v>#VALUE!</v>
      </c>
      <c r="D289" s="464">
        <v>1003.29</v>
      </c>
      <c r="E289" s="467"/>
      <c r="F289" s="466" t="e">
        <f>-SUMIFS([1]!Tabela4[Realizado],[1]!Tabela4[Vencimento],'[1]Fluxo caixa KIM-BIG'!B253,[1]!Tabela4[KIM/TACOM],'[1]Fluxo caixa KIM-BIG'!$H$2)</f>
        <v>#REF!</v>
      </c>
      <c r="G289" s="466">
        <v>-2489.77</v>
      </c>
      <c r="H289" s="467"/>
      <c r="I289" s="462" t="e">
        <f t="shared" si="9"/>
        <v>#REF!</v>
      </c>
    </row>
    <row r="290" spans="2:9" x14ac:dyDescent="0.3">
      <c r="B290" s="463">
        <v>45541</v>
      </c>
      <c r="C290" s="464" t="e">
        <f>SUMIF('[1]Receitas KIM '!$B$3:$B$569,'[1]Fluxo caixa KIM-BIG'!B254,'[1]Receitas KIM '!$H$3:$H$569)</f>
        <v>#VALUE!</v>
      </c>
      <c r="D290" s="464">
        <v>87959.679999999993</v>
      </c>
      <c r="E290" s="467"/>
      <c r="F290" s="466" t="e">
        <f>-SUMIFS([1]!Tabela4[Realizado],[1]!Tabela4[Vencimento],'[1]Fluxo caixa KIM-BIG'!B254,[1]!Tabela4[KIM/TACOM],'[1]Fluxo caixa KIM-BIG'!$H$2)</f>
        <v>#REF!</v>
      </c>
      <c r="G290" s="466"/>
      <c r="H290" s="467"/>
      <c r="I290" s="462" t="e">
        <f t="shared" si="9"/>
        <v>#REF!</v>
      </c>
    </row>
    <row r="291" spans="2:9" x14ac:dyDescent="0.3">
      <c r="B291" s="463">
        <v>45544</v>
      </c>
      <c r="C291" s="464" t="e">
        <f>SUMIF('[1]Receitas KIM '!$B$3:$B$569,'[1]Fluxo caixa KIM-BIG'!B255,'[1]Receitas KIM '!$H$3:$H$569)</f>
        <v>#VALUE!</v>
      </c>
      <c r="D291" s="464">
        <v>13119.92</v>
      </c>
      <c r="E291" s="467"/>
      <c r="F291" s="466" t="e">
        <f>-SUMIFS([1]!Tabela4[Realizado],[1]!Tabela4[Vencimento],'[1]Fluxo caixa KIM-BIG'!B255,[1]!Tabela4[KIM/TACOM],'[1]Fluxo caixa KIM-BIG'!$H$2)</f>
        <v>#REF!</v>
      </c>
      <c r="G291" s="466"/>
      <c r="H291" s="467"/>
      <c r="I291" s="462" t="e">
        <f t="shared" si="9"/>
        <v>#REF!</v>
      </c>
    </row>
    <row r="292" spans="2:9" x14ac:dyDescent="0.3">
      <c r="B292" s="463">
        <v>45545</v>
      </c>
      <c r="C292" s="464" t="e">
        <f>SUMIF('[1]Receitas KIM '!$B$3:$B$569,'[1]Fluxo caixa KIM-BIG'!B256,'[1]Receitas KIM '!$H$3:$H$569)</f>
        <v>#VALUE!</v>
      </c>
      <c r="D292" s="464">
        <v>546369.46</v>
      </c>
      <c r="E292" s="467">
        <v>400000</v>
      </c>
      <c r="F292" s="466" t="e">
        <f>-SUMIFS([1]!Tabela4[Realizado],[1]!Tabela4[Vencimento],'[1]Fluxo caixa KIM-BIG'!B256,[1]!Tabela4[KIM/TACOM],'[1]Fluxo caixa KIM-BIG'!$H$2)</f>
        <v>#REF!</v>
      </c>
      <c r="G292" s="466">
        <v>-373951.33</v>
      </c>
      <c r="H292" s="467"/>
      <c r="I292" s="462" t="e">
        <f t="shared" si="9"/>
        <v>#REF!</v>
      </c>
    </row>
    <row r="293" spans="2:9" x14ac:dyDescent="0.3">
      <c r="B293" s="463">
        <v>45546</v>
      </c>
      <c r="C293" s="464" t="e">
        <f>SUMIF('[1]Receitas KIM '!$B$3:$B$569,'[1]Fluxo caixa KIM-BIG'!B257,'[1]Receitas KIM '!$H$3:$H$569)</f>
        <v>#VALUE!</v>
      </c>
      <c r="D293" s="464"/>
      <c r="E293" s="467"/>
      <c r="F293" s="466" t="e">
        <f>-SUMIFS([1]!Tabela4[Realizado],[1]!Tabela4[Vencimento],'[1]Fluxo caixa KIM-BIG'!B257,[1]!Tabela4[KIM/TACOM],'[1]Fluxo caixa KIM-BIG'!$H$2)</f>
        <v>#REF!</v>
      </c>
      <c r="G293" s="466">
        <v>-261993.94</v>
      </c>
      <c r="H293" s="467"/>
      <c r="I293" s="462" t="e">
        <f t="shared" si="9"/>
        <v>#REF!</v>
      </c>
    </row>
    <row r="294" spans="2:9" x14ac:dyDescent="0.3">
      <c r="B294" s="463">
        <v>45547</v>
      </c>
      <c r="C294" s="464" t="e">
        <f>SUMIF('[1]Receitas KIM '!$B$3:$B$569,'[1]Fluxo caixa KIM-BIG'!B258,'[1]Receitas KIM '!$H$3:$H$569)</f>
        <v>#VALUE!</v>
      </c>
      <c r="D294" s="464"/>
      <c r="E294" s="467"/>
      <c r="F294" s="466" t="e">
        <f>-SUMIFS([1]!Tabela4[Realizado],[1]!Tabela4[Vencimento],'[1]Fluxo caixa KIM-BIG'!B258,[1]!Tabela4[KIM/TACOM],'[1]Fluxo caixa KIM-BIG'!$H$2)</f>
        <v>#REF!</v>
      </c>
      <c r="G294" s="466"/>
      <c r="H294" s="467"/>
      <c r="I294" s="462" t="e">
        <f t="shared" si="9"/>
        <v>#REF!</v>
      </c>
    </row>
    <row r="295" spans="2:9" x14ac:dyDescent="0.3">
      <c r="B295" s="463">
        <v>45548</v>
      </c>
      <c r="C295" s="464" t="e">
        <f>SUMIF('[1]Receitas KIM '!$B$3:$B$569,'[1]Fluxo caixa KIM-BIG'!B259,'[1]Receitas KIM '!$H$3:$H$569)</f>
        <v>#VALUE!</v>
      </c>
      <c r="D295" s="464"/>
      <c r="E295" s="467"/>
      <c r="F295" s="466" t="e">
        <f>-SUMIFS([1]!Tabela4[Realizado],[1]!Tabela4[Vencimento],'[1]Fluxo caixa KIM-BIG'!B259,[1]!Tabela4[KIM/TACOM],'[1]Fluxo caixa KIM-BIG'!$H$2)</f>
        <v>#REF!</v>
      </c>
      <c r="G295" s="466">
        <v>-216989.11</v>
      </c>
      <c r="H295" s="465"/>
      <c r="I295" s="462" t="e">
        <f t="shared" si="9"/>
        <v>#REF!</v>
      </c>
    </row>
    <row r="296" spans="2:9" x14ac:dyDescent="0.3">
      <c r="B296" s="463">
        <v>45551</v>
      </c>
      <c r="C296" s="464" t="e">
        <f>SUMIF('[1]Receitas KIM '!$B$3:$B$569,'[1]Fluxo caixa KIM-BIG'!B260,'[1]Receitas KIM '!$H$3:$H$569)</f>
        <v>#VALUE!</v>
      </c>
      <c r="D296" s="464">
        <v>10155.49</v>
      </c>
      <c r="E296" s="467"/>
      <c r="F296" s="466" t="e">
        <f>-SUMIFS([1]!Tabela4[Realizado],[1]!Tabela4[Vencimento],'[1]Fluxo caixa KIM-BIG'!B260,[1]!Tabela4[KIM/TACOM],'[1]Fluxo caixa KIM-BIG'!$H$2)</f>
        <v>#REF!</v>
      </c>
      <c r="G296" s="466"/>
      <c r="H296" s="465"/>
      <c r="I296" s="462" t="e">
        <f t="shared" si="9"/>
        <v>#REF!</v>
      </c>
    </row>
    <row r="297" spans="2:9" x14ac:dyDescent="0.3">
      <c r="B297" s="463">
        <v>45552</v>
      </c>
      <c r="C297" s="464" t="e">
        <f>SUMIF('[1]Receitas KIM '!$B$3:$B$569,'[1]Fluxo caixa KIM-BIG'!B261,'[1]Receitas KIM '!$H$3:$H$569)</f>
        <v>#VALUE!</v>
      </c>
      <c r="D297" s="464"/>
      <c r="E297" s="467"/>
      <c r="F297" s="466" t="e">
        <f>-SUMIFS([1]!Tabela4[Realizado],[1]!Tabela4[Vencimento],'[1]Fluxo caixa KIM-BIG'!B261,[1]!Tabela4[KIM/TACOM],'[1]Fluxo caixa KIM-BIG'!$H$2)</f>
        <v>#REF!</v>
      </c>
      <c r="G297" s="466"/>
      <c r="H297" s="465"/>
      <c r="I297" s="462" t="e">
        <f t="shared" si="9"/>
        <v>#REF!</v>
      </c>
    </row>
    <row r="298" spans="2:9" x14ac:dyDescent="0.3">
      <c r="B298" s="463">
        <v>45553</v>
      </c>
      <c r="C298" s="464" t="e">
        <f>SUMIF('[1]Receitas KIM '!$B$3:$B$569,'[1]Fluxo caixa KIM-BIG'!B262,'[1]Receitas KIM '!$H$3:$H$569)</f>
        <v>#VALUE!</v>
      </c>
      <c r="D298" s="464"/>
      <c r="E298" s="467"/>
      <c r="F298" s="466" t="e">
        <f>-SUMIFS([1]!Tabela4[Realizado],[1]!Tabela4[Vencimento],'[1]Fluxo caixa KIM-BIG'!B262,[1]!Tabela4[KIM/TACOM],'[1]Fluxo caixa KIM-BIG'!$H$2)</f>
        <v>#REF!</v>
      </c>
      <c r="G298" s="466"/>
      <c r="H298" s="465"/>
      <c r="I298" s="462" t="e">
        <f t="shared" si="9"/>
        <v>#REF!</v>
      </c>
    </row>
    <row r="299" spans="2:9" x14ac:dyDescent="0.3">
      <c r="B299" s="463">
        <v>45554</v>
      </c>
      <c r="C299" s="464" t="e">
        <f>SUMIF('[1]Receitas KIM '!$B$3:$B$569,'[1]Fluxo caixa KIM-BIG'!B263,'[1]Receitas KIM '!$H$3:$H$569)</f>
        <v>#VALUE!</v>
      </c>
      <c r="D299" s="464"/>
      <c r="E299" s="467"/>
      <c r="F299" s="466" t="e">
        <f>-SUMIFS([1]!Tabela4[Realizado],[1]!Tabela4[Vencimento],'[1]Fluxo caixa KIM-BIG'!B263,[1]!Tabela4[KIM/TACOM],'[1]Fluxo caixa KIM-BIG'!$H$2)</f>
        <v>#REF!</v>
      </c>
      <c r="G299" s="466">
        <v>-3369.56</v>
      </c>
      <c r="H299" s="468"/>
      <c r="I299" s="462" t="e">
        <f t="shared" si="9"/>
        <v>#REF!</v>
      </c>
    </row>
    <row r="300" spans="2:9" x14ac:dyDescent="0.3">
      <c r="B300" s="463">
        <v>45555</v>
      </c>
      <c r="C300" s="464" t="e">
        <f>SUMIF('[1]Receitas KIM '!$B$3:$B$569,'[1]Fluxo caixa KIM-BIG'!B264,'[1]Receitas KIM '!$H$3:$H$569)</f>
        <v>#VALUE!</v>
      </c>
      <c r="D300" s="464">
        <v>132871.88</v>
      </c>
      <c r="E300" s="465"/>
      <c r="F300" s="466" t="e">
        <f>-SUMIFS([1]!Tabela4[Realizado],[1]!Tabela4[Vencimento],'[1]Fluxo caixa KIM-BIG'!B264,[1]!Tabela4[KIM/TACOM],'[1]Fluxo caixa KIM-BIG'!$H$2)</f>
        <v>#REF!</v>
      </c>
      <c r="G300" s="466">
        <v>-172977.59</v>
      </c>
      <c r="H300" s="465"/>
      <c r="I300" s="462" t="e">
        <f t="shared" si="9"/>
        <v>#REF!</v>
      </c>
    </row>
    <row r="301" spans="2:9" x14ac:dyDescent="0.3">
      <c r="B301" s="463">
        <v>45558</v>
      </c>
      <c r="C301" s="464" t="e">
        <f>SUMIF('[1]Receitas KIM '!$B$3:$B$569,'[1]Fluxo caixa KIM-BIG'!B265,'[1]Receitas KIM '!$H$3:$H$569)</f>
        <v>#VALUE!</v>
      </c>
      <c r="D301" s="464"/>
      <c r="E301" s="465"/>
      <c r="F301" s="466" t="e">
        <f>-SUMIFS([1]!Tabela4[Realizado],[1]!Tabela4[Vencimento],'[1]Fluxo caixa KIM-BIG'!B265,[1]!Tabela4[KIM/TACOM],'[1]Fluxo caixa KIM-BIG'!$H$2)</f>
        <v>#REF!</v>
      </c>
      <c r="G301" s="466">
        <v>-3473.24</v>
      </c>
      <c r="H301" s="465"/>
      <c r="I301" s="462" t="e">
        <f t="shared" si="9"/>
        <v>#REF!</v>
      </c>
    </row>
    <row r="302" spans="2:9" x14ac:dyDescent="0.3">
      <c r="B302" s="463">
        <v>45559</v>
      </c>
      <c r="C302" s="464" t="e">
        <f>SUMIF('[1]Receitas KIM '!$B$3:$B$569,'[1]Fluxo caixa KIM-BIG'!B266,'[1]Receitas KIM '!$H$3:$H$569)</f>
        <v>#VALUE!</v>
      </c>
      <c r="D302" s="464"/>
      <c r="E302" s="467"/>
      <c r="F302" s="466" t="e">
        <f>-SUMIFS([1]!Tabela4[Realizado],[1]!Tabela4[Vencimento],'[1]Fluxo caixa KIM-BIG'!B266,[1]!Tabela4[KIM/TACOM],'[1]Fluxo caixa KIM-BIG'!$H$2)</f>
        <v>#REF!</v>
      </c>
      <c r="G302" s="466"/>
      <c r="H302" s="465"/>
      <c r="I302" s="462" t="e">
        <f t="shared" si="9"/>
        <v>#REF!</v>
      </c>
    </row>
    <row r="303" spans="2:9" x14ac:dyDescent="0.3">
      <c r="B303" s="463">
        <v>45560</v>
      </c>
      <c r="C303" s="464" t="e">
        <f>SUMIF('[1]Receitas KIM '!$B$3:$B$569,'[1]Fluxo caixa KIM-BIG'!B267,'[1]Receitas KIM '!$H$3:$H$569)</f>
        <v>#VALUE!</v>
      </c>
      <c r="D303" s="464">
        <v>16711.759999999998</v>
      </c>
      <c r="E303" s="467"/>
      <c r="F303" s="466" t="e">
        <f>-SUMIFS([1]!Tabela4[Realizado],[1]!Tabela4[Vencimento],'[1]Fluxo caixa KIM-BIG'!B267,[1]!Tabela4[KIM/TACOM],'[1]Fluxo caixa KIM-BIG'!$H$2)</f>
        <v>#REF!</v>
      </c>
      <c r="G303" s="466"/>
      <c r="H303" s="465"/>
      <c r="I303" s="462" t="e">
        <f t="shared" si="9"/>
        <v>#REF!</v>
      </c>
    </row>
    <row r="304" spans="2:9" x14ac:dyDescent="0.3">
      <c r="B304" s="463">
        <v>45561</v>
      </c>
      <c r="C304" s="464" t="e">
        <f>SUMIF('[1]Receitas KIM '!$B$3:$B$569,'[1]Fluxo caixa KIM-BIG'!B268,'[1]Receitas KIM '!$H$3:$H$569)</f>
        <v>#VALUE!</v>
      </c>
      <c r="D304" s="464"/>
      <c r="E304" s="467"/>
      <c r="F304" s="466" t="e">
        <f>-SUMIFS([1]!Tabela4[Realizado],[1]!Tabela4[Vencimento],'[1]Fluxo caixa KIM-BIG'!B268,[1]!Tabela4[KIM/TACOM],'[1]Fluxo caixa KIM-BIG'!$H$2)</f>
        <v>#REF!</v>
      </c>
      <c r="G304" s="466"/>
      <c r="H304" s="465"/>
      <c r="I304" s="462" t="e">
        <f t="shared" si="9"/>
        <v>#REF!</v>
      </c>
    </row>
    <row r="305" spans="2:9" x14ac:dyDescent="0.3">
      <c r="B305" s="463">
        <v>45562</v>
      </c>
      <c r="C305" s="464" t="e">
        <f>SUMIF('[1]Receitas KIM '!$B$3:$B$569,'[1]Fluxo caixa KIM-BIG'!B269,'[1]Receitas KIM '!$H$3:$H$569)</f>
        <v>#VALUE!</v>
      </c>
      <c r="D305" s="464">
        <v>3476.57</v>
      </c>
      <c r="E305" s="467"/>
      <c r="F305" s="466" t="e">
        <f>-SUMIFS([1]!Tabela4[Realizado],[1]!Tabela4[Vencimento],'[1]Fluxo caixa KIM-BIG'!B269,[1]!Tabela4[KIM/TACOM],'[1]Fluxo caixa KIM-BIG'!$H$2)</f>
        <v>#REF!</v>
      </c>
      <c r="G305" s="466"/>
      <c r="H305" s="465"/>
      <c r="I305" s="462" t="e">
        <f t="shared" si="9"/>
        <v>#REF!</v>
      </c>
    </row>
    <row r="306" spans="2:9" x14ac:dyDescent="0.3">
      <c r="B306" s="463">
        <v>45565</v>
      </c>
      <c r="C306" s="464" t="e">
        <f>SUMIF('[1]Receitas KIM '!$B$3:$B$569,'[1]Fluxo caixa KIM-BIG'!B270,'[1]Receitas KIM '!$H$3:$H$569)</f>
        <v>#VALUE!</v>
      </c>
      <c r="D306" s="464">
        <f>153422.64+61805.33+262803.41+125069.69</f>
        <v>603101.07000000007</v>
      </c>
      <c r="E306" s="467">
        <v>200000</v>
      </c>
      <c r="F306" s="466" t="e">
        <f>-SUMIFS([1]!Tabela4[Realizado],[1]!Tabela4[Vencimento],'[1]Fluxo caixa KIM-BIG'!B270,[1]!Tabela4[KIM/TACOM],'[1]Fluxo caixa KIM-BIG'!$H$2)</f>
        <v>#REF!</v>
      </c>
      <c r="G306" s="466">
        <v>-212998.16</v>
      </c>
      <c r="H306" s="465"/>
      <c r="I306" s="462" t="e">
        <f t="shared" si="9"/>
        <v>#REF!</v>
      </c>
    </row>
    <row r="307" spans="2:9" x14ac:dyDescent="0.3">
      <c r="B307" s="463"/>
      <c r="C307" s="464" t="e">
        <f>SUMIF('[1]Receitas KIM '!$B$3:$B$569,'[1]Fluxo caixa KIM-BIG'!B271,'[1]Receitas KIM '!$H$3:$H$569)</f>
        <v>#VALUE!</v>
      </c>
      <c r="D307" s="464"/>
      <c r="E307" s="467"/>
      <c r="F307" s="466" t="e">
        <f>SUMIFS([1]!Tabela4[Realizado],[1]!Tabela4[Vencimento],'[1]Fluxo caixa KIM-BIG'!B271,[1]!Tabela4[KIM/TACOM],'[1]Fluxo caixa KIM-BIG'!$H$2)</f>
        <v>#REF!</v>
      </c>
      <c r="G307" s="466"/>
      <c r="H307" s="465"/>
      <c r="I307" s="462" t="e">
        <f t="shared" si="9"/>
        <v>#REF!</v>
      </c>
    </row>
    <row r="308" spans="2:9" ht="15" thickBot="1" x14ac:dyDescent="0.35">
      <c r="B308" s="463"/>
      <c r="C308" s="464" t="e">
        <f>SUMIF('[1]Receitas KIM '!$B$3:$B$569,'[1]Fluxo caixa KIM-BIG'!B272,'[1]Receitas KIM '!$H$3:$H$569)</f>
        <v>#VALUE!</v>
      </c>
      <c r="D308" s="464"/>
      <c r="E308" s="467"/>
      <c r="F308" s="466" t="e">
        <f>SUMIFS([1]!Tabela4[Realizado],[1]!Tabela4[Vencimento],'[1]Fluxo caixa KIM-BIG'!B272,[1]!Tabela4[KIM/TACOM],'[1]Fluxo caixa KIM-BIG'!$H$2)</f>
        <v>#REF!</v>
      </c>
      <c r="G308" s="466"/>
      <c r="H308" s="465"/>
      <c r="I308" s="462" t="e">
        <f t="shared" si="9"/>
        <v>#REF!</v>
      </c>
    </row>
    <row r="309" spans="2:9" ht="15" thickBot="1" x14ac:dyDescent="0.35">
      <c r="B309" s="469" t="s">
        <v>79</v>
      </c>
      <c r="C309" s="470"/>
      <c r="D309" s="470"/>
      <c r="E309" s="471">
        <f>SUM(E286:E308)</f>
        <v>600000</v>
      </c>
      <c r="F309" s="472" t="e">
        <f>SUM(F286:F308)</f>
        <v>#REF!</v>
      </c>
      <c r="G309" s="472"/>
      <c r="H309" s="471">
        <f>SUM(H286:H305)</f>
        <v>0</v>
      </c>
      <c r="I309" s="473"/>
    </row>
    <row r="310" spans="2:9" x14ac:dyDescent="0.3">
      <c r="C310" s="475"/>
      <c r="D310" s="475"/>
      <c r="E310" s="476"/>
      <c r="F310" s="477"/>
      <c r="G310" s="477"/>
      <c r="H310" s="476"/>
      <c r="I310" s="478" t="e">
        <f>#REF!+#REF!</f>
        <v>#REF!</v>
      </c>
    </row>
    <row r="311" spans="2:9" ht="15" thickBot="1" x14ac:dyDescent="0.35"/>
    <row r="312" spans="2:9" ht="26.4" thickBot="1" x14ac:dyDescent="0.55000000000000004">
      <c r="B312" s="452" t="s">
        <v>732</v>
      </c>
      <c r="C312" s="453"/>
      <c r="D312" s="453"/>
      <c r="E312" s="453"/>
      <c r="F312" s="453"/>
      <c r="G312" s="453"/>
      <c r="H312" s="453"/>
      <c r="I312" s="453"/>
    </row>
    <row r="313" spans="2:9" ht="15" thickBot="1" x14ac:dyDescent="0.35">
      <c r="B313" s="516" t="s">
        <v>716</v>
      </c>
      <c r="C313" s="454"/>
      <c r="D313" s="454"/>
      <c r="E313" s="454"/>
      <c r="F313" s="454"/>
      <c r="G313" s="454"/>
      <c r="H313" s="454"/>
      <c r="I313" s="455"/>
    </row>
    <row r="314" spans="2:9" ht="15" thickBot="1" x14ac:dyDescent="0.35">
      <c r="B314" s="517"/>
      <c r="C314" s="456" t="s">
        <v>717</v>
      </c>
      <c r="D314" s="456" t="s">
        <v>718</v>
      </c>
      <c r="E314" s="457" t="s">
        <v>735</v>
      </c>
      <c r="F314" s="458" t="s">
        <v>719</v>
      </c>
      <c r="G314" s="458" t="s">
        <v>720</v>
      </c>
      <c r="H314" s="484" t="s">
        <v>736</v>
      </c>
      <c r="I314" s="459" t="s">
        <v>721</v>
      </c>
    </row>
    <row r="315" spans="2:9" x14ac:dyDescent="0.3">
      <c r="B315" s="461"/>
      <c r="C315" s="518"/>
      <c r="D315" s="518"/>
      <c r="E315" s="518"/>
      <c r="F315" s="518"/>
      <c r="G315" s="518"/>
      <c r="H315" s="519"/>
      <c r="I315" s="462" t="e">
        <f>I307</f>
        <v>#REF!</v>
      </c>
    </row>
    <row r="316" spans="2:9" x14ac:dyDescent="0.3">
      <c r="B316" s="463">
        <v>45566</v>
      </c>
      <c r="C316" s="464" t="e">
        <f>SUMIF('[1]Receitas KIM '!$B$3:$B$569,'[1]Fluxo caixa KIM-BIG'!B280,'[1]Receitas KIM '!$H$3:$H$569)</f>
        <v>#VALUE!</v>
      </c>
      <c r="D316" s="464">
        <v>21036.75</v>
      </c>
      <c r="E316" s="465"/>
      <c r="F316" s="466" t="e">
        <f>-SUMIFS([1]!Tabela4[Realizado],[1]!Tabela4[Vencimento],'[1]Fluxo caixa KIM-BIG'!B280,[1]!Tabela4[KIM/TACOM],'[1]Fluxo caixa KIM-BIG'!$H$2)</f>
        <v>#REF!</v>
      </c>
      <c r="G316" s="466">
        <v>-2989.4</v>
      </c>
      <c r="H316" s="467"/>
      <c r="I316" s="462" t="e">
        <f t="shared" ref="I316:I338" si="10">+I315+C316+E316+G316+H316+F316+D316</f>
        <v>#REF!</v>
      </c>
    </row>
    <row r="317" spans="2:9" x14ac:dyDescent="0.3">
      <c r="B317" s="463">
        <v>45567</v>
      </c>
      <c r="C317" s="464" t="e">
        <f>SUMIF('[1]Receitas KIM '!$B$3:$B$569,'[1]Fluxo caixa KIM-BIG'!B281,'[1]Receitas KIM '!$H$3:$H$569)</f>
        <v>#VALUE!</v>
      </c>
      <c r="D317" s="464"/>
      <c r="E317" s="467"/>
      <c r="F317" s="466" t="e">
        <f>-SUMIFS([1]!Tabela4[Realizado],[1]!Tabela4[Vencimento],'[1]Fluxo caixa KIM-BIG'!B281,[1]!Tabela4[KIM/TACOM],'[1]Fluxo caixa KIM-BIG'!$H$2)</f>
        <v>#REF!</v>
      </c>
      <c r="G317" s="466">
        <v>-5979.75</v>
      </c>
      <c r="H317" s="467"/>
      <c r="I317" s="462" t="e">
        <f t="shared" si="10"/>
        <v>#REF!</v>
      </c>
    </row>
    <row r="318" spans="2:9" x14ac:dyDescent="0.3">
      <c r="B318" s="463">
        <v>45568</v>
      </c>
      <c r="C318" s="464" t="e">
        <f>SUMIF('[1]Receitas KIM '!$B$3:$B$569,'[1]Fluxo caixa KIM-BIG'!B282,'[1]Receitas KIM '!$H$3:$H$569)</f>
        <v>#VALUE!</v>
      </c>
      <c r="D318" s="464"/>
      <c r="E318" s="467"/>
      <c r="F318" s="466" t="e">
        <f>-SUMIFS([1]!Tabela4[Realizado],[1]!Tabela4[Vencimento],'[1]Fluxo caixa KIM-BIG'!B282,[1]!Tabela4[KIM/TACOM],'[1]Fluxo caixa KIM-BIG'!$H$2)</f>
        <v>#REF!</v>
      </c>
      <c r="G318" s="466"/>
      <c r="H318" s="467"/>
      <c r="I318" s="462" t="e">
        <f t="shared" si="10"/>
        <v>#REF!</v>
      </c>
    </row>
    <row r="319" spans="2:9" x14ac:dyDescent="0.3">
      <c r="B319" s="463">
        <v>45569</v>
      </c>
      <c r="C319" s="464" t="e">
        <f>SUMIF('[1]Receitas KIM '!$B$3:$B$569,'[1]Fluxo caixa KIM-BIG'!B283,'[1]Receitas KIM '!$H$3:$H$569)</f>
        <v>#VALUE!</v>
      </c>
      <c r="D319" s="464">
        <v>27522.76</v>
      </c>
      <c r="E319" s="467"/>
      <c r="F319" s="466" t="e">
        <f>-SUMIFS([1]!Tabela4[Realizado],[1]!Tabela4[Vencimento],'[1]Fluxo caixa KIM-BIG'!B283,[1]!Tabela4[KIM/TACOM],'[1]Fluxo caixa KIM-BIG'!$H$2)</f>
        <v>#REF!</v>
      </c>
      <c r="G319" s="466"/>
      <c r="H319" s="467"/>
      <c r="I319" s="462" t="e">
        <f t="shared" si="10"/>
        <v>#REF!</v>
      </c>
    </row>
    <row r="320" spans="2:9" x14ac:dyDescent="0.3">
      <c r="B320" s="463">
        <v>45572</v>
      </c>
      <c r="C320" s="464" t="e">
        <f>SUMIF('[1]Receitas KIM '!$B$3:$B$569,'[1]Fluxo caixa KIM-BIG'!B284,'[1]Receitas KIM '!$H$3:$H$569)</f>
        <v>#VALUE!</v>
      </c>
      <c r="D320" s="464"/>
      <c r="E320" s="467"/>
      <c r="F320" s="466" t="e">
        <f>-SUMIFS([1]!Tabela4[Realizado],[1]!Tabela4[Vencimento],'[1]Fluxo caixa KIM-BIG'!B284,[1]!Tabela4[KIM/TACOM],'[1]Fluxo caixa KIM-BIG'!$H$2)</f>
        <v>#REF!</v>
      </c>
      <c r="G320" s="466"/>
      <c r="H320" s="467"/>
      <c r="I320" s="462" t="e">
        <f t="shared" si="10"/>
        <v>#REF!</v>
      </c>
    </row>
    <row r="321" spans="2:9" x14ac:dyDescent="0.3">
      <c r="B321" s="463">
        <v>45573</v>
      </c>
      <c r="C321" s="464" t="e">
        <f>SUMIF('[1]Receitas KIM '!$B$3:$B$569,'[1]Fluxo caixa KIM-BIG'!B285,'[1]Receitas KIM '!$H$3:$H$569)</f>
        <v>#VALUE!</v>
      </c>
      <c r="D321" s="464">
        <v>10531</v>
      </c>
      <c r="E321" s="467"/>
      <c r="F321" s="466" t="e">
        <f>-SUMIFS([1]!Tabela4[Realizado],[1]!Tabela4[Vencimento],'[1]Fluxo caixa KIM-BIG'!B285,[1]!Tabela4[KIM/TACOM],'[1]Fluxo caixa KIM-BIG'!$H$2)</f>
        <v>#REF!</v>
      </c>
      <c r="G321" s="466"/>
      <c r="H321" s="467"/>
      <c r="I321" s="462" t="e">
        <f t="shared" si="10"/>
        <v>#REF!</v>
      </c>
    </row>
    <row r="322" spans="2:9" x14ac:dyDescent="0.3">
      <c r="B322" s="463">
        <v>45574</v>
      </c>
      <c r="C322" s="464" t="e">
        <f>SUMIF('[1]Receitas KIM '!$B$3:$B$569,'[1]Fluxo caixa KIM-BIG'!B286,'[1]Receitas KIM '!$H$3:$H$569)</f>
        <v>#VALUE!</v>
      </c>
      <c r="D322" s="464">
        <v>124903.26</v>
      </c>
      <c r="E322" s="467"/>
      <c r="F322" s="466" t="e">
        <f>-SUMIFS([1]!Tabela4[Realizado],[1]!Tabela4[Vencimento],'[1]Fluxo caixa KIM-BIG'!B286,[1]!Tabela4[KIM/TACOM],'[1]Fluxo caixa KIM-BIG'!$H$2)</f>
        <v>#REF!</v>
      </c>
      <c r="G322" s="466"/>
      <c r="H322" s="467"/>
      <c r="I322" s="462" t="e">
        <f t="shared" si="10"/>
        <v>#REF!</v>
      </c>
    </row>
    <row r="323" spans="2:9" x14ac:dyDescent="0.3">
      <c r="B323" s="463">
        <v>45575</v>
      </c>
      <c r="C323" s="464" t="e">
        <f>SUMIF('[1]Receitas KIM '!$B$3:$B$569,'[1]Fluxo caixa KIM-BIG'!B287,'[1]Receitas KIM '!$H$3:$H$569)</f>
        <v>#VALUE!</v>
      </c>
      <c r="D323" s="464"/>
      <c r="E323" s="467">
        <v>550000</v>
      </c>
      <c r="F323" s="466" t="e">
        <f>-SUMIFS([1]!Tabela4[Realizado],[1]!Tabela4[Vencimento],'[1]Fluxo caixa KIM-BIG'!B287,[1]!Tabela4[KIM/TACOM],'[1]Fluxo caixa KIM-BIG'!$H$2)</f>
        <v>#REF!</v>
      </c>
      <c r="G323" s="466">
        <v>-13199.49</v>
      </c>
      <c r="H323" s="467"/>
      <c r="I323" s="462" t="e">
        <f t="shared" si="10"/>
        <v>#REF!</v>
      </c>
    </row>
    <row r="324" spans="2:9" x14ac:dyDescent="0.3">
      <c r="B324" s="463">
        <v>45576</v>
      </c>
      <c r="C324" s="464" t="e">
        <f>SUMIF('[1]Receitas KIM '!$B$3:$B$569,'[1]Fluxo caixa KIM-BIG'!B288,'[1]Receitas KIM '!$H$3:$H$569)</f>
        <v>#VALUE!</v>
      </c>
      <c r="D324" s="464"/>
      <c r="E324" s="467"/>
      <c r="F324" s="466" t="e">
        <f>-SUMIFS([1]!Tabela4[Realizado],[1]!Tabela4[Vencimento],'[1]Fluxo caixa KIM-BIG'!B288,[1]!Tabela4[KIM/TACOM],'[1]Fluxo caixa KIM-BIG'!$H$2)</f>
        <v>#REF!</v>
      </c>
      <c r="G324" s="466">
        <v>-263969.24</v>
      </c>
      <c r="H324" s="467"/>
      <c r="I324" s="462" t="e">
        <f t="shared" si="10"/>
        <v>#REF!</v>
      </c>
    </row>
    <row r="325" spans="2:9" x14ac:dyDescent="0.3">
      <c r="B325" s="463">
        <v>45579</v>
      </c>
      <c r="C325" s="464" t="e">
        <f>SUMIF('[1]Receitas KIM '!$B$3:$B$569,'[1]Fluxo caixa KIM-BIG'!B289,'[1]Receitas KIM '!$H$3:$H$569)</f>
        <v>#VALUE!</v>
      </c>
      <c r="D325" s="464"/>
      <c r="E325" s="467"/>
      <c r="F325" s="466" t="e">
        <f>-SUMIFS([1]!Tabela4[Realizado],[1]!Tabela4[Vencimento],'[1]Fluxo caixa KIM-BIG'!B289,[1]!Tabela4[KIM/TACOM],'[1]Fluxo caixa KIM-BIG'!$H$2)</f>
        <v>#REF!</v>
      </c>
      <c r="G325" s="466"/>
      <c r="H325" s="465"/>
      <c r="I325" s="462" t="e">
        <f t="shared" si="10"/>
        <v>#REF!</v>
      </c>
    </row>
    <row r="326" spans="2:9" x14ac:dyDescent="0.3">
      <c r="B326" s="463">
        <v>45580</v>
      </c>
      <c r="C326" s="464" t="e">
        <f>SUMIF('[1]Receitas KIM '!$B$3:$B$569,'[1]Fluxo caixa KIM-BIG'!B290,'[1]Receitas KIM '!$H$3:$H$569)</f>
        <v>#VALUE!</v>
      </c>
      <c r="D326" s="464">
        <v>3372.51</v>
      </c>
      <c r="E326" s="467"/>
      <c r="F326" s="466" t="e">
        <f>-SUMIFS([1]!Tabela4[Realizado],[1]!Tabela4[Vencimento],'[1]Fluxo caixa KIM-BIG'!B290,[1]!Tabela4[KIM/TACOM],'[1]Fluxo caixa KIM-BIG'!$H$2)</f>
        <v>#REF!</v>
      </c>
      <c r="G326" s="466"/>
      <c r="H326" s="465"/>
      <c r="I326" s="462" t="e">
        <f t="shared" si="10"/>
        <v>#REF!</v>
      </c>
    </row>
    <row r="327" spans="2:9" x14ac:dyDescent="0.3">
      <c r="B327" s="463">
        <v>45581</v>
      </c>
      <c r="C327" s="464" t="e">
        <f>SUMIF('[1]Receitas KIM '!$B$3:$B$569,'[1]Fluxo caixa KIM-BIG'!B291,'[1]Receitas KIM '!$H$3:$H$569)</f>
        <v>#VALUE!</v>
      </c>
      <c r="D327" s="464"/>
      <c r="E327" s="467"/>
      <c r="F327" s="466" t="e">
        <f>-SUMIFS([1]!Tabela4[Realizado],[1]!Tabela4[Vencimento],'[1]Fluxo caixa KIM-BIG'!B291,[1]!Tabela4[KIM/TACOM],'[1]Fluxo caixa KIM-BIG'!$H$2)</f>
        <v>#REF!</v>
      </c>
      <c r="G327" s="466"/>
      <c r="H327" s="465"/>
      <c r="I327" s="462" t="e">
        <f t="shared" si="10"/>
        <v>#REF!</v>
      </c>
    </row>
    <row r="328" spans="2:9" x14ac:dyDescent="0.3">
      <c r="B328" s="463">
        <v>45582</v>
      </c>
      <c r="C328" s="464" t="e">
        <f>SUMIF('[1]Receitas KIM '!$B$3:$B$569,'[1]Fluxo caixa KIM-BIG'!B292,'[1]Receitas KIM '!$H$3:$H$569)</f>
        <v>#VALUE!</v>
      </c>
      <c r="D328" s="464"/>
      <c r="E328" s="467"/>
      <c r="F328" s="466" t="e">
        <f>-SUMIFS([1]!Tabela4[Realizado],[1]!Tabela4[Vencimento],'[1]Fluxo caixa KIM-BIG'!B292,[1]!Tabela4[KIM/TACOM],'[1]Fluxo caixa KIM-BIG'!$H$2)</f>
        <v>#REF!</v>
      </c>
      <c r="G328" s="466"/>
      <c r="H328" s="465"/>
      <c r="I328" s="462" t="e">
        <f t="shared" si="10"/>
        <v>#REF!</v>
      </c>
    </row>
    <row r="329" spans="2:9" x14ac:dyDescent="0.3">
      <c r="B329" s="463">
        <v>45583</v>
      </c>
      <c r="C329" s="464" t="e">
        <f>SUMIF('[1]Receitas KIM '!$B$3:$B$569,'[1]Fluxo caixa KIM-BIG'!B293,'[1]Receitas KIM '!$H$3:$H$569)</f>
        <v>#VALUE!</v>
      </c>
      <c r="D329" s="464">
        <v>347956.1</v>
      </c>
      <c r="E329" s="467"/>
      <c r="F329" s="466" t="e">
        <f>-SUMIFS([1]!Tabela4[Realizado],[1]!Tabela4[Vencimento],'[1]Fluxo caixa KIM-BIG'!B293,[1]!Tabela4[KIM/TACOM],'[1]Fluxo caixa KIM-BIG'!$H$2)</f>
        <v>#REF!</v>
      </c>
      <c r="G329" s="482">
        <v>-5771.02</v>
      </c>
      <c r="H329" s="468"/>
      <c r="I329" s="462" t="e">
        <f t="shared" si="10"/>
        <v>#REF!</v>
      </c>
    </row>
    <row r="330" spans="2:9" x14ac:dyDescent="0.3">
      <c r="B330" s="463">
        <v>45586</v>
      </c>
      <c r="C330" s="464" t="e">
        <f>SUMIF('[1]Receitas KIM '!$B$3:$B$569,'[1]Fluxo caixa KIM-BIG'!B294,'[1]Receitas KIM '!$H$3:$H$569)</f>
        <v>#VALUE!</v>
      </c>
      <c r="D330" s="464">
        <v>58511.5</v>
      </c>
      <c r="E330" s="465">
        <v>100000</v>
      </c>
      <c r="F330" s="466" t="e">
        <f>-SUMIFS([1]!Tabela4[Realizado],[1]!Tabela4[Vencimento],'[1]Fluxo caixa KIM-BIG'!B294,[1]!Tabela4[KIM/TACOM],'[1]Fluxo caixa KIM-BIG'!$H$2)</f>
        <v>#REF!</v>
      </c>
      <c r="G330" s="466">
        <v>-257959.84</v>
      </c>
      <c r="H330" s="465"/>
      <c r="I330" s="462" t="e">
        <f t="shared" si="10"/>
        <v>#REF!</v>
      </c>
    </row>
    <row r="331" spans="2:9" x14ac:dyDescent="0.3">
      <c r="B331" s="463">
        <v>45587</v>
      </c>
      <c r="C331" s="464" t="e">
        <f>SUMIF('[1]Receitas KIM '!$B$3:$B$569,'[1]Fluxo caixa KIM-BIG'!B295,'[1]Receitas KIM '!$H$3:$H$569)</f>
        <v>#VALUE!</v>
      </c>
      <c r="D331" s="464"/>
      <c r="E331" s="465"/>
      <c r="F331" s="466" t="e">
        <f>-SUMIFS([1]!Tabela4[Realizado],[1]!Tabela4[Vencimento],'[1]Fluxo caixa KIM-BIG'!B295,[1]!Tabela4[KIM/TACOM],'[1]Fluxo caixa KIM-BIG'!$H$2)</f>
        <v>#REF!</v>
      </c>
      <c r="G331" s="466">
        <v>-297990.53999999998</v>
      </c>
      <c r="H331" s="465"/>
      <c r="I331" s="462" t="e">
        <f t="shared" si="10"/>
        <v>#REF!</v>
      </c>
    </row>
    <row r="332" spans="2:9" x14ac:dyDescent="0.3">
      <c r="B332" s="463">
        <v>45588</v>
      </c>
      <c r="C332" s="464" t="e">
        <f>SUMIF('[1]Receitas KIM '!$B$3:$B$569,'[1]Fluxo caixa KIM-BIG'!B296,'[1]Receitas KIM '!$H$3:$H$569)</f>
        <v>#VALUE!</v>
      </c>
      <c r="D332" s="464"/>
      <c r="E332" s="467"/>
      <c r="F332" s="466" t="e">
        <f>-SUMIFS([1]!Tabela4[Realizado],[1]!Tabela4[Vencimento],'[1]Fluxo caixa KIM-BIG'!B296,[1]!Tabela4[KIM/TACOM],'[1]Fluxo caixa KIM-BIG'!$H$2)</f>
        <v>#REF!</v>
      </c>
      <c r="G332" s="466">
        <v>-124974.26</v>
      </c>
      <c r="H332" s="465"/>
      <c r="I332" s="462" t="e">
        <f t="shared" si="10"/>
        <v>#REF!</v>
      </c>
    </row>
    <row r="333" spans="2:9" x14ac:dyDescent="0.3">
      <c r="B333" s="463">
        <v>45589</v>
      </c>
      <c r="C333" s="464" t="e">
        <f>SUMIF('[1]Receitas KIM '!$B$3:$B$569,'[1]Fluxo caixa KIM-BIG'!B297,'[1]Receitas KIM '!$H$3:$H$569)</f>
        <v>#VALUE!</v>
      </c>
      <c r="D333" s="464"/>
      <c r="E333" s="467"/>
      <c r="F333" s="466" t="e">
        <f>-SUMIFS([1]!Tabela4[Realizado],[1]!Tabela4[Vencimento],'[1]Fluxo caixa KIM-BIG'!B297,[1]!Tabela4[KIM/TACOM],'[1]Fluxo caixa KIM-BIG'!$H$2)</f>
        <v>#REF!</v>
      </c>
      <c r="G333" s="466"/>
      <c r="H333" s="465"/>
      <c r="I333" s="462" t="e">
        <f t="shared" si="10"/>
        <v>#REF!</v>
      </c>
    </row>
    <row r="334" spans="2:9" x14ac:dyDescent="0.3">
      <c r="B334" s="463">
        <v>45590</v>
      </c>
      <c r="C334" s="464" t="e">
        <f>SUMIF('[1]Receitas KIM '!$B$3:$B$569,'[1]Fluxo caixa KIM-BIG'!B298,'[1]Receitas KIM '!$H$3:$H$569)</f>
        <v>#VALUE!</v>
      </c>
      <c r="D334" s="464">
        <v>15580.42</v>
      </c>
      <c r="E334" s="467"/>
      <c r="F334" s="466" t="e">
        <f>-SUMIFS([1]!Tabela4[Realizado],[1]!Tabela4[Vencimento],'[1]Fluxo caixa KIM-BIG'!B298,[1]!Tabela4[KIM/TACOM],'[1]Fluxo caixa KIM-BIG'!$H$2)</f>
        <v>#REF!</v>
      </c>
      <c r="G334" s="466"/>
      <c r="H334" s="465"/>
      <c r="I334" s="462" t="e">
        <f t="shared" si="10"/>
        <v>#REF!</v>
      </c>
    </row>
    <row r="335" spans="2:9" x14ac:dyDescent="0.3">
      <c r="B335" s="463">
        <v>45593</v>
      </c>
      <c r="C335" s="464" t="e">
        <f>SUMIF('[1]Receitas KIM '!$B$3:$B$569,'[1]Fluxo caixa KIM-BIG'!B299,'[1]Receitas KIM '!$H$3:$H$569)</f>
        <v>#VALUE!</v>
      </c>
      <c r="D335" s="464"/>
      <c r="E335" s="467"/>
      <c r="F335" s="466" t="e">
        <f>-SUMIFS([1]!Tabela4[Realizado],[1]!Tabela4[Vencimento],'[1]Fluxo caixa KIM-BIG'!B299,[1]!Tabela4[KIM/TACOM],'[1]Fluxo caixa KIM-BIG'!$H$2)</f>
        <v>#REF!</v>
      </c>
      <c r="G335" s="466">
        <v>-1999.07</v>
      </c>
      <c r="H335" s="465"/>
      <c r="I335" s="462" t="e">
        <f t="shared" si="10"/>
        <v>#REF!</v>
      </c>
    </row>
    <row r="336" spans="2:9" x14ac:dyDescent="0.3">
      <c r="B336" s="463">
        <v>45594</v>
      </c>
      <c r="C336" s="464" t="e">
        <f>SUMIF('[1]Receitas KIM '!$B$3:$B$569,'[1]Fluxo caixa KIM-BIG'!B300,'[1]Receitas KIM '!$H$3:$H$569)</f>
        <v>#VALUE!</v>
      </c>
      <c r="D336" s="464"/>
      <c r="E336" s="467"/>
      <c r="F336" s="466" t="e">
        <f>-SUMIFS([1]!Tabela4[Realizado],[1]!Tabela4[Vencimento],'[1]Fluxo caixa KIM-BIG'!B300,[1]!Tabela4[KIM/TACOM],'[1]Fluxo caixa KIM-BIG'!$H$2)</f>
        <v>#REF!</v>
      </c>
      <c r="G336" s="466"/>
      <c r="H336" s="465"/>
      <c r="I336" s="462" t="e">
        <f t="shared" si="10"/>
        <v>#REF!</v>
      </c>
    </row>
    <row r="337" spans="2:9" x14ac:dyDescent="0.3">
      <c r="B337" s="463">
        <v>45595</v>
      </c>
      <c r="C337" s="464" t="e">
        <f>SUMIF('[1]Receitas KIM '!$B$3:$B$569,'[1]Fluxo caixa KIM-BIG'!B301,'[1]Receitas KIM '!$H$3:$H$569)</f>
        <v>#VALUE!</v>
      </c>
      <c r="D337" s="464">
        <v>662935.49</v>
      </c>
      <c r="E337" s="467"/>
      <c r="F337" s="466" t="e">
        <f>-SUMIFS([1]!Tabela4[Realizado],[1]!Tabela4[Vencimento],'[1]Fluxo caixa KIM-BIG'!B301,[1]!Tabela4[KIM/TACOM],'[1]Fluxo caixa KIM-BIG'!$H$2)</f>
        <v>#REF!</v>
      </c>
      <c r="G337" s="466"/>
      <c r="H337" s="465"/>
      <c r="I337" s="462" t="e">
        <f t="shared" si="10"/>
        <v>#REF!</v>
      </c>
    </row>
    <row r="338" spans="2:9" ht="15" thickBot="1" x14ac:dyDescent="0.35">
      <c r="B338" s="463">
        <v>45596</v>
      </c>
      <c r="C338" s="464" t="e">
        <f>SUMIF('[1]Receitas KIM '!$B$3:$B$569,'[1]Fluxo caixa KIM-BIG'!B302,'[1]Receitas KIM '!$H$3:$H$569)</f>
        <v>#VALUE!</v>
      </c>
      <c r="D338" s="464">
        <v>71096.56</v>
      </c>
      <c r="E338" s="467">
        <v>150000</v>
      </c>
      <c r="F338" s="466" t="e">
        <f>-SUMIFS([1]!Tabela4[Realizado],[1]!Tabela4[Vencimento],'[1]Fluxo caixa KIM-BIG'!B302,[1]!Tabela4[KIM/TACOM],'[1]Fluxo caixa KIM-BIG'!$H$2)</f>
        <v>#REF!</v>
      </c>
      <c r="G338" s="466">
        <v>-163988.71</v>
      </c>
      <c r="H338" s="465"/>
      <c r="I338" s="462" t="e">
        <f t="shared" si="10"/>
        <v>#REF!</v>
      </c>
    </row>
    <row r="339" spans="2:9" ht="15" thickBot="1" x14ac:dyDescent="0.35">
      <c r="B339" s="469" t="s">
        <v>79</v>
      </c>
      <c r="C339" s="470"/>
      <c r="D339" s="470"/>
      <c r="E339" s="471">
        <f>SUM(E316:E338)</f>
        <v>800000</v>
      </c>
      <c r="F339" s="472" t="e">
        <f>SUM(F316:F338)</f>
        <v>#REF!</v>
      </c>
      <c r="G339" s="472"/>
      <c r="H339" s="471">
        <f>SUM(H316:H335)</f>
        <v>0</v>
      </c>
      <c r="I339" s="473"/>
    </row>
    <row r="340" spans="2:9" x14ac:dyDescent="0.3">
      <c r="C340" s="475"/>
      <c r="D340" s="475"/>
      <c r="E340" s="476"/>
      <c r="F340" s="477"/>
      <c r="G340" s="477"/>
      <c r="H340" s="476"/>
      <c r="I340" s="478" t="e">
        <f>#REF!+#REF!</f>
        <v>#REF!</v>
      </c>
    </row>
    <row r="341" spans="2:9" ht="15" thickBot="1" x14ac:dyDescent="0.35"/>
    <row r="342" spans="2:9" ht="26.4" thickBot="1" x14ac:dyDescent="0.55000000000000004">
      <c r="B342" s="452" t="s">
        <v>733</v>
      </c>
      <c r="C342" s="453"/>
      <c r="D342" s="453"/>
      <c r="E342" s="453"/>
      <c r="F342" s="453"/>
      <c r="G342" s="453"/>
      <c r="H342" s="453"/>
      <c r="I342" s="453"/>
    </row>
    <row r="343" spans="2:9" ht="15" thickBot="1" x14ac:dyDescent="0.35">
      <c r="B343" s="516" t="s">
        <v>716</v>
      </c>
      <c r="C343" s="454"/>
      <c r="D343" s="454"/>
      <c r="E343" s="454"/>
      <c r="F343" s="454"/>
      <c r="G343" s="454"/>
      <c r="H343" s="454"/>
      <c r="I343" s="455"/>
    </row>
    <row r="344" spans="2:9" ht="15" thickBot="1" x14ac:dyDescent="0.35">
      <c r="B344" s="517"/>
      <c r="C344" s="456" t="s">
        <v>717</v>
      </c>
      <c r="D344" s="456" t="s">
        <v>718</v>
      </c>
      <c r="E344" s="457" t="s">
        <v>735</v>
      </c>
      <c r="F344" s="458" t="s">
        <v>719</v>
      </c>
      <c r="G344" s="458" t="s">
        <v>720</v>
      </c>
      <c r="H344" s="484" t="s">
        <v>736</v>
      </c>
      <c r="I344" s="459" t="s">
        <v>721</v>
      </c>
    </row>
    <row r="345" spans="2:9" x14ac:dyDescent="0.3">
      <c r="B345" s="461"/>
      <c r="C345" s="518"/>
      <c r="D345" s="518"/>
      <c r="E345" s="518"/>
      <c r="F345" s="518"/>
      <c r="G345" s="518"/>
      <c r="H345" s="519"/>
      <c r="I345" s="462" t="e">
        <f>I338</f>
        <v>#REF!</v>
      </c>
    </row>
    <row r="346" spans="2:9" x14ac:dyDescent="0.3">
      <c r="B346" s="463">
        <v>45597</v>
      </c>
      <c r="C346" s="464" t="e">
        <f>SUMIF('[1]Receitas KIM '!$B$3:$B$569,'[1]Fluxo caixa KIM-BIG'!B310,'[1]Receitas KIM '!$H$3:$H$569)</f>
        <v>#VALUE!</v>
      </c>
      <c r="D346" s="464">
        <v>26634.92</v>
      </c>
      <c r="E346" s="465"/>
      <c r="F346" s="466" t="e">
        <f>-SUMIFS([1]!Tabela4[Realizado],[1]!Tabela4[Vencimento],'[1]Fluxo caixa KIM-BIG'!B310,[1]!Tabela4[KIM/TACOM],'[1]Fluxo caixa KIM-BIG'!$H$2)</f>
        <v>#REF!</v>
      </c>
      <c r="G346" s="466">
        <v>-8999.76</v>
      </c>
      <c r="H346" s="467"/>
      <c r="I346" s="462" t="e">
        <f t="shared" ref="I346:I368" si="11">+I345+C346+E346+G346+H346+F346+D346</f>
        <v>#REF!</v>
      </c>
    </row>
    <row r="347" spans="2:9" x14ac:dyDescent="0.3">
      <c r="B347" s="463">
        <v>45600</v>
      </c>
      <c r="C347" s="464" t="e">
        <f>SUMIF('[1]Receitas KIM '!$B$3:$B$569,'[1]Fluxo caixa KIM-BIG'!B311,'[1]Receitas KIM '!$H$3:$H$569)</f>
        <v>#VALUE!</v>
      </c>
      <c r="D347" s="464">
        <v>3997.16</v>
      </c>
      <c r="E347" s="467"/>
      <c r="F347" s="466" t="e">
        <f>-SUMIFS([1]!Tabela4[Realizado],[1]!Tabela4[Vencimento],'[1]Fluxo caixa KIM-BIG'!B311,[1]!Tabela4[KIM/TACOM],'[1]Fluxo caixa KIM-BIG'!$H$2)</f>
        <v>#REF!</v>
      </c>
      <c r="G347" s="466"/>
      <c r="H347" s="467"/>
      <c r="I347" s="462" t="e">
        <f t="shared" si="11"/>
        <v>#REF!</v>
      </c>
    </row>
    <row r="348" spans="2:9" x14ac:dyDescent="0.3">
      <c r="B348" s="463">
        <v>45601</v>
      </c>
      <c r="C348" s="464" t="e">
        <f>SUMIF('[1]Receitas KIM '!$B$3:$B$569,'[1]Fluxo caixa KIM-BIG'!B312,'[1]Receitas KIM '!$H$3:$H$569)</f>
        <v>#VALUE!</v>
      </c>
      <c r="D348" s="464"/>
      <c r="E348" s="467"/>
      <c r="F348" s="466" t="e">
        <f>-SUMIFS([1]!Tabela4[Realizado],[1]!Tabela4[Vencimento],'[1]Fluxo caixa KIM-BIG'!B312,[1]!Tabela4[KIM/TACOM],'[1]Fluxo caixa KIM-BIG'!$H$2)</f>
        <v>#REF!</v>
      </c>
      <c r="G348" s="466">
        <v>-394247.58</v>
      </c>
      <c r="H348" s="467"/>
      <c r="I348" s="462" t="e">
        <f t="shared" si="11"/>
        <v>#REF!</v>
      </c>
    </row>
    <row r="349" spans="2:9" x14ac:dyDescent="0.3">
      <c r="B349" s="463">
        <v>45602</v>
      </c>
      <c r="C349" s="464" t="e">
        <f>SUMIF('[1]Receitas KIM '!$B$3:$B$569,'[1]Fluxo caixa KIM-BIG'!B313,'[1]Receitas KIM '!$H$3:$H$569)</f>
        <v>#VALUE!</v>
      </c>
      <c r="D349" s="464"/>
      <c r="E349" s="467"/>
      <c r="F349" s="466" t="e">
        <f>-SUMIFS([1]!Tabela4[Realizado],[1]!Tabela4[Vencimento],'[1]Fluxo caixa KIM-BIG'!B313,[1]!Tabela4[KIM/TACOM],'[1]Fluxo caixa KIM-BIG'!$H$2)</f>
        <v>#REF!</v>
      </c>
      <c r="G349" s="466">
        <v>-201973.66</v>
      </c>
      <c r="H349" s="467"/>
      <c r="I349" s="462" t="e">
        <f t="shared" si="11"/>
        <v>#REF!</v>
      </c>
    </row>
    <row r="350" spans="2:9" x14ac:dyDescent="0.3">
      <c r="B350" s="463">
        <v>45603</v>
      </c>
      <c r="C350" s="464" t="e">
        <f>SUMIF('[1]Receitas KIM '!$B$3:$B$569,'[1]Fluxo caixa KIM-BIG'!B314,'[1]Receitas KIM '!$H$3:$H$569)</f>
        <v>#VALUE!</v>
      </c>
      <c r="D350" s="464">
        <v>132873.71</v>
      </c>
      <c r="E350" s="467"/>
      <c r="F350" s="466" t="e">
        <f>-SUMIFS([1]!Tabela4[Realizado],[1]!Tabela4[Vencimento],'[1]Fluxo caixa KIM-BIG'!B314,[1]!Tabela4[KIM/TACOM],'[1]Fluxo caixa KIM-BIG'!$H$2)</f>
        <v>#REF!</v>
      </c>
      <c r="G350" s="466"/>
      <c r="H350" s="467"/>
      <c r="I350" s="462" t="e">
        <f t="shared" si="11"/>
        <v>#REF!</v>
      </c>
    </row>
    <row r="351" spans="2:9" x14ac:dyDescent="0.3">
      <c r="B351" s="463">
        <v>45604</v>
      </c>
      <c r="C351" s="464" t="e">
        <f>SUMIF('[1]Receitas KIM '!$B$3:$B$569,'[1]Fluxo caixa KIM-BIG'!B315,'[1]Receitas KIM '!$H$3:$H$569)</f>
        <v>#VALUE!</v>
      </c>
      <c r="D351" s="464">
        <v>10666.86</v>
      </c>
      <c r="E351" s="467"/>
      <c r="F351" s="466" t="e">
        <f>-SUMIFS([1]!Tabela4[Realizado],[1]!Tabela4[Vencimento],'[1]Fluxo caixa KIM-BIG'!B315,[1]!Tabela4[KIM/TACOM],'[1]Fluxo caixa KIM-BIG'!$H$2)</f>
        <v>#REF!</v>
      </c>
      <c r="G351" s="466">
        <v>-1199.8699999999999</v>
      </c>
      <c r="H351" s="467"/>
      <c r="I351" s="462" t="e">
        <f t="shared" si="11"/>
        <v>#REF!</v>
      </c>
    </row>
    <row r="352" spans="2:9" x14ac:dyDescent="0.3">
      <c r="B352" s="463">
        <v>45607</v>
      </c>
      <c r="C352" s="464" t="e">
        <f>SUMIF('[1]Receitas KIM '!$B$3:$B$569,'[1]Fluxo caixa KIM-BIG'!B316,'[1]Receitas KIM '!$H$3:$H$569)</f>
        <v>#VALUE!</v>
      </c>
      <c r="D352" s="464">
        <v>497117.36</v>
      </c>
      <c r="E352" s="467">
        <v>300000</v>
      </c>
      <c r="F352" s="466" t="e">
        <f>-SUMIFS([1]!Tabela4[Realizado],[1]!Tabela4[Vencimento],'[1]Fluxo caixa KIM-BIG'!B316,[1]!Tabela4[KIM/TACOM],'[1]Fluxo caixa KIM-BIG'!$H$2)</f>
        <v>#REF!</v>
      </c>
      <c r="G352" s="466">
        <v>-369980.94</v>
      </c>
      <c r="H352" s="467"/>
      <c r="I352" s="462" t="e">
        <f t="shared" si="11"/>
        <v>#REF!</v>
      </c>
    </row>
    <row r="353" spans="2:10" x14ac:dyDescent="0.3">
      <c r="B353" s="463">
        <v>45608</v>
      </c>
      <c r="C353" s="464" t="e">
        <f>SUMIF('[1]Receitas KIM '!$B$3:$B$569,'[1]Fluxo caixa KIM-BIG'!B317,'[1]Receitas KIM '!$H$3:$H$569)</f>
        <v>#VALUE!</v>
      </c>
      <c r="D353" s="464"/>
      <c r="E353" s="467"/>
      <c r="F353" s="466" t="e">
        <f>-SUMIFS([1]!Tabela4[Realizado],[1]!Tabela4[Vencimento],'[1]Fluxo caixa KIM-BIG'!B317,[1]!Tabela4[KIM/TACOM],'[1]Fluxo caixa KIM-BIG'!$H$2)</f>
        <v>#REF!</v>
      </c>
      <c r="G353" s="466">
        <v>-211759.63</v>
      </c>
      <c r="H353" s="467"/>
      <c r="I353" s="462" t="e">
        <f t="shared" si="11"/>
        <v>#REF!</v>
      </c>
    </row>
    <row r="354" spans="2:10" x14ac:dyDescent="0.3">
      <c r="B354" s="463">
        <v>45609</v>
      </c>
      <c r="C354" s="464" t="e">
        <f>SUMIF('[1]Receitas KIM '!$B$3:$B$569,'[1]Fluxo caixa KIM-BIG'!B318,'[1]Receitas KIM '!$H$3:$H$569)</f>
        <v>#VALUE!</v>
      </c>
      <c r="D354" s="464"/>
      <c r="E354" s="467"/>
      <c r="F354" s="466" t="e">
        <f>-SUMIFS([1]!Tabela4[Realizado],[1]!Tabela4[Vencimento],'[1]Fluxo caixa KIM-BIG'!B318,[1]!Tabela4[KIM/TACOM],'[1]Fluxo caixa KIM-BIG'!$H$2)</f>
        <v>#REF!</v>
      </c>
      <c r="G354" s="466"/>
      <c r="H354" s="467"/>
      <c r="I354" s="462" t="e">
        <f t="shared" si="11"/>
        <v>#REF!</v>
      </c>
    </row>
    <row r="355" spans="2:10" x14ac:dyDescent="0.3">
      <c r="B355" s="463">
        <v>45610</v>
      </c>
      <c r="C355" s="464" t="e">
        <f>SUMIF('[1]Receitas KIM '!$B$3:$B$569,'[1]Fluxo caixa KIM-BIG'!B319,'[1]Receitas KIM '!$H$3:$H$569)</f>
        <v>#VALUE!</v>
      </c>
      <c r="D355" s="464">
        <f>2471.41+25208.35</f>
        <v>27679.759999999998</v>
      </c>
      <c r="E355" s="467"/>
      <c r="F355" s="466" t="e">
        <f>-SUMIFS([1]!Tabela4[Realizado],[1]!Tabela4[Vencimento],'[1]Fluxo caixa KIM-BIG'!B319,[1]!Tabela4[KIM/TACOM],'[1]Fluxo caixa KIM-BIG'!$H$2)</f>
        <v>#REF!</v>
      </c>
      <c r="G355" s="466"/>
      <c r="H355" s="465"/>
      <c r="I355" s="462" t="e">
        <f t="shared" si="11"/>
        <v>#REF!</v>
      </c>
    </row>
    <row r="356" spans="2:10" x14ac:dyDescent="0.3">
      <c r="B356" s="463">
        <v>45611</v>
      </c>
      <c r="C356" s="464" t="e">
        <f>SUMIF('[1]Receitas KIM '!$B$3:$B$569,'[1]Fluxo caixa KIM-BIG'!B320,'[1]Receitas KIM '!$H$3:$H$569)</f>
        <v>#VALUE!</v>
      </c>
      <c r="D356" s="464"/>
      <c r="E356" s="467"/>
      <c r="F356" s="466" t="e">
        <f>-SUMIFS([1]!Tabela4[Realizado],[1]!Tabela4[Vencimento],'[1]Fluxo caixa KIM-BIG'!B320,[1]!Tabela4[KIM/TACOM],'[1]Fluxo caixa KIM-BIG'!$H$2)</f>
        <v>#REF!</v>
      </c>
      <c r="G356" s="466"/>
      <c r="H356" s="465"/>
      <c r="I356" s="462" t="e">
        <f t="shared" si="11"/>
        <v>#REF!</v>
      </c>
    </row>
    <row r="357" spans="2:10" x14ac:dyDescent="0.3">
      <c r="B357" s="463">
        <v>45614</v>
      </c>
      <c r="C357" s="464" t="e">
        <f>SUMIF('[1]Receitas KIM '!$B$3:$B$569,'[1]Fluxo caixa KIM-BIG'!B321,'[1]Receitas KIM '!$H$3:$H$569)</f>
        <v>#VALUE!</v>
      </c>
      <c r="D357" s="464">
        <v>152119.88</v>
      </c>
      <c r="E357" s="467"/>
      <c r="F357" s="466" t="e">
        <f>-SUMIFS([1]!Tabela4[Realizado],[1]!Tabela4[Vencimento],'[1]Fluxo caixa KIM-BIG'!B321,[1]!Tabela4[KIM/TACOM],'[1]Fluxo caixa KIM-BIG'!$H$2)</f>
        <v>#REF!</v>
      </c>
      <c r="G357" s="466"/>
      <c r="H357" s="465"/>
      <c r="I357" s="462" t="e">
        <f t="shared" si="11"/>
        <v>#REF!</v>
      </c>
    </row>
    <row r="358" spans="2:10" x14ac:dyDescent="0.3">
      <c r="B358" s="463">
        <v>45615</v>
      </c>
      <c r="C358" s="464" t="e">
        <f>SUMIF('[1]Receitas KIM '!$B$3:$B$569,'[1]Fluxo caixa KIM-BIG'!B322,'[1]Receitas KIM '!$H$3:$H$569)</f>
        <v>#VALUE!</v>
      </c>
      <c r="D358" s="464">
        <v>15330.4</v>
      </c>
      <c r="E358" s="467"/>
      <c r="F358" s="466" t="e">
        <f>-SUMIFS([1]!Tabela4[Realizado],[1]!Tabela4[Vencimento],'[1]Fluxo caixa KIM-BIG'!B322,[1]!Tabela4[KIM/TACOM],'[1]Fluxo caixa KIM-BIG'!$H$2)</f>
        <v>#REF!</v>
      </c>
      <c r="G358" s="466"/>
      <c r="H358" s="465"/>
      <c r="I358" s="462" t="e">
        <f t="shared" si="11"/>
        <v>#REF!</v>
      </c>
    </row>
    <row r="359" spans="2:10" x14ac:dyDescent="0.3">
      <c r="B359" s="463">
        <v>45616</v>
      </c>
      <c r="C359" s="464" t="e">
        <f>SUMIF('[1]Receitas KIM '!$B$3:$B$569,'[1]Fluxo caixa KIM-BIG'!B323,'[1]Receitas KIM '!$H$3:$H$569)</f>
        <v>#VALUE!</v>
      </c>
      <c r="D359" s="464"/>
      <c r="E359" s="467"/>
      <c r="F359" s="466" t="e">
        <f>-SUMIFS([1]!Tabela4[Realizado],[1]!Tabela4[Vencimento],'[1]Fluxo caixa KIM-BIG'!B323,[1]!Tabela4[KIM/TACOM],'[1]Fluxo caixa KIM-BIG'!$H$2)</f>
        <v>#REF!</v>
      </c>
      <c r="G359" s="482"/>
      <c r="H359" s="468"/>
      <c r="I359" s="462" t="e">
        <f t="shared" si="11"/>
        <v>#REF!</v>
      </c>
    </row>
    <row r="360" spans="2:10" x14ac:dyDescent="0.3">
      <c r="B360" s="463">
        <v>45617</v>
      </c>
      <c r="C360" s="464" t="e">
        <f>SUMIF('[1]Receitas KIM '!$B$3:$B$569,'[1]Fluxo caixa KIM-BIG'!B324,'[1]Receitas KIM '!$H$3:$H$569)</f>
        <v>#VALUE!</v>
      </c>
      <c r="D360" s="464">
        <f>40561.54+14072.48</f>
        <v>54634.020000000004</v>
      </c>
      <c r="E360" s="465"/>
      <c r="F360" s="466" t="e">
        <f>-SUMIFS([1]!Tabela4[Realizado],[1]!Tabela4[Vencimento],'[1]Fluxo caixa KIM-BIG'!B324,[1]!Tabela4[KIM/TACOM],'[1]Fluxo caixa KIM-BIG'!$H$2)</f>
        <v>#REF!</v>
      </c>
      <c r="G360" s="466">
        <v>-4775.07</v>
      </c>
      <c r="H360" s="465"/>
      <c r="I360" s="462" t="e">
        <f t="shared" si="11"/>
        <v>#REF!</v>
      </c>
    </row>
    <row r="361" spans="2:10" x14ac:dyDescent="0.3">
      <c r="B361" s="463">
        <v>45618</v>
      </c>
      <c r="C361" s="464" t="e">
        <f>SUMIF('[1]Receitas KIM '!$B$3:$B$569,'[1]Fluxo caixa KIM-BIG'!B325,'[1]Receitas KIM '!$H$3:$H$569)</f>
        <v>#VALUE!</v>
      </c>
      <c r="D361" s="464">
        <v>4093.94</v>
      </c>
      <c r="E361" s="465"/>
      <c r="F361" s="466" t="e">
        <f>-SUMIFS([1]!Tabela4[Realizado],[1]!Tabela4[Vencimento],'[1]Fluxo caixa KIM-BIG'!B325,[1]!Tabela4[KIM/TACOM],'[1]Fluxo caixa KIM-BIG'!$H$2)</f>
        <v>#REF!</v>
      </c>
      <c r="G361" s="466">
        <v>-6989.62</v>
      </c>
      <c r="H361" s="465"/>
      <c r="I361" s="462" t="e">
        <f t="shared" si="11"/>
        <v>#REF!</v>
      </c>
    </row>
    <row r="362" spans="2:10" x14ac:dyDescent="0.3">
      <c r="B362" s="463">
        <v>45621</v>
      </c>
      <c r="C362" s="464" t="e">
        <f>SUMIF('[1]Receitas KIM '!$B$3:$B$569,'[1]Fluxo caixa KIM-BIG'!B326,'[1]Receitas KIM '!$H$3:$H$569)</f>
        <v>#VALUE!</v>
      </c>
      <c r="D362" s="464">
        <f>100722.8+39905.86+17328.65</f>
        <v>157957.31</v>
      </c>
      <c r="E362" s="467"/>
      <c r="F362" s="466" t="e">
        <f>-SUMIFS([1]!Tabela4[Realizado],[1]!Tabela4[Vencimento],'[1]Fluxo caixa KIM-BIG'!B326,[1]!Tabela4[KIM/TACOM],'[1]Fluxo caixa KIM-BIG'!$H$2)</f>
        <v>#REF!</v>
      </c>
      <c r="G362" s="466"/>
      <c r="H362" s="465"/>
      <c r="I362" s="462" t="e">
        <f t="shared" si="11"/>
        <v>#REF!</v>
      </c>
    </row>
    <row r="363" spans="2:10" x14ac:dyDescent="0.3">
      <c r="B363" s="463">
        <v>45622</v>
      </c>
      <c r="C363" s="464" t="e">
        <f>SUMIF('[1]Receitas KIM '!$B$3:$B$569,'[1]Fluxo caixa KIM-BIG'!B327,'[1]Receitas KIM '!$H$3:$H$569)</f>
        <v>#VALUE!</v>
      </c>
      <c r="D363" s="464"/>
      <c r="E363" s="467"/>
      <c r="F363" s="466" t="e">
        <f>-SUMIFS([1]!Tabela4[Realizado],[1]!Tabela4[Vencimento],'[1]Fluxo caixa KIM-BIG'!B327,[1]!Tabela4[KIM/TACOM],'[1]Fluxo caixa KIM-BIG'!$H$2)</f>
        <v>#REF!</v>
      </c>
      <c r="G363" s="466"/>
      <c r="H363" s="465"/>
      <c r="I363" s="462" t="e">
        <f t="shared" si="11"/>
        <v>#REF!</v>
      </c>
    </row>
    <row r="364" spans="2:10" x14ac:dyDescent="0.3">
      <c r="B364" s="463">
        <v>45623</v>
      </c>
      <c r="C364" s="464" t="e">
        <f>SUMIF('[1]Receitas KIM '!$B$3:$B$569,'[1]Fluxo caixa KIM-BIG'!B328,'[1]Receitas KIM '!$H$3:$H$569)</f>
        <v>#VALUE!</v>
      </c>
      <c r="D364" s="464"/>
      <c r="E364" s="467"/>
      <c r="F364" s="466" t="e">
        <f>-SUMIFS([1]!Tabela4[Realizado],[1]!Tabela4[Vencimento],'[1]Fluxo caixa KIM-BIG'!B328,[1]!Tabela4[KIM/TACOM],'[1]Fluxo caixa KIM-BIG'!$H$2)</f>
        <v>#REF!</v>
      </c>
      <c r="G364" s="466"/>
      <c r="H364" s="465"/>
      <c r="I364" s="462" t="e">
        <f t="shared" si="11"/>
        <v>#REF!</v>
      </c>
    </row>
    <row r="365" spans="2:10" x14ac:dyDescent="0.3">
      <c r="B365" s="463">
        <v>45624</v>
      </c>
      <c r="C365" s="464" t="e">
        <f>SUMIF('[1]Receitas KIM '!$B$3:$B$569,'[1]Fluxo caixa KIM-BIG'!B329,'[1]Receitas KIM '!$H$3:$H$569)</f>
        <v>#VALUE!</v>
      </c>
      <c r="D365" s="464"/>
      <c r="E365" s="467"/>
      <c r="F365" s="466" t="e">
        <f>-SUMIFS([1]!Tabela4[Realizado],[1]!Tabela4[Vencimento],'[1]Fluxo caixa KIM-BIG'!B329,[1]!Tabela4[KIM/TACOM],'[1]Fluxo caixa KIM-BIG'!$H$2)</f>
        <v>#REF!</v>
      </c>
      <c r="G365" s="466"/>
      <c r="H365" s="465"/>
      <c r="I365" s="462" t="e">
        <f t="shared" si="11"/>
        <v>#REF!</v>
      </c>
    </row>
    <row r="366" spans="2:10" x14ac:dyDescent="0.3">
      <c r="B366" s="463">
        <v>45625</v>
      </c>
      <c r="C366" s="464" t="e">
        <f>SUMIF('[1]Receitas KIM '!$B$3:$B$569,'[1]Fluxo caixa KIM-BIG'!B330,'[1]Receitas KIM '!$H$3:$H$569)</f>
        <v>#VALUE!</v>
      </c>
      <c r="D366" s="464"/>
      <c r="E366" s="467">
        <v>200000</v>
      </c>
      <c r="F366" s="466" t="e">
        <f>-SUMIFS([1]!Tabela4[Realizado],[1]!Tabela4[Vencimento],'[1]Fluxo caixa KIM-BIG'!B330,[1]!Tabela4[KIM/TACOM],'[1]Fluxo caixa KIM-BIG'!$H$2)</f>
        <v>#REF!</v>
      </c>
      <c r="G366" s="466"/>
      <c r="H366" s="465"/>
      <c r="I366" s="462" t="e">
        <f t="shared" si="11"/>
        <v>#REF!</v>
      </c>
      <c r="J366" s="483" t="s">
        <v>722</v>
      </c>
    </row>
    <row r="367" spans="2:10" x14ac:dyDescent="0.3">
      <c r="B367" s="463"/>
      <c r="C367" s="464" t="e">
        <f>SUMIF('[1]Receitas KIM '!$B$3:$B$569,'[1]Fluxo caixa KIM-BIG'!B331,'[1]Receitas KIM '!$H$3:$H$569)</f>
        <v>#VALUE!</v>
      </c>
      <c r="D367" s="464"/>
      <c r="E367" s="467"/>
      <c r="F367" s="466" t="e">
        <f>-SUMIFS([1]!Tabela4[Realizado],[1]!Tabela4[Vencimento],'[1]Fluxo caixa KIM-BIG'!B331,[1]!Tabela4[KIM/TACOM],'[1]Fluxo caixa KIM-BIG'!$H$2)</f>
        <v>#REF!</v>
      </c>
      <c r="G367" s="466"/>
      <c r="H367" s="465"/>
      <c r="I367" s="462" t="e">
        <f t="shared" si="11"/>
        <v>#REF!</v>
      </c>
    </row>
    <row r="368" spans="2:10" ht="15" thickBot="1" x14ac:dyDescent="0.35">
      <c r="B368" s="463"/>
      <c r="C368" s="464" t="e">
        <f>SUMIF('[1]Receitas KIM '!$B$3:$B$569,'[1]Fluxo caixa KIM-BIG'!B332,'[1]Receitas KIM '!$H$3:$H$569)</f>
        <v>#VALUE!</v>
      </c>
      <c r="D368" s="464"/>
      <c r="E368" s="467"/>
      <c r="F368" s="466" t="e">
        <f>-SUMIFS([1]!Tabela4[Realizado],[1]!Tabela4[Vencimento],'[1]Fluxo caixa KIM-BIG'!B332,[1]!Tabela4[KIM/TACOM],'[1]Fluxo caixa KIM-BIG'!$H$2)</f>
        <v>#REF!</v>
      </c>
      <c r="G368" s="466"/>
      <c r="H368" s="465"/>
      <c r="I368" s="462" t="e">
        <f t="shared" si="11"/>
        <v>#REF!</v>
      </c>
    </row>
    <row r="369" spans="2:9" ht="15" thickBot="1" x14ac:dyDescent="0.35">
      <c r="B369" s="469" t="s">
        <v>79</v>
      </c>
      <c r="C369" s="470"/>
      <c r="D369" s="470"/>
      <c r="E369" s="471">
        <f>SUM(E346:E368)</f>
        <v>500000</v>
      </c>
      <c r="F369" s="472"/>
      <c r="G369" s="472"/>
      <c r="H369" s="471">
        <f>SUM(H346:H365)</f>
        <v>0</v>
      </c>
      <c r="I369" s="473"/>
    </row>
    <row r="370" spans="2:9" x14ac:dyDescent="0.3">
      <c r="C370" s="475"/>
      <c r="D370" s="475"/>
      <c r="E370" s="476"/>
      <c r="F370" s="477"/>
      <c r="G370" s="477"/>
      <c r="H370" s="476"/>
      <c r="I370" s="478" t="e">
        <f>#REF!+#REF!</f>
        <v>#REF!</v>
      </c>
    </row>
    <row r="371" spans="2:9" ht="15" thickBot="1" x14ac:dyDescent="0.35"/>
    <row r="372" spans="2:9" ht="26.4" thickBot="1" x14ac:dyDescent="0.55000000000000004">
      <c r="B372" s="452" t="s">
        <v>734</v>
      </c>
      <c r="C372" s="453"/>
      <c r="D372" s="453"/>
      <c r="E372" s="453"/>
      <c r="F372" s="453"/>
      <c r="G372" s="453"/>
      <c r="H372" s="453"/>
      <c r="I372" s="453"/>
    </row>
    <row r="373" spans="2:9" ht="15" thickBot="1" x14ac:dyDescent="0.35">
      <c r="B373" s="516" t="s">
        <v>716</v>
      </c>
      <c r="C373" s="454"/>
      <c r="D373" s="454"/>
      <c r="E373" s="454"/>
      <c r="F373" s="454"/>
      <c r="G373" s="454"/>
      <c r="H373" s="454"/>
      <c r="I373" s="455"/>
    </row>
    <row r="374" spans="2:9" ht="15" thickBot="1" x14ac:dyDescent="0.35">
      <c r="B374" s="517"/>
      <c r="C374" s="456" t="s">
        <v>717</v>
      </c>
      <c r="D374" s="456" t="s">
        <v>718</v>
      </c>
      <c r="E374" s="457" t="s">
        <v>735</v>
      </c>
      <c r="F374" s="458" t="s">
        <v>719</v>
      </c>
      <c r="G374" s="458" t="s">
        <v>720</v>
      </c>
      <c r="H374" s="484" t="s">
        <v>736</v>
      </c>
      <c r="I374" s="459" t="s">
        <v>721</v>
      </c>
    </row>
    <row r="375" spans="2:9" x14ac:dyDescent="0.3">
      <c r="B375" s="461"/>
      <c r="C375" s="518"/>
      <c r="D375" s="518"/>
      <c r="E375" s="518"/>
      <c r="F375" s="518"/>
      <c r="G375" s="518"/>
      <c r="H375" s="519"/>
      <c r="I375" s="462" t="e">
        <f>I367</f>
        <v>#REF!</v>
      </c>
    </row>
    <row r="376" spans="2:9" x14ac:dyDescent="0.3">
      <c r="B376" s="463">
        <v>45628</v>
      </c>
      <c r="C376" s="464"/>
      <c r="D376" s="464"/>
      <c r="E376" s="465"/>
      <c r="F376" s="466" t="e">
        <f>-SUMIFS([1]!Tabela4[Realizado],[1]!Tabela4[Vencimento],'[1]Fluxo caixa KIM-BIG'!B340,[1]!Tabela4[KIM/TACOM],'[1]Fluxo caixa KIM-BIG'!$H$2)</f>
        <v>#REF!</v>
      </c>
      <c r="G376" s="466"/>
      <c r="H376" s="467"/>
      <c r="I376" s="462" t="e">
        <f t="shared" ref="I376:I398" si="12">+I375+C376+E376+G376+H376+F376+D376</f>
        <v>#REF!</v>
      </c>
    </row>
    <row r="377" spans="2:9" x14ac:dyDescent="0.3">
      <c r="B377" s="463">
        <v>45629</v>
      </c>
      <c r="C377" s="464"/>
      <c r="D377" s="464"/>
      <c r="E377" s="467"/>
      <c r="F377" s="466" t="e">
        <f>-SUMIFS([1]!Tabela4[Realizado],[1]!Tabela4[Vencimento],'[1]Fluxo caixa KIM-BIG'!B341,[1]!Tabela4[KIM/TACOM],'[1]Fluxo caixa KIM-BIG'!$H$2)</f>
        <v>#REF!</v>
      </c>
      <c r="G377" s="466"/>
      <c r="H377" s="467"/>
      <c r="I377" s="462" t="e">
        <f t="shared" si="12"/>
        <v>#REF!</v>
      </c>
    </row>
    <row r="378" spans="2:9" x14ac:dyDescent="0.3">
      <c r="B378" s="463">
        <v>45630</v>
      </c>
      <c r="C378" s="464"/>
      <c r="D378" s="464"/>
      <c r="E378" s="467"/>
      <c r="F378" s="466" t="e">
        <f>-SUMIFS([1]!Tabela4[Realizado],[1]!Tabela4[Vencimento],'[1]Fluxo caixa KIM-BIG'!B342,[1]!Tabela4[KIM/TACOM],'[1]Fluxo caixa KIM-BIG'!$H$2)</f>
        <v>#REF!</v>
      </c>
      <c r="G378" s="466"/>
      <c r="H378" s="467"/>
      <c r="I378" s="462" t="e">
        <f t="shared" si="12"/>
        <v>#REF!</v>
      </c>
    </row>
    <row r="379" spans="2:9" x14ac:dyDescent="0.3">
      <c r="B379" s="463">
        <v>45631</v>
      </c>
      <c r="C379" s="464"/>
      <c r="D379" s="464"/>
      <c r="E379" s="467"/>
      <c r="F379" s="466" t="e">
        <f>-SUMIFS([1]!Tabela4[Realizado],[1]!Tabela4[Vencimento],'[1]Fluxo caixa KIM-BIG'!B343,[1]!Tabela4[KIM/TACOM],'[1]Fluxo caixa KIM-BIG'!$H$2)</f>
        <v>#REF!</v>
      </c>
      <c r="G379" s="466"/>
      <c r="H379" s="467"/>
      <c r="I379" s="462" t="e">
        <f t="shared" si="12"/>
        <v>#REF!</v>
      </c>
    </row>
    <row r="380" spans="2:9" x14ac:dyDescent="0.3">
      <c r="B380" s="463">
        <v>45632</v>
      </c>
      <c r="C380" s="464"/>
      <c r="D380" s="464"/>
      <c r="E380" s="467"/>
      <c r="F380" s="466" t="e">
        <f>-SUMIFS([1]!Tabela4[Realizado],[1]!Tabela4[Vencimento],'[1]Fluxo caixa KIM-BIG'!B344,[1]!Tabela4[KIM/TACOM],'[1]Fluxo caixa KIM-BIG'!$H$2)</f>
        <v>#REF!</v>
      </c>
      <c r="G380" s="466"/>
      <c r="H380" s="467"/>
      <c r="I380" s="462" t="e">
        <f t="shared" si="12"/>
        <v>#REF!</v>
      </c>
    </row>
    <row r="381" spans="2:9" x14ac:dyDescent="0.3">
      <c r="B381" s="463">
        <v>45635</v>
      </c>
      <c r="C381" s="464"/>
      <c r="D381" s="464"/>
      <c r="E381" s="467"/>
      <c r="F381" s="466" t="e">
        <f>-SUMIFS([1]!Tabela4[Realizado],[1]!Tabela4[Vencimento],'[1]Fluxo caixa KIM-BIG'!B345,[1]!Tabela4[KIM/TACOM],'[1]Fluxo caixa KIM-BIG'!$H$2)</f>
        <v>#REF!</v>
      </c>
      <c r="G381" s="466"/>
      <c r="H381" s="467"/>
      <c r="I381" s="462" t="e">
        <f t="shared" si="12"/>
        <v>#REF!</v>
      </c>
    </row>
    <row r="382" spans="2:9" x14ac:dyDescent="0.3">
      <c r="B382" s="463">
        <v>45636</v>
      </c>
      <c r="C382" s="464"/>
      <c r="D382" s="464"/>
      <c r="E382" s="467">
        <v>250000</v>
      </c>
      <c r="F382" s="466" t="e">
        <f>-SUMIFS([1]!Tabela4[Realizado],[1]!Tabela4[Vencimento],'[1]Fluxo caixa KIM-BIG'!B346,[1]!Tabela4[KIM/TACOM],'[1]Fluxo caixa KIM-BIG'!$H$2)</f>
        <v>#REF!</v>
      </c>
      <c r="G382" s="466"/>
      <c r="H382" s="467"/>
      <c r="I382" s="462" t="e">
        <f t="shared" si="12"/>
        <v>#REF!</v>
      </c>
    </row>
    <row r="383" spans="2:9" x14ac:dyDescent="0.3">
      <c r="B383" s="463">
        <v>45637</v>
      </c>
      <c r="C383" s="464"/>
      <c r="D383" s="464"/>
      <c r="E383" s="467"/>
      <c r="F383" s="466" t="e">
        <f>-SUMIFS([1]!Tabela4[Realizado],[1]!Tabela4[Vencimento],'[1]Fluxo caixa KIM-BIG'!B347,[1]!Tabela4[KIM/TACOM],'[1]Fluxo caixa KIM-BIG'!$H$2)</f>
        <v>#REF!</v>
      </c>
      <c r="G383" s="466"/>
      <c r="H383" s="467"/>
      <c r="I383" s="462" t="e">
        <f t="shared" si="12"/>
        <v>#REF!</v>
      </c>
    </row>
    <row r="384" spans="2:9" x14ac:dyDescent="0.3">
      <c r="B384" s="463">
        <v>45638</v>
      </c>
      <c r="C384" s="464"/>
      <c r="D384" s="464"/>
      <c r="E384" s="467"/>
      <c r="F384" s="466" t="e">
        <f>-SUMIFS([1]!Tabela4[Realizado],[1]!Tabela4[Vencimento],'[1]Fluxo caixa KIM-BIG'!B348,[1]!Tabela4[KIM/TACOM],'[1]Fluxo caixa KIM-BIG'!$H$2)</f>
        <v>#REF!</v>
      </c>
      <c r="G384" s="466"/>
      <c r="H384" s="467"/>
      <c r="I384" s="462" t="e">
        <f t="shared" si="12"/>
        <v>#REF!</v>
      </c>
    </row>
    <row r="385" spans="2:9" x14ac:dyDescent="0.3">
      <c r="B385" s="463">
        <v>45639</v>
      </c>
      <c r="C385" s="464"/>
      <c r="D385" s="464"/>
      <c r="E385" s="467"/>
      <c r="F385" s="466" t="e">
        <f>-SUMIFS([1]!Tabela4[Realizado],[1]!Tabela4[Vencimento],'[1]Fluxo caixa KIM-BIG'!B349,[1]!Tabela4[KIM/TACOM],'[1]Fluxo caixa KIM-BIG'!$H$2)</f>
        <v>#REF!</v>
      </c>
      <c r="G385" s="466"/>
      <c r="H385" s="465"/>
      <c r="I385" s="462" t="e">
        <f t="shared" si="12"/>
        <v>#REF!</v>
      </c>
    </row>
    <row r="386" spans="2:9" x14ac:dyDescent="0.3">
      <c r="B386" s="463">
        <v>45642</v>
      </c>
      <c r="C386" s="464"/>
      <c r="D386" s="464"/>
      <c r="E386" s="467"/>
      <c r="F386" s="466" t="e">
        <f>-SUMIFS([1]!Tabela4[Realizado],[1]!Tabela4[Vencimento],'[1]Fluxo caixa KIM-BIG'!B350,[1]!Tabela4[KIM/TACOM],'[1]Fluxo caixa KIM-BIG'!$H$2)</f>
        <v>#REF!</v>
      </c>
      <c r="G386" s="466"/>
      <c r="H386" s="465"/>
      <c r="I386" s="462" t="e">
        <f t="shared" si="12"/>
        <v>#REF!</v>
      </c>
    </row>
    <row r="387" spans="2:9" x14ac:dyDescent="0.3">
      <c r="B387" s="463">
        <v>45643</v>
      </c>
      <c r="C387" s="464"/>
      <c r="D387" s="464"/>
      <c r="E387" s="467"/>
      <c r="F387" s="466" t="e">
        <f>-SUMIFS([1]!Tabela4[Realizado],[1]!Tabela4[Vencimento],'[1]Fluxo caixa KIM-BIG'!B351,[1]!Tabela4[KIM/TACOM],'[1]Fluxo caixa KIM-BIG'!$H$2)</f>
        <v>#REF!</v>
      </c>
      <c r="G387" s="466"/>
      <c r="H387" s="465"/>
      <c r="I387" s="462" t="e">
        <f t="shared" si="12"/>
        <v>#REF!</v>
      </c>
    </row>
    <row r="388" spans="2:9" x14ac:dyDescent="0.3">
      <c r="B388" s="463">
        <v>45644</v>
      </c>
      <c r="C388" s="464"/>
      <c r="D388" s="464"/>
      <c r="E388" s="467"/>
      <c r="F388" s="466" t="e">
        <f>-SUMIFS([1]!Tabela4[Realizado],[1]!Tabela4[Vencimento],'[1]Fluxo caixa KIM-BIG'!B352,[1]!Tabela4[KIM/TACOM],'[1]Fluxo caixa KIM-BIG'!$H$2)</f>
        <v>#REF!</v>
      </c>
      <c r="G388" s="466"/>
      <c r="H388" s="465"/>
      <c r="I388" s="462" t="e">
        <f t="shared" si="12"/>
        <v>#REF!</v>
      </c>
    </row>
    <row r="389" spans="2:9" x14ac:dyDescent="0.3">
      <c r="B389" s="463">
        <v>45645</v>
      </c>
      <c r="C389" s="464"/>
      <c r="D389" s="464"/>
      <c r="E389" s="467"/>
      <c r="F389" s="466" t="e">
        <f>-SUMIFS([1]!Tabela4[Realizado],[1]!Tabela4[Vencimento],'[1]Fluxo caixa KIM-BIG'!B353,[1]!Tabela4[KIM/TACOM],'[1]Fluxo caixa KIM-BIG'!$H$2)</f>
        <v>#REF!</v>
      </c>
      <c r="G389" s="482"/>
      <c r="H389" s="468"/>
      <c r="I389" s="462" t="e">
        <f t="shared" si="12"/>
        <v>#REF!</v>
      </c>
    </row>
    <row r="390" spans="2:9" x14ac:dyDescent="0.3">
      <c r="B390" s="463">
        <v>45646</v>
      </c>
      <c r="C390" s="464"/>
      <c r="D390" s="464"/>
      <c r="E390" s="465">
        <v>100000</v>
      </c>
      <c r="F390" s="466" t="e">
        <f>-SUMIFS([1]!Tabela4[Realizado],[1]!Tabela4[Vencimento],'[1]Fluxo caixa KIM-BIG'!B354,[1]!Tabela4[KIM/TACOM],'[1]Fluxo caixa KIM-BIG'!$H$2)</f>
        <v>#REF!</v>
      </c>
      <c r="G390" s="466"/>
      <c r="H390" s="465"/>
      <c r="I390" s="462" t="e">
        <f t="shared" si="12"/>
        <v>#REF!</v>
      </c>
    </row>
    <row r="391" spans="2:9" x14ac:dyDescent="0.3">
      <c r="B391" s="463">
        <v>45649</v>
      </c>
      <c r="C391" s="464"/>
      <c r="D391" s="464"/>
      <c r="E391" s="465"/>
      <c r="F391" s="466" t="e">
        <f>-SUMIFS([1]!Tabela4[Realizado],[1]!Tabela4[Vencimento],'[1]Fluxo caixa KIM-BIG'!B355,[1]!Tabela4[KIM/TACOM],'[1]Fluxo caixa KIM-BIG'!$H$2)</f>
        <v>#REF!</v>
      </c>
      <c r="G391" s="466"/>
      <c r="H391" s="465"/>
      <c r="I391" s="462" t="e">
        <f t="shared" si="12"/>
        <v>#REF!</v>
      </c>
    </row>
    <row r="392" spans="2:9" x14ac:dyDescent="0.3">
      <c r="B392" s="463">
        <v>45650</v>
      </c>
      <c r="C392" s="464"/>
      <c r="D392" s="464"/>
      <c r="E392" s="467"/>
      <c r="F392" s="466" t="e">
        <f>-SUMIFS([1]!Tabela4[Realizado],[1]!Tabela4[Vencimento],'[1]Fluxo caixa KIM-BIG'!B356,[1]!Tabela4[KIM/TACOM],'[1]Fluxo caixa KIM-BIG'!$H$2)</f>
        <v>#REF!</v>
      </c>
      <c r="G392" s="466"/>
      <c r="H392" s="465"/>
      <c r="I392" s="462" t="e">
        <f t="shared" si="12"/>
        <v>#REF!</v>
      </c>
    </row>
    <row r="393" spans="2:9" x14ac:dyDescent="0.3">
      <c r="B393" s="463">
        <v>45651</v>
      </c>
      <c r="C393" s="464"/>
      <c r="D393" s="464"/>
      <c r="E393" s="467"/>
      <c r="F393" s="466" t="e">
        <f>-SUMIFS([1]!Tabela4[Realizado],[1]!Tabela4[Vencimento],'[1]Fluxo caixa KIM-BIG'!B357,[1]!Tabela4[KIM/TACOM],'[1]Fluxo caixa KIM-BIG'!$H$2)</f>
        <v>#REF!</v>
      </c>
      <c r="G393" s="466"/>
      <c r="H393" s="465"/>
      <c r="I393" s="462" t="e">
        <f t="shared" si="12"/>
        <v>#REF!</v>
      </c>
    </row>
    <row r="394" spans="2:9" x14ac:dyDescent="0.3">
      <c r="B394" s="463">
        <v>45652</v>
      </c>
      <c r="C394" s="464"/>
      <c r="D394" s="464"/>
      <c r="E394" s="467"/>
      <c r="F394" s="466" t="e">
        <f>-SUMIFS([1]!Tabela4[Realizado],[1]!Tabela4[Vencimento],'[1]Fluxo caixa KIM-BIG'!B358,[1]!Tabela4[KIM/TACOM],'[1]Fluxo caixa KIM-BIG'!$H$2)</f>
        <v>#REF!</v>
      </c>
      <c r="G394" s="466"/>
      <c r="H394" s="465"/>
      <c r="I394" s="462" t="e">
        <f t="shared" si="12"/>
        <v>#REF!</v>
      </c>
    </row>
    <row r="395" spans="2:9" x14ac:dyDescent="0.3">
      <c r="B395" s="463">
        <v>45653</v>
      </c>
      <c r="C395" s="464"/>
      <c r="D395" s="464"/>
      <c r="E395" s="467"/>
      <c r="F395" s="466" t="e">
        <f>-SUMIFS([1]!Tabela4[Realizado],[1]!Tabela4[Vencimento],'[1]Fluxo caixa KIM-BIG'!B359,[1]!Tabela4[KIM/TACOM],'[1]Fluxo caixa KIM-BIG'!$H$2)</f>
        <v>#REF!</v>
      </c>
      <c r="G395" s="466"/>
      <c r="H395" s="465"/>
      <c r="I395" s="462" t="e">
        <f t="shared" si="12"/>
        <v>#REF!</v>
      </c>
    </row>
    <row r="396" spans="2:9" x14ac:dyDescent="0.3">
      <c r="B396" s="463">
        <v>45656</v>
      </c>
      <c r="C396" s="464"/>
      <c r="D396" s="464"/>
      <c r="E396" s="467">
        <v>150000</v>
      </c>
      <c r="F396" s="466" t="e">
        <f>-SUMIFS([1]!Tabela4[Realizado],[1]!Tabela4[Vencimento],'[1]Fluxo caixa KIM-BIG'!B360,[1]!Tabela4[KIM/TACOM],'[1]Fluxo caixa KIM-BIG'!$H$2)</f>
        <v>#REF!</v>
      </c>
      <c r="G396" s="466"/>
      <c r="H396" s="465"/>
      <c r="I396" s="462" t="e">
        <f t="shared" si="12"/>
        <v>#REF!</v>
      </c>
    </row>
    <row r="397" spans="2:9" x14ac:dyDescent="0.3">
      <c r="B397" s="463">
        <v>45657</v>
      </c>
      <c r="C397" s="464"/>
      <c r="D397" s="464"/>
      <c r="E397" s="467"/>
      <c r="F397" s="466" t="e">
        <f>-SUMIFS([1]!Tabela4[Realizado],[1]!Tabela4[Vencimento],'[1]Fluxo caixa KIM-BIG'!B361,[1]!Tabela4[KIM/TACOM],'[1]Fluxo caixa KIM-BIG'!$H$2)</f>
        <v>#REF!</v>
      </c>
      <c r="G397" s="466"/>
      <c r="H397" s="465"/>
      <c r="I397" s="462" t="e">
        <f t="shared" si="12"/>
        <v>#REF!</v>
      </c>
    </row>
    <row r="398" spans="2:9" ht="15" thickBot="1" x14ac:dyDescent="0.35">
      <c r="B398" s="463"/>
      <c r="C398" s="464"/>
      <c r="D398" s="464"/>
      <c r="E398" s="467"/>
      <c r="F398" s="466" t="e">
        <f>-SUMIFS([1]!Tabela4[Realizado],[1]!Tabela4[Vencimento],'[1]Fluxo caixa KIM-BIG'!B362,[1]!Tabela4[KIM/TACOM],'[1]Fluxo caixa KIM-BIG'!$H$2)</f>
        <v>#REF!</v>
      </c>
      <c r="G398" s="466"/>
      <c r="H398" s="465"/>
      <c r="I398" s="462" t="e">
        <f t="shared" si="12"/>
        <v>#REF!</v>
      </c>
    </row>
    <row r="399" spans="2:9" ht="15" thickBot="1" x14ac:dyDescent="0.35">
      <c r="B399" s="469" t="s">
        <v>79</v>
      </c>
      <c r="C399" s="470"/>
      <c r="D399" s="470"/>
      <c r="E399" s="471">
        <f>SUM(E376:E398)</f>
        <v>500000</v>
      </c>
      <c r="F399" s="472"/>
      <c r="G399" s="472"/>
      <c r="H399" s="471">
        <f>SUM(H376:H395)</f>
        <v>0</v>
      </c>
      <c r="I399" s="473"/>
    </row>
    <row r="400" spans="2:9" x14ac:dyDescent="0.3">
      <c r="C400" s="475"/>
      <c r="D400" s="475"/>
      <c r="E400" s="476"/>
      <c r="F400" s="477"/>
      <c r="G400" s="477"/>
      <c r="H400" s="476"/>
      <c r="I400" s="478" t="e">
        <f>#REF!+#REF!</f>
        <v>#REF!</v>
      </c>
    </row>
  </sheetData>
  <mergeCells count="24">
    <mergeCell ref="B73:B74"/>
    <mergeCell ref="C75:H75"/>
    <mergeCell ref="B110:B111"/>
    <mergeCell ref="C112:H112"/>
    <mergeCell ref="B2:B3"/>
    <mergeCell ref="C4:H4"/>
    <mergeCell ref="B39:B40"/>
    <mergeCell ref="C41:H41"/>
    <mergeCell ref="B222:B223"/>
    <mergeCell ref="C224:H224"/>
    <mergeCell ref="B253:B254"/>
    <mergeCell ref="C255:H255"/>
    <mergeCell ref="B147:B148"/>
    <mergeCell ref="C149:H149"/>
    <mergeCell ref="B185:B186"/>
    <mergeCell ref="C187:H187"/>
    <mergeCell ref="B343:B344"/>
    <mergeCell ref="C345:H345"/>
    <mergeCell ref="B373:B374"/>
    <mergeCell ref="C375:H375"/>
    <mergeCell ref="B283:B284"/>
    <mergeCell ref="C285:H285"/>
    <mergeCell ref="B313:B314"/>
    <mergeCell ref="C315:H315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A730-9D62-45C3-AB13-88ACC0E80D84}">
  <sheetPr>
    <tabColor theme="5" tint="-0.249977111117893"/>
  </sheetPr>
  <dimension ref="B1:J400"/>
  <sheetViews>
    <sheetView showGridLines="0" topLeftCell="B3" workbookViewId="0">
      <selection activeCell="I35" sqref="I35"/>
    </sheetView>
  </sheetViews>
  <sheetFormatPr defaultRowHeight="14.4" x14ac:dyDescent="0.3"/>
  <cols>
    <col min="2" max="2" width="27.109375" style="474" bestFit="1" customWidth="1"/>
    <col min="3" max="3" width="19.109375" style="479" customWidth="1"/>
    <col min="4" max="4" width="13.88671875" style="479" customWidth="1"/>
    <col min="5" max="5" width="16.44140625" style="460" bestFit="1" customWidth="1"/>
    <col min="6" max="6" width="19.44140625" style="480" bestFit="1" customWidth="1"/>
    <col min="7" max="7" width="19.44140625" style="480" customWidth="1"/>
    <col min="8" max="8" width="24" style="460" bestFit="1" customWidth="1"/>
    <col min="9" max="9" width="15.5546875" style="460" customWidth="1"/>
    <col min="10" max="10" width="13.33203125" bestFit="1" customWidth="1"/>
    <col min="12" max="12" width="9.5546875" bestFit="1" customWidth="1"/>
    <col min="16332" max="16332" width="10.109375" bestFit="1" customWidth="1"/>
  </cols>
  <sheetData>
    <row r="1" spans="2:9" ht="26.4" thickBot="1" x14ac:dyDescent="0.55000000000000004">
      <c r="B1" s="452" t="s">
        <v>723</v>
      </c>
      <c r="C1" s="453"/>
      <c r="D1" s="453"/>
      <c r="E1" s="453"/>
      <c r="F1" s="453"/>
      <c r="G1" s="453"/>
      <c r="H1" s="453"/>
      <c r="I1" s="453"/>
    </row>
    <row r="2" spans="2:9" ht="15" thickBot="1" x14ac:dyDescent="0.35">
      <c r="B2" s="516" t="s">
        <v>716</v>
      </c>
      <c r="C2" s="454"/>
      <c r="D2" s="454"/>
      <c r="E2" s="454"/>
      <c r="F2" s="454"/>
      <c r="G2" s="454"/>
      <c r="H2" s="454"/>
      <c r="I2" s="455"/>
    </row>
    <row r="3" spans="2:9" ht="15" thickBot="1" x14ac:dyDescent="0.35">
      <c r="B3" s="517"/>
      <c r="C3" s="456" t="s">
        <v>717</v>
      </c>
      <c r="D3" s="456" t="s">
        <v>718</v>
      </c>
      <c r="E3" s="457" t="s">
        <v>735</v>
      </c>
      <c r="F3" s="458" t="s">
        <v>719</v>
      </c>
      <c r="G3" s="458" t="s">
        <v>720</v>
      </c>
      <c r="H3" s="484" t="s">
        <v>736</v>
      </c>
      <c r="I3" s="459" t="s">
        <v>721</v>
      </c>
    </row>
    <row r="4" spans="2:9" x14ac:dyDescent="0.3">
      <c r="B4" s="461"/>
      <c r="C4" s="518"/>
      <c r="D4" s="518"/>
      <c r="E4" s="518"/>
      <c r="F4" s="518"/>
      <c r="G4" s="518"/>
      <c r="H4" s="519"/>
      <c r="I4" s="462">
        <v>0</v>
      </c>
    </row>
    <row r="5" spans="2:9" x14ac:dyDescent="0.3">
      <c r="B5" s="463">
        <v>46023</v>
      </c>
      <c r="C5" s="464">
        <v>0</v>
      </c>
      <c r="D5" s="464">
        <v>0</v>
      </c>
      <c r="E5" s="465">
        <v>0</v>
      </c>
      <c r="F5" s="495">
        <v>-13355.79</v>
      </c>
      <c r="G5" s="466">
        <v>0</v>
      </c>
      <c r="H5" s="467">
        <v>0</v>
      </c>
      <c r="I5" s="462">
        <f t="shared" ref="I5:I35" si="0">+I4+C5+E5+G5+H5+F5+D5</f>
        <v>-13355.79</v>
      </c>
    </row>
    <row r="6" spans="2:9" x14ac:dyDescent="0.3">
      <c r="B6" s="463">
        <v>46024</v>
      </c>
      <c r="C6" s="464">
        <v>0</v>
      </c>
      <c r="D6" s="464">
        <v>0</v>
      </c>
      <c r="E6" s="465">
        <v>0</v>
      </c>
      <c r="F6" s="495">
        <v>-7771.32</v>
      </c>
      <c r="G6" s="466">
        <v>0</v>
      </c>
      <c r="H6" s="467">
        <v>0</v>
      </c>
      <c r="I6" s="462">
        <f t="shared" si="0"/>
        <v>-21127.11</v>
      </c>
    </row>
    <row r="7" spans="2:9" x14ac:dyDescent="0.3">
      <c r="B7" s="463">
        <v>46025</v>
      </c>
      <c r="C7" s="464">
        <v>0</v>
      </c>
      <c r="D7" s="464">
        <v>0</v>
      </c>
      <c r="E7" s="465">
        <v>0</v>
      </c>
      <c r="F7" s="495">
        <v>-2941.69</v>
      </c>
      <c r="G7" s="466">
        <v>0</v>
      </c>
      <c r="H7" s="467">
        <v>0</v>
      </c>
      <c r="I7" s="462">
        <f t="shared" si="0"/>
        <v>-24068.799999999999</v>
      </c>
    </row>
    <row r="8" spans="2:9" x14ac:dyDescent="0.3">
      <c r="B8" s="463">
        <v>46026</v>
      </c>
      <c r="C8" s="464">
        <v>0</v>
      </c>
      <c r="D8" s="464">
        <v>0</v>
      </c>
      <c r="E8" s="465">
        <v>0</v>
      </c>
      <c r="F8" s="495">
        <v>-2103.31</v>
      </c>
      <c r="G8" s="466">
        <v>0</v>
      </c>
      <c r="H8" s="467">
        <v>0</v>
      </c>
      <c r="I8" s="462">
        <f t="shared" si="0"/>
        <v>-26172.11</v>
      </c>
    </row>
    <row r="9" spans="2:9" x14ac:dyDescent="0.3">
      <c r="B9" s="463">
        <v>46027</v>
      </c>
      <c r="C9" s="464">
        <v>0</v>
      </c>
      <c r="D9" s="464">
        <v>0</v>
      </c>
      <c r="E9" s="465">
        <v>0</v>
      </c>
      <c r="F9" s="495">
        <f>-(9779+17000+2000+3533.7)</f>
        <v>-32312.7</v>
      </c>
      <c r="G9" s="466">
        <v>0</v>
      </c>
      <c r="H9" s="467">
        <v>0</v>
      </c>
      <c r="I9" s="462">
        <f t="shared" si="0"/>
        <v>-58484.81</v>
      </c>
    </row>
    <row r="10" spans="2:9" x14ac:dyDescent="0.3">
      <c r="B10" s="463">
        <v>46028</v>
      </c>
      <c r="C10" s="464">
        <v>0</v>
      </c>
      <c r="D10" s="464">
        <v>0</v>
      </c>
      <c r="E10" s="465">
        <v>0</v>
      </c>
      <c r="F10" s="495">
        <v>-20097.43</v>
      </c>
      <c r="G10" s="466">
        <v>0</v>
      </c>
      <c r="H10" s="467">
        <v>0</v>
      </c>
      <c r="I10" s="462">
        <f t="shared" si="0"/>
        <v>-78582.239999999991</v>
      </c>
    </row>
    <row r="11" spans="2:9" x14ac:dyDescent="0.3">
      <c r="B11" s="463">
        <v>46029</v>
      </c>
      <c r="C11" s="464">
        <v>0</v>
      </c>
      <c r="D11" s="464">
        <v>0</v>
      </c>
      <c r="E11" s="465">
        <v>0</v>
      </c>
      <c r="F11" s="495">
        <v>-10346.24</v>
      </c>
      <c r="G11" s="466">
        <v>0</v>
      </c>
      <c r="H11" s="467">
        <v>0</v>
      </c>
      <c r="I11" s="462">
        <f t="shared" si="0"/>
        <v>-88928.48</v>
      </c>
    </row>
    <row r="12" spans="2:9" x14ac:dyDescent="0.3">
      <c r="B12" s="463">
        <v>46030</v>
      </c>
      <c r="C12" s="464">
        <v>0</v>
      </c>
      <c r="D12" s="464">
        <v>0</v>
      </c>
      <c r="E12" s="465">
        <v>0</v>
      </c>
      <c r="F12" s="495">
        <v>-13283.89</v>
      </c>
      <c r="G12" s="466">
        <v>0</v>
      </c>
      <c r="H12" s="467">
        <v>0</v>
      </c>
      <c r="I12" s="462">
        <f t="shared" si="0"/>
        <v>-102212.37</v>
      </c>
    </row>
    <row r="13" spans="2:9" x14ac:dyDescent="0.3">
      <c r="B13" s="463">
        <v>46031</v>
      </c>
      <c r="C13" s="464">
        <v>0</v>
      </c>
      <c r="D13" s="464">
        <v>0</v>
      </c>
      <c r="E13" s="465">
        <v>0</v>
      </c>
      <c r="F13" s="434">
        <f>-(2150+850+250+5000+3000+6840.31)</f>
        <v>-18090.310000000001</v>
      </c>
      <c r="G13" s="466">
        <v>0</v>
      </c>
      <c r="H13" s="467">
        <v>0</v>
      </c>
      <c r="I13" s="462">
        <f t="shared" si="0"/>
        <v>-120302.68</v>
      </c>
    </row>
    <row r="14" spans="2:9" x14ac:dyDescent="0.3">
      <c r="B14" s="463">
        <v>46032</v>
      </c>
      <c r="C14" s="464">
        <v>0</v>
      </c>
      <c r="D14" s="464">
        <v>0</v>
      </c>
      <c r="E14" s="465">
        <v>0</v>
      </c>
      <c r="F14" s="495">
        <v>-8358.27</v>
      </c>
      <c r="G14" s="466">
        <v>0</v>
      </c>
      <c r="H14" s="467">
        <v>0</v>
      </c>
      <c r="I14" s="462">
        <f t="shared" si="0"/>
        <v>-128660.95</v>
      </c>
    </row>
    <row r="15" spans="2:9" x14ac:dyDescent="0.3">
      <c r="B15" s="463">
        <v>46033</v>
      </c>
      <c r="C15" s="464">
        <v>0</v>
      </c>
      <c r="D15" s="464">
        <v>0</v>
      </c>
      <c r="E15" s="465">
        <v>0</v>
      </c>
      <c r="F15" s="495">
        <v>-7281.7</v>
      </c>
      <c r="G15" s="466">
        <v>0</v>
      </c>
      <c r="H15" s="467">
        <v>0</v>
      </c>
      <c r="I15" s="462">
        <f t="shared" si="0"/>
        <v>-135942.65</v>
      </c>
    </row>
    <row r="16" spans="2:9" x14ac:dyDescent="0.3">
      <c r="B16" s="463">
        <v>46034</v>
      </c>
      <c r="C16" s="464">
        <v>0</v>
      </c>
      <c r="D16" s="464">
        <v>0</v>
      </c>
      <c r="E16" s="465">
        <v>0</v>
      </c>
      <c r="F16" s="495">
        <v>-4822.6899999999996</v>
      </c>
      <c r="G16" s="466">
        <v>0</v>
      </c>
      <c r="H16" s="467">
        <v>0</v>
      </c>
      <c r="I16" s="462">
        <f t="shared" si="0"/>
        <v>-140765.34</v>
      </c>
    </row>
    <row r="17" spans="2:9" x14ac:dyDescent="0.3">
      <c r="B17" s="463">
        <v>46035</v>
      </c>
      <c r="C17" s="464">
        <v>0</v>
      </c>
      <c r="D17" s="464">
        <v>0</v>
      </c>
      <c r="E17" s="465">
        <v>0</v>
      </c>
      <c r="F17" s="495">
        <v>-12056.85</v>
      </c>
      <c r="G17" s="466">
        <v>0</v>
      </c>
      <c r="H17" s="467">
        <v>0</v>
      </c>
      <c r="I17" s="462">
        <f t="shared" si="0"/>
        <v>-152822.19</v>
      </c>
    </row>
    <row r="18" spans="2:9" x14ac:dyDescent="0.3">
      <c r="B18" s="463">
        <v>46036</v>
      </c>
      <c r="C18" s="464">
        <v>0</v>
      </c>
      <c r="D18" s="464">
        <v>0</v>
      </c>
      <c r="E18" s="465">
        <v>0</v>
      </c>
      <c r="F18" s="495">
        <v>-1953.24</v>
      </c>
      <c r="G18" s="466">
        <v>0</v>
      </c>
      <c r="H18" s="467">
        <v>0</v>
      </c>
      <c r="I18" s="462">
        <f t="shared" si="0"/>
        <v>-154775.43</v>
      </c>
    </row>
    <row r="19" spans="2:9" x14ac:dyDescent="0.3">
      <c r="B19" s="463">
        <v>46037</v>
      </c>
      <c r="C19" s="464">
        <v>0</v>
      </c>
      <c r="D19" s="464">
        <v>0</v>
      </c>
      <c r="E19" s="465">
        <v>0</v>
      </c>
      <c r="F19" s="434">
        <f>-(6602+4683.06)</f>
        <v>-11285.060000000001</v>
      </c>
      <c r="G19" s="466">
        <v>0</v>
      </c>
      <c r="H19" s="467">
        <v>0</v>
      </c>
      <c r="I19" s="462">
        <f t="shared" si="0"/>
        <v>-166060.49</v>
      </c>
    </row>
    <row r="20" spans="2:9" x14ac:dyDescent="0.3">
      <c r="B20" s="463">
        <v>46038</v>
      </c>
      <c r="C20" s="464">
        <v>0</v>
      </c>
      <c r="D20" s="464">
        <v>0</v>
      </c>
      <c r="E20" s="465">
        <v>0</v>
      </c>
      <c r="F20" s="495">
        <v>-9768.98</v>
      </c>
      <c r="G20" s="466">
        <v>0</v>
      </c>
      <c r="H20" s="467">
        <v>0</v>
      </c>
      <c r="I20" s="462">
        <f t="shared" si="0"/>
        <v>-175829.47</v>
      </c>
    </row>
    <row r="21" spans="2:9" x14ac:dyDescent="0.3">
      <c r="B21" s="463">
        <v>46039</v>
      </c>
      <c r="C21" s="464">
        <v>0</v>
      </c>
      <c r="D21" s="464">
        <v>0</v>
      </c>
      <c r="E21" s="465">
        <v>0</v>
      </c>
      <c r="F21" s="495">
        <v>-7181.73</v>
      </c>
      <c r="G21" s="466">
        <v>0</v>
      </c>
      <c r="H21" s="467">
        <v>0</v>
      </c>
      <c r="I21" s="462">
        <f t="shared" si="0"/>
        <v>-183011.20000000001</v>
      </c>
    </row>
    <row r="22" spans="2:9" x14ac:dyDescent="0.3">
      <c r="B22" s="463">
        <v>46040</v>
      </c>
      <c r="C22" s="464">
        <v>0</v>
      </c>
      <c r="D22" s="464">
        <v>0</v>
      </c>
      <c r="E22" s="465">
        <v>0</v>
      </c>
      <c r="F22" s="495">
        <v>-4401.47</v>
      </c>
      <c r="G22" s="466">
        <v>0</v>
      </c>
      <c r="H22" s="467">
        <v>0</v>
      </c>
      <c r="I22" s="462">
        <f t="shared" si="0"/>
        <v>-187412.67</v>
      </c>
    </row>
    <row r="23" spans="2:9" x14ac:dyDescent="0.3">
      <c r="B23" s="463">
        <v>46041</v>
      </c>
      <c r="C23" s="464">
        <v>0</v>
      </c>
      <c r="D23" s="464">
        <v>0</v>
      </c>
      <c r="E23" s="465">
        <v>0</v>
      </c>
      <c r="F23" s="495">
        <v>-18370.240000000002</v>
      </c>
      <c r="G23" s="466">
        <v>0</v>
      </c>
      <c r="H23" s="467">
        <v>0</v>
      </c>
      <c r="I23" s="462">
        <f t="shared" si="0"/>
        <v>-205782.91</v>
      </c>
    </row>
    <row r="24" spans="2:9" x14ac:dyDescent="0.3">
      <c r="B24" s="463">
        <v>46042</v>
      </c>
      <c r="C24" s="464">
        <v>0</v>
      </c>
      <c r="D24" s="464">
        <v>0</v>
      </c>
      <c r="E24" s="465">
        <v>0</v>
      </c>
      <c r="F24" s="434">
        <f>-(1973+450+40000+7117.18)</f>
        <v>-49540.18</v>
      </c>
      <c r="G24" s="466">
        <v>0</v>
      </c>
      <c r="H24" s="467">
        <v>0</v>
      </c>
      <c r="I24" s="462">
        <f t="shared" si="0"/>
        <v>-255323.09</v>
      </c>
    </row>
    <row r="25" spans="2:9" x14ac:dyDescent="0.3">
      <c r="B25" s="463">
        <v>46043</v>
      </c>
      <c r="C25" s="464">
        <v>0</v>
      </c>
      <c r="D25" s="464">
        <v>0</v>
      </c>
      <c r="E25" s="465">
        <v>0</v>
      </c>
      <c r="F25" s="495">
        <v>-8604.5300000000007</v>
      </c>
      <c r="G25" s="466">
        <v>0</v>
      </c>
      <c r="H25" s="467">
        <v>0</v>
      </c>
      <c r="I25" s="462">
        <f t="shared" si="0"/>
        <v>-263927.62</v>
      </c>
    </row>
    <row r="26" spans="2:9" x14ac:dyDescent="0.3">
      <c r="B26" s="463">
        <v>46044</v>
      </c>
      <c r="C26" s="464">
        <v>0</v>
      </c>
      <c r="D26" s="464">
        <v>0</v>
      </c>
      <c r="E26" s="465">
        <v>0</v>
      </c>
      <c r="F26" s="495">
        <v>-3392.47</v>
      </c>
      <c r="G26" s="466">
        <v>0</v>
      </c>
      <c r="H26" s="467">
        <v>0</v>
      </c>
      <c r="I26" s="462">
        <f t="shared" si="0"/>
        <v>-267320.08999999997</v>
      </c>
    </row>
    <row r="27" spans="2:9" x14ac:dyDescent="0.3">
      <c r="B27" s="463">
        <v>46045</v>
      </c>
      <c r="C27" s="464">
        <v>0</v>
      </c>
      <c r="D27" s="464">
        <v>0</v>
      </c>
      <c r="E27" s="465">
        <v>0</v>
      </c>
      <c r="F27" s="495">
        <v>-5848.52</v>
      </c>
      <c r="G27" s="466">
        <v>0</v>
      </c>
      <c r="H27" s="467">
        <v>0</v>
      </c>
      <c r="I27" s="462">
        <f t="shared" si="0"/>
        <v>-273168.61</v>
      </c>
    </row>
    <row r="28" spans="2:9" x14ac:dyDescent="0.3">
      <c r="B28" s="463">
        <v>46046</v>
      </c>
      <c r="C28" s="464">
        <v>0</v>
      </c>
      <c r="D28" s="464">
        <v>0</v>
      </c>
      <c r="E28" s="465">
        <v>0</v>
      </c>
      <c r="F28" s="495">
        <v>-3958.05</v>
      </c>
      <c r="G28" s="466">
        <v>0</v>
      </c>
      <c r="H28" s="467">
        <v>0</v>
      </c>
      <c r="I28" s="462">
        <f t="shared" si="0"/>
        <v>-277126.65999999997</v>
      </c>
    </row>
    <row r="29" spans="2:9" x14ac:dyDescent="0.3">
      <c r="B29" s="463">
        <v>46047</v>
      </c>
      <c r="C29" s="464">
        <v>0</v>
      </c>
      <c r="D29" s="464">
        <v>0</v>
      </c>
      <c r="E29" s="465">
        <v>0</v>
      </c>
      <c r="F29" s="495">
        <v>-6206.49</v>
      </c>
      <c r="G29" s="466">
        <v>0</v>
      </c>
      <c r="H29" s="467">
        <v>0</v>
      </c>
      <c r="I29" s="462">
        <f t="shared" si="0"/>
        <v>-283333.14999999997</v>
      </c>
    </row>
    <row r="30" spans="2:9" x14ac:dyDescent="0.3">
      <c r="B30" s="463">
        <v>46048</v>
      </c>
      <c r="C30" s="464">
        <v>0</v>
      </c>
      <c r="D30" s="464">
        <v>0</v>
      </c>
      <c r="E30" s="465">
        <v>0</v>
      </c>
      <c r="F30" s="495">
        <v>-10448.969999999999</v>
      </c>
      <c r="G30" s="466">
        <v>0</v>
      </c>
      <c r="H30" s="467">
        <v>0</v>
      </c>
      <c r="I30" s="462">
        <f t="shared" si="0"/>
        <v>-293782.11999999994</v>
      </c>
    </row>
    <row r="31" spans="2:9" x14ac:dyDescent="0.3">
      <c r="B31" s="463">
        <v>46049</v>
      </c>
      <c r="C31" s="464">
        <v>0</v>
      </c>
      <c r="D31" s="464">
        <v>0</v>
      </c>
      <c r="E31" s="465">
        <v>0</v>
      </c>
      <c r="F31" s="495">
        <v>-4945.0600000000004</v>
      </c>
      <c r="G31" s="466">
        <v>0</v>
      </c>
      <c r="H31" s="467">
        <v>0</v>
      </c>
      <c r="I31" s="462">
        <f t="shared" si="0"/>
        <v>-298727.17999999993</v>
      </c>
    </row>
    <row r="32" spans="2:9" x14ac:dyDescent="0.3">
      <c r="B32" s="463">
        <v>46050</v>
      </c>
      <c r="C32" s="464">
        <v>0</v>
      </c>
      <c r="D32" s="464">
        <v>0</v>
      </c>
      <c r="E32" s="465">
        <v>0</v>
      </c>
      <c r="F32" s="495">
        <v>-5272.06</v>
      </c>
      <c r="G32" s="466">
        <v>0</v>
      </c>
      <c r="H32" s="467">
        <v>0</v>
      </c>
      <c r="I32" s="462">
        <f t="shared" si="0"/>
        <v>-303999.23999999993</v>
      </c>
    </row>
    <row r="33" spans="2:9" x14ac:dyDescent="0.3">
      <c r="B33" s="463">
        <v>46051</v>
      </c>
      <c r="C33" s="464">
        <v>0</v>
      </c>
      <c r="D33" s="464">
        <v>0</v>
      </c>
      <c r="E33" s="465">
        <v>0</v>
      </c>
      <c r="F33" s="495">
        <v>-5055.84</v>
      </c>
      <c r="G33" s="466">
        <v>0</v>
      </c>
      <c r="H33" s="467">
        <v>0</v>
      </c>
      <c r="I33" s="462">
        <f t="shared" si="0"/>
        <v>-309055.07999999996</v>
      </c>
    </row>
    <row r="34" spans="2:9" x14ac:dyDescent="0.3">
      <c r="B34" s="463">
        <v>46052</v>
      </c>
      <c r="C34" s="464">
        <v>0</v>
      </c>
      <c r="D34" s="464">
        <v>0</v>
      </c>
      <c r="E34" s="465">
        <v>0</v>
      </c>
      <c r="F34" s="434">
        <f>-(1000+4915.13)</f>
        <v>-5915.13</v>
      </c>
      <c r="G34" s="466">
        <v>0</v>
      </c>
      <c r="H34" s="467">
        <v>0</v>
      </c>
      <c r="I34" s="462">
        <f t="shared" si="0"/>
        <v>-314970.20999999996</v>
      </c>
    </row>
    <row r="35" spans="2:9" ht="15" thickBot="1" x14ac:dyDescent="0.35">
      <c r="B35" s="463">
        <v>46053</v>
      </c>
      <c r="C35" s="464">
        <v>0</v>
      </c>
      <c r="D35" s="464">
        <v>0</v>
      </c>
      <c r="E35" s="465">
        <v>0</v>
      </c>
      <c r="F35" s="495">
        <v>-9762.83</v>
      </c>
      <c r="G35" s="466">
        <v>0</v>
      </c>
      <c r="H35" s="467">
        <v>0</v>
      </c>
      <c r="I35" s="462">
        <f t="shared" si="0"/>
        <v>-324733.03999999998</v>
      </c>
    </row>
    <row r="36" spans="2:9" ht="15" thickBot="1" x14ac:dyDescent="0.35">
      <c r="B36" s="469" t="s">
        <v>79</v>
      </c>
      <c r="C36" s="470">
        <f>SUM(C5:C35)</f>
        <v>0</v>
      </c>
      <c r="D36" s="470"/>
      <c r="E36" s="471">
        <f>SUM(E5:E35)</f>
        <v>0</v>
      </c>
      <c r="F36" s="472">
        <f>SUM(F5:F35)</f>
        <v>-324733.03999999998</v>
      </c>
      <c r="G36" s="472">
        <f>SUM(G5:G35)</f>
        <v>0</v>
      </c>
      <c r="H36" s="471">
        <f>SUM(H5:H35)</f>
        <v>0</v>
      </c>
      <c r="I36" s="473"/>
    </row>
    <row r="37" spans="2:9" ht="15" thickBot="1" x14ac:dyDescent="0.35"/>
    <row r="38" spans="2:9" ht="26.4" thickBot="1" x14ac:dyDescent="0.55000000000000004">
      <c r="B38" s="452" t="s">
        <v>724</v>
      </c>
      <c r="C38" s="453"/>
      <c r="D38" s="453"/>
      <c r="E38" s="453"/>
      <c r="F38" s="453"/>
      <c r="G38" s="453"/>
      <c r="H38" s="453"/>
      <c r="I38" s="453"/>
    </row>
    <row r="39" spans="2:9" ht="15" thickBot="1" x14ac:dyDescent="0.35">
      <c r="B39" s="516" t="s">
        <v>716</v>
      </c>
      <c r="C39" s="454"/>
      <c r="D39" s="454"/>
      <c r="E39" s="454"/>
      <c r="F39" s="454"/>
      <c r="G39" s="454"/>
      <c r="H39" s="454"/>
      <c r="I39" s="455"/>
    </row>
    <row r="40" spans="2:9" ht="15" thickBot="1" x14ac:dyDescent="0.35">
      <c r="B40" s="517"/>
      <c r="C40" s="456" t="s">
        <v>717</v>
      </c>
      <c r="D40" s="456" t="s">
        <v>718</v>
      </c>
      <c r="E40" s="457" t="s">
        <v>735</v>
      </c>
      <c r="F40" s="458" t="s">
        <v>719</v>
      </c>
      <c r="G40" s="458" t="s">
        <v>720</v>
      </c>
      <c r="H40" s="484" t="s">
        <v>736</v>
      </c>
      <c r="I40" s="459" t="s">
        <v>721</v>
      </c>
    </row>
    <row r="41" spans="2:9" x14ac:dyDescent="0.3">
      <c r="B41" s="461"/>
      <c r="C41" s="518"/>
      <c r="D41" s="518"/>
      <c r="E41" s="518"/>
      <c r="F41" s="518"/>
      <c r="G41" s="518"/>
      <c r="H41" s="519"/>
      <c r="I41" s="462">
        <f>I35</f>
        <v>-324733.03999999998</v>
      </c>
    </row>
    <row r="42" spans="2:9" x14ac:dyDescent="0.3">
      <c r="B42" s="463">
        <v>46054</v>
      </c>
      <c r="C42" s="464">
        <v>0</v>
      </c>
      <c r="D42" s="464">
        <v>0</v>
      </c>
      <c r="E42" s="467">
        <v>0</v>
      </c>
      <c r="F42" s="432">
        <v>-5910.39</v>
      </c>
      <c r="G42" s="466">
        <v>0</v>
      </c>
      <c r="H42" s="467">
        <v>0</v>
      </c>
      <c r="I42" s="462">
        <f>+I41+C42+E42+G42+H42+F42+D42</f>
        <v>-330643.43</v>
      </c>
    </row>
    <row r="43" spans="2:9" x14ac:dyDescent="0.3">
      <c r="B43" s="463">
        <v>46055</v>
      </c>
      <c r="C43" s="464">
        <v>0</v>
      </c>
      <c r="D43" s="464">
        <v>0</v>
      </c>
      <c r="E43" s="467">
        <v>0</v>
      </c>
      <c r="F43" s="432">
        <v>-2117.35</v>
      </c>
      <c r="G43" s="466">
        <v>0</v>
      </c>
      <c r="H43" s="467">
        <v>0</v>
      </c>
      <c r="I43" s="462">
        <f>+I42+C43+E43+G43+H43+F43+D43</f>
        <v>-332760.77999999997</v>
      </c>
    </row>
    <row r="44" spans="2:9" x14ac:dyDescent="0.3">
      <c r="B44" s="463">
        <v>46056</v>
      </c>
      <c r="C44" s="464">
        <v>0</v>
      </c>
      <c r="D44" s="464">
        <v>0</v>
      </c>
      <c r="E44" s="467">
        <v>0</v>
      </c>
      <c r="F44" s="432">
        <v>-6317.81</v>
      </c>
      <c r="G44" s="466">
        <v>0</v>
      </c>
      <c r="H44" s="467">
        <v>0</v>
      </c>
      <c r="I44" s="462">
        <f t="shared" ref="I44:I69" si="1">+I43+C44+E44+G44+H44+F44+D44</f>
        <v>-339078.58999999997</v>
      </c>
    </row>
    <row r="45" spans="2:9" x14ac:dyDescent="0.3">
      <c r="B45" s="463">
        <v>46057</v>
      </c>
      <c r="C45" s="464">
        <v>0</v>
      </c>
      <c r="D45" s="464">
        <v>0</v>
      </c>
      <c r="E45" s="467">
        <v>0</v>
      </c>
      <c r="F45" s="432">
        <v>-3723.9</v>
      </c>
      <c r="G45" s="466">
        <v>0</v>
      </c>
      <c r="H45" s="467">
        <v>0</v>
      </c>
      <c r="I45" s="462">
        <f t="shared" si="1"/>
        <v>-342802.49</v>
      </c>
    </row>
    <row r="46" spans="2:9" x14ac:dyDescent="0.3">
      <c r="B46" s="463">
        <v>46058</v>
      </c>
      <c r="C46" s="464">
        <v>0</v>
      </c>
      <c r="D46" s="464">
        <v>0</v>
      </c>
      <c r="E46" s="467">
        <v>0</v>
      </c>
      <c r="F46" s="495">
        <f>-(9779+17000+2000+12041.38)</f>
        <v>-40820.379999999997</v>
      </c>
      <c r="G46" s="466">
        <v>0</v>
      </c>
      <c r="H46" s="467">
        <v>0</v>
      </c>
      <c r="I46" s="462">
        <f t="shared" si="1"/>
        <v>-383622.87</v>
      </c>
    </row>
    <row r="47" spans="2:9" x14ac:dyDescent="0.3">
      <c r="B47" s="463">
        <v>46059</v>
      </c>
      <c r="C47" s="464">
        <v>0</v>
      </c>
      <c r="D47" s="464">
        <v>0</v>
      </c>
      <c r="E47" s="467">
        <v>0</v>
      </c>
      <c r="F47" s="432">
        <v>-5104.66</v>
      </c>
      <c r="G47" s="466">
        <v>0</v>
      </c>
      <c r="H47" s="467">
        <v>0</v>
      </c>
      <c r="I47" s="462">
        <f t="shared" si="1"/>
        <v>-388727.52999999997</v>
      </c>
    </row>
    <row r="48" spans="2:9" x14ac:dyDescent="0.3">
      <c r="B48" s="463">
        <v>46060</v>
      </c>
      <c r="C48" s="464">
        <v>0</v>
      </c>
      <c r="D48" s="464">
        <v>0</v>
      </c>
      <c r="E48" s="467">
        <v>0</v>
      </c>
      <c r="F48" s="432">
        <v>-10062.67</v>
      </c>
      <c r="G48" s="466">
        <v>0</v>
      </c>
      <c r="H48" s="467">
        <v>0</v>
      </c>
      <c r="I48" s="462">
        <f t="shared" si="1"/>
        <v>-398790.19999999995</v>
      </c>
    </row>
    <row r="49" spans="2:9" x14ac:dyDescent="0.3">
      <c r="B49" s="463">
        <v>46061</v>
      </c>
      <c r="C49" s="464">
        <v>0</v>
      </c>
      <c r="D49" s="464">
        <v>0</v>
      </c>
      <c r="E49" s="467">
        <v>0</v>
      </c>
      <c r="F49" s="432">
        <v>-377.95</v>
      </c>
      <c r="G49" s="466">
        <v>0</v>
      </c>
      <c r="H49" s="467">
        <v>0</v>
      </c>
      <c r="I49" s="462">
        <f t="shared" si="1"/>
        <v>-399168.14999999997</v>
      </c>
    </row>
    <row r="50" spans="2:9" x14ac:dyDescent="0.3">
      <c r="B50" s="463">
        <v>46062</v>
      </c>
      <c r="C50" s="464">
        <v>0</v>
      </c>
      <c r="D50" s="464">
        <v>0</v>
      </c>
      <c r="E50" s="467">
        <v>0</v>
      </c>
      <c r="F50" s="432">
        <v>-6869.34</v>
      </c>
      <c r="G50" s="466">
        <v>0</v>
      </c>
      <c r="H50" s="467">
        <v>0</v>
      </c>
      <c r="I50" s="462">
        <f t="shared" si="1"/>
        <v>-406037.49</v>
      </c>
    </row>
    <row r="51" spans="2:9" x14ac:dyDescent="0.3">
      <c r="B51" s="463">
        <v>46063</v>
      </c>
      <c r="C51" s="464">
        <v>0</v>
      </c>
      <c r="D51" s="464">
        <v>0</v>
      </c>
      <c r="E51" s="467">
        <v>0</v>
      </c>
      <c r="F51" s="434">
        <f>-(2150+850+250+5000+3000+5454.4)</f>
        <v>-16704.400000000001</v>
      </c>
      <c r="G51" s="466">
        <v>0</v>
      </c>
      <c r="H51" s="467">
        <v>0</v>
      </c>
      <c r="I51" s="462">
        <f t="shared" si="1"/>
        <v>-422741.89</v>
      </c>
    </row>
    <row r="52" spans="2:9" x14ac:dyDescent="0.3">
      <c r="B52" s="463">
        <v>46064</v>
      </c>
      <c r="C52" s="464">
        <v>0</v>
      </c>
      <c r="D52" s="464">
        <v>0</v>
      </c>
      <c r="E52" s="467">
        <v>0</v>
      </c>
      <c r="F52" s="432">
        <v>-4816.1899999999996</v>
      </c>
      <c r="G52" s="466">
        <v>0</v>
      </c>
      <c r="H52" s="467">
        <v>0</v>
      </c>
      <c r="I52" s="462">
        <f t="shared" si="1"/>
        <v>-427558.08</v>
      </c>
    </row>
    <row r="53" spans="2:9" x14ac:dyDescent="0.3">
      <c r="B53" s="463">
        <v>46065</v>
      </c>
      <c r="C53" s="464">
        <v>0</v>
      </c>
      <c r="D53" s="464">
        <v>0</v>
      </c>
      <c r="E53" s="467">
        <v>0</v>
      </c>
      <c r="F53" s="432">
        <v>-4800.3999999999996</v>
      </c>
      <c r="G53" s="466">
        <v>0</v>
      </c>
      <c r="H53" s="467">
        <v>0</v>
      </c>
      <c r="I53" s="462">
        <f t="shared" si="1"/>
        <v>-432358.48000000004</v>
      </c>
    </row>
    <row r="54" spans="2:9" x14ac:dyDescent="0.3">
      <c r="B54" s="463">
        <v>46066</v>
      </c>
      <c r="C54" s="464">
        <v>0</v>
      </c>
      <c r="D54" s="464">
        <v>0</v>
      </c>
      <c r="E54" s="467">
        <v>0</v>
      </c>
      <c r="F54" s="434">
        <f>-(6602+1251.45)</f>
        <v>-7853.45</v>
      </c>
      <c r="G54" s="466">
        <v>0</v>
      </c>
      <c r="H54" s="467">
        <v>0</v>
      </c>
      <c r="I54" s="462">
        <f t="shared" si="1"/>
        <v>-440211.93000000005</v>
      </c>
    </row>
    <row r="55" spans="2:9" x14ac:dyDescent="0.3">
      <c r="B55" s="463">
        <v>46067</v>
      </c>
      <c r="C55" s="464">
        <v>0</v>
      </c>
      <c r="D55" s="464">
        <v>0</v>
      </c>
      <c r="E55" s="467">
        <v>0</v>
      </c>
      <c r="F55" s="432">
        <v>-3588.59</v>
      </c>
      <c r="G55" s="466">
        <v>0</v>
      </c>
      <c r="H55" s="467">
        <v>0</v>
      </c>
      <c r="I55" s="462">
        <f t="shared" si="1"/>
        <v>-443800.52000000008</v>
      </c>
    </row>
    <row r="56" spans="2:9" x14ac:dyDescent="0.3">
      <c r="B56" s="463">
        <v>46068</v>
      </c>
      <c r="C56" s="464">
        <v>0</v>
      </c>
      <c r="D56" s="464">
        <v>0</v>
      </c>
      <c r="E56" s="467">
        <v>0</v>
      </c>
      <c r="F56" s="432">
        <v>-9768.9699999999993</v>
      </c>
      <c r="G56" s="466">
        <v>0</v>
      </c>
      <c r="H56" s="467">
        <v>0</v>
      </c>
      <c r="I56" s="462">
        <f t="shared" si="1"/>
        <v>-453569.49000000005</v>
      </c>
    </row>
    <row r="57" spans="2:9" x14ac:dyDescent="0.3">
      <c r="B57" s="463">
        <v>46069</v>
      </c>
      <c r="C57" s="464">
        <v>0</v>
      </c>
      <c r="D57" s="464">
        <v>0</v>
      </c>
      <c r="E57" s="467">
        <v>0</v>
      </c>
      <c r="F57" s="432">
        <v>-19605.98</v>
      </c>
      <c r="G57" s="466">
        <v>0</v>
      </c>
      <c r="H57" s="467">
        <v>0</v>
      </c>
      <c r="I57" s="462">
        <f t="shared" si="1"/>
        <v>-473175.47000000003</v>
      </c>
    </row>
    <row r="58" spans="2:9" x14ac:dyDescent="0.3">
      <c r="B58" s="463">
        <v>46070</v>
      </c>
      <c r="C58" s="464">
        <v>0</v>
      </c>
      <c r="D58" s="464">
        <v>0</v>
      </c>
      <c r="E58" s="467">
        <v>0</v>
      </c>
      <c r="F58" s="432">
        <v>-6984.39</v>
      </c>
      <c r="G58" s="466">
        <v>0</v>
      </c>
      <c r="H58" s="467">
        <v>0</v>
      </c>
      <c r="I58" s="462">
        <f t="shared" si="1"/>
        <v>-480159.86000000004</v>
      </c>
    </row>
    <row r="59" spans="2:9" x14ac:dyDescent="0.3">
      <c r="B59" s="463">
        <v>46071</v>
      </c>
      <c r="C59" s="464">
        <v>0</v>
      </c>
      <c r="D59" s="464">
        <v>0</v>
      </c>
      <c r="E59" s="467">
        <v>0</v>
      </c>
      <c r="F59" s="432">
        <v>0</v>
      </c>
      <c r="G59" s="466">
        <v>0</v>
      </c>
      <c r="H59" s="467">
        <v>0</v>
      </c>
      <c r="I59" s="462">
        <f t="shared" si="1"/>
        <v>-480159.86000000004</v>
      </c>
    </row>
    <row r="60" spans="2:9" x14ac:dyDescent="0.3">
      <c r="B60" s="463">
        <v>46072</v>
      </c>
      <c r="C60" s="464">
        <v>0</v>
      </c>
      <c r="D60" s="464">
        <v>0</v>
      </c>
      <c r="E60" s="467">
        <v>0</v>
      </c>
      <c r="F60" s="432">
        <v>-3905.48</v>
      </c>
      <c r="G60" s="466">
        <v>0</v>
      </c>
      <c r="H60" s="467">
        <v>0</v>
      </c>
      <c r="I60" s="462">
        <f t="shared" si="1"/>
        <v>-484065.34</v>
      </c>
    </row>
    <row r="61" spans="2:9" x14ac:dyDescent="0.3">
      <c r="B61" s="463">
        <v>46073</v>
      </c>
      <c r="C61" s="464">
        <v>0</v>
      </c>
      <c r="D61" s="464">
        <v>0</v>
      </c>
      <c r="E61" s="467">
        <v>0</v>
      </c>
      <c r="F61" s="434">
        <f>-(1973+450+40000+5085.1)</f>
        <v>-47508.1</v>
      </c>
      <c r="G61" s="466">
        <v>0</v>
      </c>
      <c r="H61" s="467">
        <v>0</v>
      </c>
      <c r="I61" s="462">
        <f t="shared" si="1"/>
        <v>-531573.44000000006</v>
      </c>
    </row>
    <row r="62" spans="2:9" x14ac:dyDescent="0.3">
      <c r="B62" s="463">
        <v>46074</v>
      </c>
      <c r="C62" s="464">
        <v>0</v>
      </c>
      <c r="D62" s="464">
        <v>0</v>
      </c>
      <c r="E62" s="467">
        <v>0</v>
      </c>
      <c r="F62" s="432">
        <v>-1391.41</v>
      </c>
      <c r="G62" s="466">
        <v>0</v>
      </c>
      <c r="H62" s="467">
        <v>0</v>
      </c>
      <c r="I62" s="462">
        <f t="shared" si="1"/>
        <v>-532964.85000000009</v>
      </c>
    </row>
    <row r="63" spans="2:9" x14ac:dyDescent="0.3">
      <c r="B63" s="463">
        <v>46075</v>
      </c>
      <c r="C63" s="464">
        <v>0</v>
      </c>
      <c r="D63" s="464">
        <v>0</v>
      </c>
      <c r="E63" s="467">
        <v>0</v>
      </c>
      <c r="F63" s="432">
        <v>-3304.59</v>
      </c>
      <c r="G63" s="466">
        <v>0</v>
      </c>
      <c r="H63" s="467">
        <v>0</v>
      </c>
      <c r="I63" s="462">
        <f t="shared" si="1"/>
        <v>-536269.44000000006</v>
      </c>
    </row>
    <row r="64" spans="2:9" x14ac:dyDescent="0.3">
      <c r="B64" s="463">
        <v>46076</v>
      </c>
      <c r="C64" s="464">
        <v>0</v>
      </c>
      <c r="D64" s="464">
        <v>0</v>
      </c>
      <c r="E64" s="467">
        <v>0</v>
      </c>
      <c r="F64" s="432">
        <v>-2974.54</v>
      </c>
      <c r="G64" s="466">
        <v>0</v>
      </c>
      <c r="H64" s="467">
        <v>0</v>
      </c>
      <c r="I64" s="462">
        <f t="shared" si="1"/>
        <v>-539243.9800000001</v>
      </c>
    </row>
    <row r="65" spans="2:9" x14ac:dyDescent="0.3">
      <c r="B65" s="463">
        <v>46077</v>
      </c>
      <c r="C65" s="464">
        <v>0</v>
      </c>
      <c r="D65" s="464">
        <v>0</v>
      </c>
      <c r="E65" s="467">
        <v>0</v>
      </c>
      <c r="F65" s="432">
        <v>-6603.3</v>
      </c>
      <c r="G65" s="466">
        <v>0</v>
      </c>
      <c r="H65" s="467">
        <v>0</v>
      </c>
      <c r="I65" s="462">
        <f t="shared" si="1"/>
        <v>-545847.28000000014</v>
      </c>
    </row>
    <row r="66" spans="2:9" x14ac:dyDescent="0.3">
      <c r="B66" s="463">
        <v>46078</v>
      </c>
      <c r="C66" s="464">
        <v>0</v>
      </c>
      <c r="D66" s="464">
        <v>0</v>
      </c>
      <c r="E66" s="467">
        <v>0</v>
      </c>
      <c r="F66" s="432">
        <v>-7000.53</v>
      </c>
      <c r="G66" s="466">
        <v>0</v>
      </c>
      <c r="H66" s="467">
        <v>0</v>
      </c>
      <c r="I66" s="462">
        <f t="shared" si="1"/>
        <v>-552847.81000000017</v>
      </c>
    </row>
    <row r="67" spans="2:9" x14ac:dyDescent="0.3">
      <c r="B67" s="463">
        <v>46079</v>
      </c>
      <c r="C67" s="464">
        <v>0</v>
      </c>
      <c r="D67" s="464">
        <v>0</v>
      </c>
      <c r="E67" s="467">
        <v>0</v>
      </c>
      <c r="F67" s="432">
        <v>-3165.09</v>
      </c>
      <c r="G67" s="466">
        <v>0</v>
      </c>
      <c r="H67" s="467">
        <v>0</v>
      </c>
      <c r="I67" s="462">
        <f t="shared" si="1"/>
        <v>-556012.90000000014</v>
      </c>
    </row>
    <row r="68" spans="2:9" x14ac:dyDescent="0.3">
      <c r="B68" s="463">
        <v>46080</v>
      </c>
      <c r="C68" s="464">
        <v>0</v>
      </c>
      <c r="D68" s="464">
        <v>0</v>
      </c>
      <c r="E68" s="467">
        <v>0</v>
      </c>
      <c r="F68" s="434">
        <f>-(1000+3506.08)</f>
        <v>-4506.08</v>
      </c>
      <c r="G68" s="466">
        <v>0</v>
      </c>
      <c r="H68" s="467">
        <v>0</v>
      </c>
      <c r="I68" s="462">
        <f t="shared" si="1"/>
        <v>-560518.9800000001</v>
      </c>
    </row>
    <row r="69" spans="2:9" ht="15" thickBot="1" x14ac:dyDescent="0.35">
      <c r="B69" s="463">
        <v>46081</v>
      </c>
      <c r="C69" s="464">
        <v>0</v>
      </c>
      <c r="D69" s="464">
        <v>0</v>
      </c>
      <c r="E69" s="467">
        <v>0</v>
      </c>
      <c r="F69" s="432">
        <v>-4353.33</v>
      </c>
      <c r="G69" s="466">
        <v>0</v>
      </c>
      <c r="H69" s="467">
        <v>0</v>
      </c>
      <c r="I69" s="462">
        <f t="shared" si="1"/>
        <v>-564872.31000000006</v>
      </c>
    </row>
    <row r="70" spans="2:9" ht="15" thickBot="1" x14ac:dyDescent="0.35">
      <c r="B70" s="469" t="s">
        <v>79</v>
      </c>
      <c r="C70" s="470">
        <f>SUM(C42:C69)</f>
        <v>0</v>
      </c>
      <c r="D70" s="470"/>
      <c r="E70" s="471">
        <f>SUM(E42:E69)</f>
        <v>0</v>
      </c>
      <c r="F70" s="472">
        <f>SUM(F42:F69)</f>
        <v>-240139.27</v>
      </c>
      <c r="G70" s="472"/>
      <c r="H70" s="471">
        <f>SUM(H42:H69)</f>
        <v>0</v>
      </c>
      <c r="I70" s="473"/>
    </row>
    <row r="71" spans="2:9" ht="15" thickBot="1" x14ac:dyDescent="0.35"/>
    <row r="72" spans="2:9" ht="26.4" thickBot="1" x14ac:dyDescent="0.55000000000000004">
      <c r="B72" s="452" t="s">
        <v>725</v>
      </c>
      <c r="C72" s="453"/>
      <c r="D72" s="453"/>
      <c r="E72" s="453"/>
      <c r="F72" s="453"/>
      <c r="G72" s="453"/>
      <c r="H72" s="453"/>
      <c r="I72" s="453"/>
    </row>
    <row r="73" spans="2:9" ht="15" thickBot="1" x14ac:dyDescent="0.35">
      <c r="B73" s="516" t="s">
        <v>716</v>
      </c>
      <c r="C73" s="454"/>
      <c r="D73" s="454"/>
      <c r="E73" s="454"/>
      <c r="F73" s="454"/>
      <c r="G73" s="454"/>
      <c r="H73" s="454"/>
      <c r="I73" s="455"/>
    </row>
    <row r="74" spans="2:9" ht="15" thickBot="1" x14ac:dyDescent="0.35">
      <c r="B74" s="517"/>
      <c r="C74" s="456" t="s">
        <v>717</v>
      </c>
      <c r="D74" s="456" t="s">
        <v>718</v>
      </c>
      <c r="E74" s="457" t="s">
        <v>735</v>
      </c>
      <c r="F74" s="458" t="s">
        <v>719</v>
      </c>
      <c r="G74" s="458" t="s">
        <v>720</v>
      </c>
      <c r="H74" s="484" t="s">
        <v>736</v>
      </c>
      <c r="I74" s="487" t="s">
        <v>721</v>
      </c>
    </row>
    <row r="75" spans="2:9" x14ac:dyDescent="0.3">
      <c r="B75" s="461"/>
      <c r="C75" s="518"/>
      <c r="D75" s="518"/>
      <c r="E75" s="518"/>
      <c r="F75" s="518"/>
      <c r="G75" s="518"/>
      <c r="H75" s="518"/>
      <c r="I75" s="488">
        <f>I69</f>
        <v>-564872.31000000006</v>
      </c>
    </row>
    <row r="76" spans="2:9" x14ac:dyDescent="0.3">
      <c r="B76" s="463">
        <v>46082</v>
      </c>
      <c r="C76" s="464">
        <v>0</v>
      </c>
      <c r="D76" s="464">
        <v>0</v>
      </c>
      <c r="E76" s="465">
        <v>0</v>
      </c>
      <c r="F76" s="432">
        <v>0</v>
      </c>
      <c r="G76" s="466">
        <v>0</v>
      </c>
      <c r="H76" s="485">
        <v>0</v>
      </c>
      <c r="I76" s="488">
        <f>+I75+C76+E76+G76+H76+F76+D76</f>
        <v>-564872.31000000006</v>
      </c>
    </row>
    <row r="77" spans="2:9" x14ac:dyDescent="0.3">
      <c r="B77" s="463">
        <v>46083</v>
      </c>
      <c r="C77" s="464">
        <v>0</v>
      </c>
      <c r="D77" s="464">
        <v>0</v>
      </c>
      <c r="E77" s="465">
        <v>0</v>
      </c>
      <c r="F77" s="432">
        <v>0</v>
      </c>
      <c r="G77" s="466">
        <v>0</v>
      </c>
      <c r="H77" s="485">
        <v>0</v>
      </c>
      <c r="I77" s="488">
        <f t="shared" ref="I77:I106" si="2">+I76+C77+E77+G77+H77+F77+D77</f>
        <v>-564872.31000000006</v>
      </c>
    </row>
    <row r="78" spans="2:9" x14ac:dyDescent="0.3">
      <c r="B78" s="463">
        <v>46084</v>
      </c>
      <c r="C78" s="464">
        <v>0</v>
      </c>
      <c r="D78" s="464">
        <v>0</v>
      </c>
      <c r="E78" s="465">
        <v>0</v>
      </c>
      <c r="F78" s="432">
        <v>0</v>
      </c>
      <c r="G78" s="466">
        <v>0</v>
      </c>
      <c r="H78" s="485">
        <v>0</v>
      </c>
      <c r="I78" s="488">
        <f t="shared" si="2"/>
        <v>-564872.31000000006</v>
      </c>
    </row>
    <row r="79" spans="2:9" x14ac:dyDescent="0.3">
      <c r="B79" s="463">
        <v>46085</v>
      </c>
      <c r="C79" s="464">
        <v>0</v>
      </c>
      <c r="D79" s="464">
        <v>0</v>
      </c>
      <c r="E79" s="465">
        <v>0</v>
      </c>
      <c r="F79" s="432">
        <v>0</v>
      </c>
      <c r="G79" s="466">
        <v>0</v>
      </c>
      <c r="H79" s="485">
        <v>0</v>
      </c>
      <c r="I79" s="488">
        <f t="shared" si="2"/>
        <v>-564872.31000000006</v>
      </c>
    </row>
    <row r="80" spans="2:9" x14ac:dyDescent="0.3">
      <c r="B80" s="463">
        <v>46086</v>
      </c>
      <c r="C80" s="464">
        <v>0</v>
      </c>
      <c r="D80" s="464">
        <v>0</v>
      </c>
      <c r="E80" s="465">
        <v>0</v>
      </c>
      <c r="F80" s="495">
        <f>-(9779+17000+2000)</f>
        <v>-28779</v>
      </c>
      <c r="G80" s="466">
        <v>0</v>
      </c>
      <c r="H80" s="485">
        <v>0</v>
      </c>
      <c r="I80" s="488">
        <f t="shared" si="2"/>
        <v>-593651.31000000006</v>
      </c>
    </row>
    <row r="81" spans="2:9" x14ac:dyDescent="0.3">
      <c r="B81" s="463">
        <v>46087</v>
      </c>
      <c r="C81" s="464">
        <v>0</v>
      </c>
      <c r="D81" s="464">
        <v>0</v>
      </c>
      <c r="E81" s="465">
        <v>0</v>
      </c>
      <c r="F81" s="432">
        <v>0</v>
      </c>
      <c r="G81" s="466">
        <v>0</v>
      </c>
      <c r="H81" s="485">
        <v>0</v>
      </c>
      <c r="I81" s="488">
        <f t="shared" si="2"/>
        <v>-593651.31000000006</v>
      </c>
    </row>
    <row r="82" spans="2:9" x14ac:dyDescent="0.3">
      <c r="B82" s="463">
        <v>46088</v>
      </c>
      <c r="C82" s="464">
        <v>0</v>
      </c>
      <c r="D82" s="464">
        <v>0</v>
      </c>
      <c r="E82" s="465">
        <v>0</v>
      </c>
      <c r="F82" s="432">
        <v>0</v>
      </c>
      <c r="G82" s="466">
        <v>0</v>
      </c>
      <c r="H82" s="485">
        <v>0</v>
      </c>
      <c r="I82" s="488">
        <f t="shared" si="2"/>
        <v>-593651.31000000006</v>
      </c>
    </row>
    <row r="83" spans="2:9" x14ac:dyDescent="0.3">
      <c r="B83" s="463">
        <v>46089</v>
      </c>
      <c r="C83" s="464">
        <v>0</v>
      </c>
      <c r="D83" s="464">
        <v>0</v>
      </c>
      <c r="E83" s="465">
        <v>0</v>
      </c>
      <c r="F83" s="432">
        <v>0</v>
      </c>
      <c r="G83" s="466">
        <v>0</v>
      </c>
      <c r="H83" s="485">
        <v>0</v>
      </c>
      <c r="I83" s="488">
        <f t="shared" si="2"/>
        <v>-593651.31000000006</v>
      </c>
    </row>
    <row r="84" spans="2:9" x14ac:dyDescent="0.3">
      <c r="B84" s="463">
        <v>46090</v>
      </c>
      <c r="C84" s="464">
        <v>0</v>
      </c>
      <c r="D84" s="464">
        <v>0</v>
      </c>
      <c r="E84" s="465">
        <v>0</v>
      </c>
      <c r="F84" s="432">
        <v>0</v>
      </c>
      <c r="G84" s="466">
        <v>0</v>
      </c>
      <c r="H84" s="485">
        <v>0</v>
      </c>
      <c r="I84" s="488">
        <f t="shared" si="2"/>
        <v>-593651.31000000006</v>
      </c>
    </row>
    <row r="85" spans="2:9" x14ac:dyDescent="0.3">
      <c r="B85" s="463">
        <v>46091</v>
      </c>
      <c r="C85" s="464">
        <v>0</v>
      </c>
      <c r="D85" s="464">
        <v>0</v>
      </c>
      <c r="E85" s="465">
        <v>0</v>
      </c>
      <c r="F85" s="434">
        <f>-(2150+850+250+5000+3000)</f>
        <v>-11250</v>
      </c>
      <c r="G85" s="466">
        <v>0</v>
      </c>
      <c r="H85" s="485">
        <v>0</v>
      </c>
      <c r="I85" s="488">
        <f t="shared" si="2"/>
        <v>-604901.31000000006</v>
      </c>
    </row>
    <row r="86" spans="2:9" x14ac:dyDescent="0.3">
      <c r="B86" s="463">
        <v>46092</v>
      </c>
      <c r="C86" s="464">
        <v>0</v>
      </c>
      <c r="D86" s="464">
        <v>0</v>
      </c>
      <c r="E86" s="465">
        <v>0</v>
      </c>
      <c r="F86" s="432">
        <v>0</v>
      </c>
      <c r="G86" s="466">
        <v>0</v>
      </c>
      <c r="H86" s="485">
        <v>0</v>
      </c>
      <c r="I86" s="488">
        <f t="shared" si="2"/>
        <v>-604901.31000000006</v>
      </c>
    </row>
    <row r="87" spans="2:9" x14ac:dyDescent="0.3">
      <c r="B87" s="463">
        <v>46093</v>
      </c>
      <c r="C87" s="464">
        <v>0</v>
      </c>
      <c r="D87" s="464">
        <v>0</v>
      </c>
      <c r="E87" s="465">
        <v>0</v>
      </c>
      <c r="F87" s="432">
        <v>0</v>
      </c>
      <c r="G87" s="466">
        <v>0</v>
      </c>
      <c r="H87" s="485">
        <v>0</v>
      </c>
      <c r="I87" s="488">
        <f t="shared" si="2"/>
        <v>-604901.31000000006</v>
      </c>
    </row>
    <row r="88" spans="2:9" x14ac:dyDescent="0.3">
      <c r="B88" s="463">
        <v>46094</v>
      </c>
      <c r="C88" s="464">
        <v>0</v>
      </c>
      <c r="D88" s="464">
        <v>0</v>
      </c>
      <c r="E88" s="465">
        <v>0</v>
      </c>
      <c r="F88" s="434">
        <f>-6602</f>
        <v>-6602</v>
      </c>
      <c r="G88" s="466">
        <v>0</v>
      </c>
      <c r="H88" s="485">
        <v>0</v>
      </c>
      <c r="I88" s="488">
        <f t="shared" si="2"/>
        <v>-611503.31000000006</v>
      </c>
    </row>
    <row r="89" spans="2:9" x14ac:dyDescent="0.3">
      <c r="B89" s="463">
        <v>46095</v>
      </c>
      <c r="C89" s="464">
        <v>0</v>
      </c>
      <c r="D89" s="464">
        <v>0</v>
      </c>
      <c r="E89" s="465">
        <v>0</v>
      </c>
      <c r="F89" s="432">
        <v>0</v>
      </c>
      <c r="G89" s="466">
        <v>0</v>
      </c>
      <c r="H89" s="485">
        <v>0</v>
      </c>
      <c r="I89" s="488">
        <f t="shared" si="2"/>
        <v>-611503.31000000006</v>
      </c>
    </row>
    <row r="90" spans="2:9" x14ac:dyDescent="0.3">
      <c r="B90" s="463">
        <v>46096</v>
      </c>
      <c r="C90" s="464">
        <v>0</v>
      </c>
      <c r="D90" s="464">
        <v>0</v>
      </c>
      <c r="E90" s="465">
        <v>0</v>
      </c>
      <c r="F90" s="432">
        <v>0</v>
      </c>
      <c r="G90" s="466">
        <v>0</v>
      </c>
      <c r="H90" s="485">
        <v>0</v>
      </c>
      <c r="I90" s="488">
        <f t="shared" si="2"/>
        <v>-611503.31000000006</v>
      </c>
    </row>
    <row r="91" spans="2:9" x14ac:dyDescent="0.3">
      <c r="B91" s="463">
        <v>46097</v>
      </c>
      <c r="C91" s="464">
        <v>0</v>
      </c>
      <c r="D91" s="464">
        <v>0</v>
      </c>
      <c r="E91" s="465">
        <v>0</v>
      </c>
      <c r="F91" s="432">
        <v>0</v>
      </c>
      <c r="G91" s="466">
        <v>0</v>
      </c>
      <c r="H91" s="485">
        <v>0</v>
      </c>
      <c r="I91" s="488">
        <f t="shared" si="2"/>
        <v>-611503.31000000006</v>
      </c>
    </row>
    <row r="92" spans="2:9" x14ac:dyDescent="0.3">
      <c r="B92" s="463">
        <v>46098</v>
      </c>
      <c r="C92" s="464">
        <v>0</v>
      </c>
      <c r="D92" s="464">
        <v>0</v>
      </c>
      <c r="E92" s="465">
        <v>0</v>
      </c>
      <c r="F92" s="432">
        <v>0</v>
      </c>
      <c r="G92" s="466">
        <v>0</v>
      </c>
      <c r="H92" s="485">
        <v>0</v>
      </c>
      <c r="I92" s="488">
        <f t="shared" si="2"/>
        <v>-611503.31000000006</v>
      </c>
    </row>
    <row r="93" spans="2:9" x14ac:dyDescent="0.3">
      <c r="B93" s="463">
        <v>46099</v>
      </c>
      <c r="C93" s="464">
        <v>0</v>
      </c>
      <c r="D93" s="464">
        <v>0</v>
      </c>
      <c r="E93" s="465">
        <v>0</v>
      </c>
      <c r="F93" s="432">
        <v>0</v>
      </c>
      <c r="G93" s="466">
        <v>0</v>
      </c>
      <c r="H93" s="485">
        <v>0</v>
      </c>
      <c r="I93" s="488">
        <f t="shared" si="2"/>
        <v>-611503.31000000006</v>
      </c>
    </row>
    <row r="94" spans="2:9" x14ac:dyDescent="0.3">
      <c r="B94" s="463">
        <v>46100</v>
      </c>
      <c r="C94" s="464">
        <v>0</v>
      </c>
      <c r="D94" s="464">
        <v>0</v>
      </c>
      <c r="E94" s="465">
        <v>0</v>
      </c>
      <c r="F94" s="432">
        <v>0</v>
      </c>
      <c r="G94" s="466">
        <v>0</v>
      </c>
      <c r="H94" s="485">
        <v>0</v>
      </c>
      <c r="I94" s="488">
        <f t="shared" si="2"/>
        <v>-611503.31000000006</v>
      </c>
    </row>
    <row r="95" spans="2:9" x14ac:dyDescent="0.3">
      <c r="B95" s="463">
        <v>46101</v>
      </c>
      <c r="C95" s="464">
        <v>0</v>
      </c>
      <c r="D95" s="464">
        <v>0</v>
      </c>
      <c r="E95" s="465">
        <v>0</v>
      </c>
      <c r="F95" s="434">
        <f>-(1973+450+40000)</f>
        <v>-42423</v>
      </c>
      <c r="G95" s="466">
        <v>0</v>
      </c>
      <c r="H95" s="485">
        <v>0</v>
      </c>
      <c r="I95" s="488">
        <f t="shared" si="2"/>
        <v>-653926.31000000006</v>
      </c>
    </row>
    <row r="96" spans="2:9" x14ac:dyDescent="0.3">
      <c r="B96" s="463">
        <v>46102</v>
      </c>
      <c r="C96" s="464">
        <v>0</v>
      </c>
      <c r="D96" s="464">
        <v>0</v>
      </c>
      <c r="E96" s="465">
        <v>0</v>
      </c>
      <c r="F96" s="432">
        <v>0</v>
      </c>
      <c r="G96" s="466">
        <v>0</v>
      </c>
      <c r="H96" s="485">
        <v>0</v>
      </c>
      <c r="I96" s="488">
        <f t="shared" si="2"/>
        <v>-653926.31000000006</v>
      </c>
    </row>
    <row r="97" spans="2:9" x14ac:dyDescent="0.3">
      <c r="B97" s="463">
        <v>46103</v>
      </c>
      <c r="C97" s="464">
        <v>0</v>
      </c>
      <c r="D97" s="464">
        <v>0</v>
      </c>
      <c r="E97" s="465">
        <v>0</v>
      </c>
      <c r="F97" s="432">
        <v>0</v>
      </c>
      <c r="G97" s="466">
        <v>0</v>
      </c>
      <c r="H97" s="485">
        <v>0</v>
      </c>
      <c r="I97" s="488">
        <f t="shared" si="2"/>
        <v>-653926.31000000006</v>
      </c>
    </row>
    <row r="98" spans="2:9" x14ac:dyDescent="0.3">
      <c r="B98" s="463">
        <v>46104</v>
      </c>
      <c r="C98" s="464">
        <v>0</v>
      </c>
      <c r="D98" s="464">
        <v>0</v>
      </c>
      <c r="E98" s="465">
        <v>0</v>
      </c>
      <c r="F98" s="432">
        <v>0</v>
      </c>
      <c r="G98" s="466">
        <v>0</v>
      </c>
      <c r="H98" s="485">
        <v>0</v>
      </c>
      <c r="I98" s="488">
        <f t="shared" si="2"/>
        <v>-653926.31000000006</v>
      </c>
    </row>
    <row r="99" spans="2:9" x14ac:dyDescent="0.3">
      <c r="B99" s="463">
        <v>46105</v>
      </c>
      <c r="C99" s="464">
        <v>0</v>
      </c>
      <c r="D99" s="464">
        <v>0</v>
      </c>
      <c r="E99" s="465">
        <v>0</v>
      </c>
      <c r="F99" s="432">
        <v>0</v>
      </c>
      <c r="G99" s="466">
        <v>0</v>
      </c>
      <c r="H99" s="485">
        <v>0</v>
      </c>
      <c r="I99" s="488">
        <f t="shared" si="2"/>
        <v>-653926.31000000006</v>
      </c>
    </row>
    <row r="100" spans="2:9" x14ac:dyDescent="0.3">
      <c r="B100" s="463">
        <v>46106</v>
      </c>
      <c r="C100" s="464">
        <v>0</v>
      </c>
      <c r="D100" s="464">
        <v>0</v>
      </c>
      <c r="E100" s="465">
        <v>0</v>
      </c>
      <c r="F100" s="432">
        <v>0</v>
      </c>
      <c r="G100" s="466">
        <v>0</v>
      </c>
      <c r="H100" s="485">
        <v>0</v>
      </c>
      <c r="I100" s="488">
        <f t="shared" si="2"/>
        <v>-653926.31000000006</v>
      </c>
    </row>
    <row r="101" spans="2:9" x14ac:dyDescent="0.3">
      <c r="B101" s="463">
        <v>46107</v>
      </c>
      <c r="C101" s="464">
        <v>0</v>
      </c>
      <c r="D101" s="464">
        <v>0</v>
      </c>
      <c r="E101" s="465">
        <v>0</v>
      </c>
      <c r="F101" s="432">
        <v>0</v>
      </c>
      <c r="G101" s="466">
        <v>0</v>
      </c>
      <c r="H101" s="485">
        <v>0</v>
      </c>
      <c r="I101" s="488">
        <f t="shared" si="2"/>
        <v>-653926.31000000006</v>
      </c>
    </row>
    <row r="102" spans="2:9" x14ac:dyDescent="0.3">
      <c r="B102" s="463">
        <v>46108</v>
      </c>
      <c r="C102" s="464">
        <v>0</v>
      </c>
      <c r="D102" s="464">
        <v>0</v>
      </c>
      <c r="E102" s="465">
        <v>0</v>
      </c>
      <c r="F102" s="432">
        <v>0</v>
      </c>
      <c r="G102" s="466">
        <v>0</v>
      </c>
      <c r="H102" s="485">
        <v>0</v>
      </c>
      <c r="I102" s="488">
        <f t="shared" si="2"/>
        <v>-653926.31000000006</v>
      </c>
    </row>
    <row r="103" spans="2:9" x14ac:dyDescent="0.3">
      <c r="B103" s="463">
        <v>46109</v>
      </c>
      <c r="C103" s="464">
        <v>0</v>
      </c>
      <c r="D103" s="464">
        <v>0</v>
      </c>
      <c r="E103" s="465">
        <v>0</v>
      </c>
      <c r="F103" s="432">
        <v>0</v>
      </c>
      <c r="G103" s="466">
        <v>0</v>
      </c>
      <c r="H103" s="485">
        <v>0</v>
      </c>
      <c r="I103" s="488">
        <f t="shared" si="2"/>
        <v>-653926.31000000006</v>
      </c>
    </row>
    <row r="104" spans="2:9" x14ac:dyDescent="0.3">
      <c r="B104" s="463">
        <v>46110</v>
      </c>
      <c r="C104" s="464">
        <v>0</v>
      </c>
      <c r="D104" s="464">
        <v>0</v>
      </c>
      <c r="E104" s="465">
        <v>0</v>
      </c>
      <c r="F104" s="432">
        <v>0</v>
      </c>
      <c r="G104" s="466">
        <v>0</v>
      </c>
      <c r="H104" s="485">
        <v>0</v>
      </c>
      <c r="I104" s="488">
        <f t="shared" si="2"/>
        <v>-653926.31000000006</v>
      </c>
    </row>
    <row r="105" spans="2:9" x14ac:dyDescent="0.3">
      <c r="B105" s="463">
        <v>46111</v>
      </c>
      <c r="C105" s="464">
        <v>0</v>
      </c>
      <c r="D105" s="464">
        <v>0</v>
      </c>
      <c r="E105" s="465">
        <v>0</v>
      </c>
      <c r="F105" s="434">
        <f>-1000</f>
        <v>-1000</v>
      </c>
      <c r="G105" s="466">
        <v>0</v>
      </c>
      <c r="H105" s="485">
        <v>0</v>
      </c>
      <c r="I105" s="488">
        <f t="shared" si="2"/>
        <v>-654926.31000000006</v>
      </c>
    </row>
    <row r="106" spans="2:9" ht="15" thickBot="1" x14ac:dyDescent="0.35">
      <c r="B106" s="463">
        <v>46112</v>
      </c>
      <c r="C106" s="464">
        <v>0</v>
      </c>
      <c r="D106" s="464">
        <v>0</v>
      </c>
      <c r="E106" s="465">
        <v>0</v>
      </c>
      <c r="F106" s="432">
        <v>0</v>
      </c>
      <c r="G106" s="466">
        <v>0</v>
      </c>
      <c r="H106" s="485">
        <v>0</v>
      </c>
      <c r="I106" s="489">
        <f t="shared" si="2"/>
        <v>-654926.31000000006</v>
      </c>
    </row>
    <row r="107" spans="2:9" ht="15" thickBot="1" x14ac:dyDescent="0.35">
      <c r="B107" s="469" t="s">
        <v>79</v>
      </c>
      <c r="C107" s="470">
        <f>SUM(C79:C106)</f>
        <v>0</v>
      </c>
      <c r="D107" s="470"/>
      <c r="E107" s="471">
        <f>SUM(E79:E106)</f>
        <v>0</v>
      </c>
      <c r="F107" s="472">
        <f>SUM(F79:F106)</f>
        <v>-90054</v>
      </c>
      <c r="G107" s="472"/>
      <c r="H107" s="486">
        <f>SUM(H79:H106)</f>
        <v>0</v>
      </c>
      <c r="I107" s="490"/>
    </row>
    <row r="108" spans="2:9" ht="15" thickBot="1" x14ac:dyDescent="0.35"/>
    <row r="109" spans="2:9" ht="26.4" thickBot="1" x14ac:dyDescent="0.55000000000000004">
      <c r="B109" s="452" t="s">
        <v>726</v>
      </c>
      <c r="C109" s="453"/>
      <c r="D109" s="453"/>
      <c r="E109" s="453"/>
      <c r="F109" s="453"/>
      <c r="G109" s="453"/>
      <c r="H109" s="453"/>
      <c r="I109" s="453"/>
    </row>
    <row r="110" spans="2:9" ht="15" thickBot="1" x14ac:dyDescent="0.35">
      <c r="B110" s="516" t="s">
        <v>716</v>
      </c>
      <c r="C110" s="454"/>
      <c r="D110" s="454"/>
      <c r="E110" s="454"/>
      <c r="F110" s="454"/>
      <c r="G110" s="454"/>
      <c r="H110" s="454"/>
      <c r="I110" s="455"/>
    </row>
    <row r="111" spans="2:9" ht="15" thickBot="1" x14ac:dyDescent="0.35">
      <c r="B111" s="517"/>
      <c r="C111" s="456" t="s">
        <v>717</v>
      </c>
      <c r="D111" s="456" t="s">
        <v>718</v>
      </c>
      <c r="E111" s="457" t="s">
        <v>735</v>
      </c>
      <c r="F111" s="458" t="s">
        <v>719</v>
      </c>
      <c r="G111" s="458" t="s">
        <v>720</v>
      </c>
      <c r="H111" s="484" t="s">
        <v>736</v>
      </c>
      <c r="I111" s="459" t="s">
        <v>721</v>
      </c>
    </row>
    <row r="112" spans="2:9" x14ac:dyDescent="0.3">
      <c r="B112" s="461"/>
      <c r="C112" s="518"/>
      <c r="D112" s="518"/>
      <c r="E112" s="518"/>
      <c r="F112" s="518"/>
      <c r="G112" s="518"/>
      <c r="H112" s="519"/>
      <c r="I112" s="462">
        <f>I106</f>
        <v>-654926.31000000006</v>
      </c>
    </row>
    <row r="113" spans="2:9" x14ac:dyDescent="0.3">
      <c r="B113" s="463">
        <v>46113</v>
      </c>
      <c r="C113" s="464">
        <v>0</v>
      </c>
      <c r="D113" s="464">
        <v>0</v>
      </c>
      <c r="E113" s="481">
        <v>0</v>
      </c>
      <c r="F113" s="432">
        <v>0</v>
      </c>
      <c r="G113" s="466">
        <v>0</v>
      </c>
      <c r="H113" s="467">
        <v>0</v>
      </c>
      <c r="I113" s="462">
        <f>+I112+C113+E113+G113+H113+F113+D113</f>
        <v>-654926.31000000006</v>
      </c>
    </row>
    <row r="114" spans="2:9" x14ac:dyDescent="0.3">
      <c r="B114" s="463">
        <v>46114</v>
      </c>
      <c r="C114" s="464">
        <v>0</v>
      </c>
      <c r="D114" s="464">
        <v>0</v>
      </c>
      <c r="E114" s="481">
        <v>0</v>
      </c>
      <c r="F114" s="432">
        <v>0</v>
      </c>
      <c r="G114" s="466">
        <v>0</v>
      </c>
      <c r="H114" s="467">
        <v>0</v>
      </c>
      <c r="I114" s="462">
        <f t="shared" ref="I114:I142" si="3">+I113+C114+E114+G114+H114+F114+D114</f>
        <v>-654926.31000000006</v>
      </c>
    </row>
    <row r="115" spans="2:9" x14ac:dyDescent="0.3">
      <c r="B115" s="463">
        <v>46115</v>
      </c>
      <c r="C115" s="464">
        <v>0</v>
      </c>
      <c r="D115" s="464">
        <v>0</v>
      </c>
      <c r="E115" s="481">
        <v>0</v>
      </c>
      <c r="F115" s="432">
        <v>0</v>
      </c>
      <c r="G115" s="466">
        <v>0</v>
      </c>
      <c r="H115" s="467">
        <v>0</v>
      </c>
      <c r="I115" s="462">
        <f t="shared" si="3"/>
        <v>-654926.31000000006</v>
      </c>
    </row>
    <row r="116" spans="2:9" x14ac:dyDescent="0.3">
      <c r="B116" s="463">
        <v>46116</v>
      </c>
      <c r="C116" s="464">
        <v>0</v>
      </c>
      <c r="D116" s="464">
        <v>0</v>
      </c>
      <c r="E116" s="481">
        <v>0</v>
      </c>
      <c r="F116" s="432">
        <v>0</v>
      </c>
      <c r="G116" s="466">
        <v>0</v>
      </c>
      <c r="H116" s="467">
        <v>0</v>
      </c>
      <c r="I116" s="462">
        <f t="shared" si="3"/>
        <v>-654926.31000000006</v>
      </c>
    </row>
    <row r="117" spans="2:9" x14ac:dyDescent="0.3">
      <c r="B117" s="463">
        <v>46117</v>
      </c>
      <c r="C117" s="464">
        <v>0</v>
      </c>
      <c r="D117" s="464">
        <v>0</v>
      </c>
      <c r="E117" s="481">
        <v>0</v>
      </c>
      <c r="F117" s="432">
        <v>0</v>
      </c>
      <c r="G117" s="466">
        <v>0</v>
      </c>
      <c r="H117" s="467">
        <v>0</v>
      </c>
      <c r="I117" s="462">
        <f t="shared" si="3"/>
        <v>-654926.31000000006</v>
      </c>
    </row>
    <row r="118" spans="2:9" x14ac:dyDescent="0.3">
      <c r="B118" s="463">
        <v>46118</v>
      </c>
      <c r="C118" s="464">
        <v>0</v>
      </c>
      <c r="D118" s="464">
        <v>0</v>
      </c>
      <c r="E118" s="481">
        <v>0</v>
      </c>
      <c r="F118" s="495">
        <f>-(9779+17000+2000)</f>
        <v>-28779</v>
      </c>
      <c r="G118" s="466">
        <v>0</v>
      </c>
      <c r="H118" s="467">
        <v>0</v>
      </c>
      <c r="I118" s="462">
        <f t="shared" si="3"/>
        <v>-683705.31</v>
      </c>
    </row>
    <row r="119" spans="2:9" x14ac:dyDescent="0.3">
      <c r="B119" s="463">
        <v>46119</v>
      </c>
      <c r="C119" s="464">
        <v>0</v>
      </c>
      <c r="D119" s="464">
        <v>0</v>
      </c>
      <c r="E119" s="481">
        <v>0</v>
      </c>
      <c r="F119" s="432">
        <v>0</v>
      </c>
      <c r="G119" s="466">
        <v>0</v>
      </c>
      <c r="H119" s="467">
        <v>0</v>
      </c>
      <c r="I119" s="462">
        <f t="shared" si="3"/>
        <v>-683705.31</v>
      </c>
    </row>
    <row r="120" spans="2:9" x14ac:dyDescent="0.3">
      <c r="B120" s="463">
        <v>46120</v>
      </c>
      <c r="C120" s="464">
        <v>0</v>
      </c>
      <c r="D120" s="464">
        <v>0</v>
      </c>
      <c r="E120" s="481">
        <v>0</v>
      </c>
      <c r="F120" s="432">
        <v>0</v>
      </c>
      <c r="G120" s="466">
        <v>0</v>
      </c>
      <c r="H120" s="467">
        <v>0</v>
      </c>
      <c r="I120" s="462">
        <f t="shared" si="3"/>
        <v>-683705.31</v>
      </c>
    </row>
    <row r="121" spans="2:9" x14ac:dyDescent="0.3">
      <c r="B121" s="463">
        <v>46121</v>
      </c>
      <c r="C121" s="464">
        <v>0</v>
      </c>
      <c r="D121" s="464">
        <v>0</v>
      </c>
      <c r="E121" s="481">
        <v>0</v>
      </c>
      <c r="F121" s="432">
        <v>0</v>
      </c>
      <c r="G121" s="466">
        <v>0</v>
      </c>
      <c r="H121" s="467">
        <v>0</v>
      </c>
      <c r="I121" s="462">
        <f t="shared" si="3"/>
        <v>-683705.31</v>
      </c>
    </row>
    <row r="122" spans="2:9" x14ac:dyDescent="0.3">
      <c r="B122" s="463">
        <v>46122</v>
      </c>
      <c r="C122" s="464">
        <v>0</v>
      </c>
      <c r="D122" s="464">
        <v>0</v>
      </c>
      <c r="E122" s="481">
        <v>0</v>
      </c>
      <c r="F122" s="434">
        <f>-(2150+850+250+5000+3250)</f>
        <v>-11500</v>
      </c>
      <c r="G122" s="466">
        <v>0</v>
      </c>
      <c r="H122" s="467">
        <v>0</v>
      </c>
      <c r="I122" s="462">
        <f t="shared" si="3"/>
        <v>-695205.31</v>
      </c>
    </row>
    <row r="123" spans="2:9" x14ac:dyDescent="0.3">
      <c r="B123" s="463">
        <v>46123</v>
      </c>
      <c r="C123" s="464">
        <v>0</v>
      </c>
      <c r="D123" s="464">
        <v>0</v>
      </c>
      <c r="E123" s="481">
        <v>0</v>
      </c>
      <c r="F123" s="432">
        <v>0</v>
      </c>
      <c r="G123" s="466">
        <v>0</v>
      </c>
      <c r="H123" s="467">
        <v>0</v>
      </c>
      <c r="I123" s="462">
        <f t="shared" si="3"/>
        <v>-695205.31</v>
      </c>
    </row>
    <row r="124" spans="2:9" x14ac:dyDescent="0.3">
      <c r="B124" s="463">
        <v>46124</v>
      </c>
      <c r="C124" s="464">
        <v>0</v>
      </c>
      <c r="D124" s="464">
        <v>0</v>
      </c>
      <c r="E124" s="481">
        <v>0</v>
      </c>
      <c r="F124" s="432">
        <v>0</v>
      </c>
      <c r="G124" s="466">
        <v>0</v>
      </c>
      <c r="H124" s="467">
        <v>0</v>
      </c>
      <c r="I124" s="462">
        <f t="shared" si="3"/>
        <v>-695205.31</v>
      </c>
    </row>
    <row r="125" spans="2:9" x14ac:dyDescent="0.3">
      <c r="B125" s="463">
        <v>46125</v>
      </c>
      <c r="C125" s="464">
        <v>0</v>
      </c>
      <c r="D125" s="464">
        <v>0</v>
      </c>
      <c r="E125" s="481">
        <v>0</v>
      </c>
      <c r="F125" s="432">
        <v>0</v>
      </c>
      <c r="G125" s="466">
        <v>0</v>
      </c>
      <c r="H125" s="467">
        <v>0</v>
      </c>
      <c r="I125" s="462">
        <f t="shared" si="3"/>
        <v>-695205.31</v>
      </c>
    </row>
    <row r="126" spans="2:9" x14ac:dyDescent="0.3">
      <c r="B126" s="463">
        <v>46126</v>
      </c>
      <c r="C126" s="464">
        <v>0</v>
      </c>
      <c r="D126" s="464">
        <v>0</v>
      </c>
      <c r="E126" s="481">
        <v>0</v>
      </c>
      <c r="F126" s="432">
        <v>0</v>
      </c>
      <c r="G126" s="466">
        <v>0</v>
      </c>
      <c r="H126" s="467">
        <v>0</v>
      </c>
      <c r="I126" s="462">
        <f t="shared" si="3"/>
        <v>-695205.31</v>
      </c>
    </row>
    <row r="127" spans="2:9" x14ac:dyDescent="0.3">
      <c r="B127" s="463">
        <v>46127</v>
      </c>
      <c r="C127" s="464">
        <v>0</v>
      </c>
      <c r="D127" s="464">
        <v>0</v>
      </c>
      <c r="E127" s="481">
        <v>0</v>
      </c>
      <c r="F127" s="434">
        <f>-6602</f>
        <v>-6602</v>
      </c>
      <c r="G127" s="466">
        <v>0</v>
      </c>
      <c r="H127" s="467">
        <v>0</v>
      </c>
      <c r="I127" s="462">
        <f t="shared" si="3"/>
        <v>-701807.31</v>
      </c>
    </row>
    <row r="128" spans="2:9" x14ac:dyDescent="0.3">
      <c r="B128" s="463">
        <v>46128</v>
      </c>
      <c r="C128" s="464">
        <v>0</v>
      </c>
      <c r="D128" s="464">
        <v>0</v>
      </c>
      <c r="E128" s="481">
        <v>0</v>
      </c>
      <c r="F128" s="432">
        <v>0</v>
      </c>
      <c r="G128" s="466">
        <v>0</v>
      </c>
      <c r="H128" s="467">
        <v>0</v>
      </c>
      <c r="I128" s="462">
        <f t="shared" si="3"/>
        <v>-701807.31</v>
      </c>
    </row>
    <row r="129" spans="2:9" x14ac:dyDescent="0.3">
      <c r="B129" s="463">
        <v>46129</v>
      </c>
      <c r="C129" s="464">
        <v>0</v>
      </c>
      <c r="D129" s="464">
        <v>0</v>
      </c>
      <c r="E129" s="481">
        <v>0</v>
      </c>
      <c r="F129" s="432">
        <v>0</v>
      </c>
      <c r="G129" s="466">
        <v>0</v>
      </c>
      <c r="H129" s="467">
        <v>0</v>
      </c>
      <c r="I129" s="462">
        <f t="shared" si="3"/>
        <v>-701807.31</v>
      </c>
    </row>
    <row r="130" spans="2:9" x14ac:dyDescent="0.3">
      <c r="B130" s="463">
        <v>46130</v>
      </c>
      <c r="C130" s="464">
        <v>0</v>
      </c>
      <c r="D130" s="464">
        <v>0</v>
      </c>
      <c r="E130" s="481">
        <v>0</v>
      </c>
      <c r="F130" s="432">
        <v>0</v>
      </c>
      <c r="G130" s="466">
        <v>0</v>
      </c>
      <c r="H130" s="467">
        <v>0</v>
      </c>
      <c r="I130" s="462">
        <f t="shared" si="3"/>
        <v>-701807.31</v>
      </c>
    </row>
    <row r="131" spans="2:9" x14ac:dyDescent="0.3">
      <c r="B131" s="463">
        <v>46131</v>
      </c>
      <c r="C131" s="464">
        <v>0</v>
      </c>
      <c r="D131" s="464">
        <v>0</v>
      </c>
      <c r="E131" s="481">
        <v>0</v>
      </c>
      <c r="F131" s="432">
        <v>0</v>
      </c>
      <c r="G131" s="466">
        <v>0</v>
      </c>
      <c r="H131" s="467">
        <v>0</v>
      </c>
      <c r="I131" s="462">
        <f t="shared" si="3"/>
        <v>-701807.31</v>
      </c>
    </row>
    <row r="132" spans="2:9" x14ac:dyDescent="0.3">
      <c r="B132" s="463">
        <v>46132</v>
      </c>
      <c r="C132" s="464">
        <v>0</v>
      </c>
      <c r="D132" s="464">
        <v>0</v>
      </c>
      <c r="E132" s="481">
        <v>0</v>
      </c>
      <c r="F132" s="434">
        <f>-(1973+450+40000)</f>
        <v>-42423</v>
      </c>
      <c r="G132" s="466">
        <v>0</v>
      </c>
      <c r="H132" s="467">
        <v>0</v>
      </c>
      <c r="I132" s="462">
        <f t="shared" si="3"/>
        <v>-744230.31</v>
      </c>
    </row>
    <row r="133" spans="2:9" x14ac:dyDescent="0.3">
      <c r="B133" s="463">
        <v>46133</v>
      </c>
      <c r="C133" s="464">
        <v>0</v>
      </c>
      <c r="D133" s="464">
        <v>0</v>
      </c>
      <c r="E133" s="481">
        <v>0</v>
      </c>
      <c r="F133" s="432">
        <v>0</v>
      </c>
      <c r="G133" s="466">
        <v>0</v>
      </c>
      <c r="H133" s="467">
        <v>0</v>
      </c>
      <c r="I133" s="462">
        <f t="shared" si="3"/>
        <v>-744230.31</v>
      </c>
    </row>
    <row r="134" spans="2:9" x14ac:dyDescent="0.3">
      <c r="B134" s="463">
        <v>46134</v>
      </c>
      <c r="C134" s="464">
        <v>0</v>
      </c>
      <c r="D134" s="464">
        <v>0</v>
      </c>
      <c r="E134" s="481">
        <v>0</v>
      </c>
      <c r="F134" s="432">
        <v>0</v>
      </c>
      <c r="G134" s="466">
        <v>0</v>
      </c>
      <c r="H134" s="467">
        <v>0</v>
      </c>
      <c r="I134" s="462">
        <f t="shared" si="3"/>
        <v>-744230.31</v>
      </c>
    </row>
    <row r="135" spans="2:9" x14ac:dyDescent="0.3">
      <c r="B135" s="463">
        <v>46135</v>
      </c>
      <c r="C135" s="464">
        <v>0</v>
      </c>
      <c r="D135" s="464">
        <v>0</v>
      </c>
      <c r="E135" s="481">
        <v>0</v>
      </c>
      <c r="F135" s="432">
        <v>0</v>
      </c>
      <c r="G135" s="466">
        <v>0</v>
      </c>
      <c r="H135" s="467">
        <v>0</v>
      </c>
      <c r="I135" s="462">
        <f t="shared" si="3"/>
        <v>-744230.31</v>
      </c>
    </row>
    <row r="136" spans="2:9" x14ac:dyDescent="0.3">
      <c r="B136" s="463">
        <v>46136</v>
      </c>
      <c r="C136" s="464">
        <v>0</v>
      </c>
      <c r="D136" s="464">
        <v>0</v>
      </c>
      <c r="E136" s="481">
        <v>0</v>
      </c>
      <c r="F136" s="432">
        <v>0</v>
      </c>
      <c r="G136" s="466">
        <v>0</v>
      </c>
      <c r="H136" s="467">
        <v>0</v>
      </c>
      <c r="I136" s="462">
        <f t="shared" si="3"/>
        <v>-744230.31</v>
      </c>
    </row>
    <row r="137" spans="2:9" x14ac:dyDescent="0.3">
      <c r="B137" s="463">
        <v>46137</v>
      </c>
      <c r="C137" s="464">
        <v>0</v>
      </c>
      <c r="D137" s="464">
        <v>0</v>
      </c>
      <c r="E137" s="481">
        <v>0</v>
      </c>
      <c r="F137" s="432">
        <v>0</v>
      </c>
      <c r="G137" s="466">
        <v>0</v>
      </c>
      <c r="H137" s="467">
        <v>0</v>
      </c>
      <c r="I137" s="462">
        <f t="shared" si="3"/>
        <v>-744230.31</v>
      </c>
    </row>
    <row r="138" spans="2:9" x14ac:dyDescent="0.3">
      <c r="B138" s="463">
        <v>46138</v>
      </c>
      <c r="C138" s="464">
        <v>0</v>
      </c>
      <c r="D138" s="464">
        <v>0</v>
      </c>
      <c r="E138" s="481">
        <v>0</v>
      </c>
      <c r="F138" s="432">
        <v>0</v>
      </c>
      <c r="G138" s="466">
        <v>0</v>
      </c>
      <c r="H138" s="467">
        <v>0</v>
      </c>
      <c r="I138" s="462">
        <f t="shared" si="3"/>
        <v>-744230.31</v>
      </c>
    </row>
    <row r="139" spans="2:9" x14ac:dyDescent="0.3">
      <c r="B139" s="463">
        <v>46139</v>
      </c>
      <c r="C139" s="464">
        <v>0</v>
      </c>
      <c r="D139" s="464">
        <v>0</v>
      </c>
      <c r="E139" s="481">
        <v>0</v>
      </c>
      <c r="F139" s="432">
        <v>0</v>
      </c>
      <c r="G139" s="466">
        <v>0</v>
      </c>
      <c r="H139" s="467">
        <v>0</v>
      </c>
      <c r="I139" s="462">
        <f t="shared" si="3"/>
        <v>-744230.31</v>
      </c>
    </row>
    <row r="140" spans="2:9" x14ac:dyDescent="0.3">
      <c r="B140" s="463">
        <v>46140</v>
      </c>
      <c r="C140" s="464">
        <v>0</v>
      </c>
      <c r="D140" s="464">
        <v>0</v>
      </c>
      <c r="E140" s="481">
        <v>0</v>
      </c>
      <c r="F140" s="432">
        <v>0</v>
      </c>
      <c r="G140" s="466">
        <v>0</v>
      </c>
      <c r="H140" s="467">
        <v>0</v>
      </c>
      <c r="I140" s="462">
        <f t="shared" si="3"/>
        <v>-744230.31</v>
      </c>
    </row>
    <row r="141" spans="2:9" x14ac:dyDescent="0.3">
      <c r="B141" s="463">
        <v>46141</v>
      </c>
      <c r="C141" s="464">
        <v>0</v>
      </c>
      <c r="D141" s="464">
        <v>0</v>
      </c>
      <c r="E141" s="481">
        <v>0</v>
      </c>
      <c r="F141" s="432">
        <v>0</v>
      </c>
      <c r="G141" s="466">
        <v>0</v>
      </c>
      <c r="H141" s="467">
        <v>0</v>
      </c>
      <c r="I141" s="462">
        <f t="shared" si="3"/>
        <v>-744230.31</v>
      </c>
    </row>
    <row r="142" spans="2:9" ht="15" thickBot="1" x14ac:dyDescent="0.35">
      <c r="B142" s="463">
        <v>46142</v>
      </c>
      <c r="C142" s="464">
        <v>0</v>
      </c>
      <c r="D142" s="464">
        <v>0</v>
      </c>
      <c r="E142" s="481">
        <v>0</v>
      </c>
      <c r="F142" s="434">
        <f>-1000</f>
        <v>-1000</v>
      </c>
      <c r="G142" s="466">
        <v>0</v>
      </c>
      <c r="H142" s="467">
        <v>0</v>
      </c>
      <c r="I142" s="462">
        <f t="shared" si="3"/>
        <v>-745230.31</v>
      </c>
    </row>
    <row r="143" spans="2:9" ht="15" thickBot="1" x14ac:dyDescent="0.35">
      <c r="B143" s="469" t="s">
        <v>79</v>
      </c>
      <c r="C143" s="470">
        <f>SUM(C113:C142)</f>
        <v>0</v>
      </c>
      <c r="D143" s="470"/>
      <c r="E143" s="471">
        <f>SUM(E113:E142)</f>
        <v>0</v>
      </c>
      <c r="F143" s="472">
        <f>SUM(F113:F142)</f>
        <v>-90304</v>
      </c>
      <c r="G143" s="472"/>
      <c r="H143" s="471">
        <f>SUM(H113:H142)</f>
        <v>0</v>
      </c>
      <c r="I143" s="473"/>
    </row>
    <row r="145" spans="2:9" ht="15" thickBot="1" x14ac:dyDescent="0.35"/>
    <row r="146" spans="2:9" ht="26.4" thickBot="1" x14ac:dyDescent="0.55000000000000004">
      <c r="B146" s="452" t="s">
        <v>727</v>
      </c>
      <c r="C146" s="453"/>
      <c r="D146" s="453"/>
      <c r="E146" s="453"/>
      <c r="F146" s="453"/>
      <c r="G146" s="453"/>
      <c r="H146" s="453"/>
      <c r="I146" s="453"/>
    </row>
    <row r="147" spans="2:9" ht="15" thickBot="1" x14ac:dyDescent="0.35">
      <c r="B147" s="516" t="s">
        <v>716</v>
      </c>
      <c r="C147" s="454"/>
      <c r="D147" s="454"/>
      <c r="E147" s="454"/>
      <c r="F147" s="454"/>
      <c r="G147" s="454"/>
      <c r="H147" s="454"/>
      <c r="I147" s="455"/>
    </row>
    <row r="148" spans="2:9" ht="15" thickBot="1" x14ac:dyDescent="0.35">
      <c r="B148" s="517"/>
      <c r="C148" s="456" t="s">
        <v>717</v>
      </c>
      <c r="D148" s="456" t="s">
        <v>718</v>
      </c>
      <c r="E148" s="457" t="s">
        <v>735</v>
      </c>
      <c r="F148" s="458" t="s">
        <v>719</v>
      </c>
      <c r="G148" s="458" t="s">
        <v>720</v>
      </c>
      <c r="H148" s="484" t="s">
        <v>736</v>
      </c>
      <c r="I148" s="459" t="s">
        <v>721</v>
      </c>
    </row>
    <row r="149" spans="2:9" x14ac:dyDescent="0.3">
      <c r="B149" s="461"/>
      <c r="C149" s="518"/>
      <c r="D149" s="518"/>
      <c r="E149" s="518"/>
      <c r="F149" s="518"/>
      <c r="G149" s="518"/>
      <c r="H149" s="519"/>
      <c r="I149" s="462">
        <f>I142</f>
        <v>-745230.31</v>
      </c>
    </row>
    <row r="150" spans="2:9" x14ac:dyDescent="0.3">
      <c r="B150" s="463">
        <v>46143</v>
      </c>
      <c r="C150" s="464">
        <v>0</v>
      </c>
      <c r="D150" s="464">
        <v>0</v>
      </c>
      <c r="E150" s="465">
        <v>0</v>
      </c>
      <c r="F150" s="432">
        <v>0</v>
      </c>
      <c r="G150" s="466">
        <v>0</v>
      </c>
      <c r="H150" s="467">
        <v>0</v>
      </c>
      <c r="I150" s="462">
        <f>+I149+C150+E150+G150+H150+F150+D150</f>
        <v>-745230.31</v>
      </c>
    </row>
    <row r="151" spans="2:9" x14ac:dyDescent="0.3">
      <c r="B151" s="463">
        <v>46144</v>
      </c>
      <c r="C151" s="464">
        <v>0</v>
      </c>
      <c r="D151" s="464">
        <v>0</v>
      </c>
      <c r="E151" s="465">
        <v>0</v>
      </c>
      <c r="F151" s="432">
        <v>0</v>
      </c>
      <c r="G151" s="466">
        <v>0</v>
      </c>
      <c r="H151" s="467">
        <v>0</v>
      </c>
      <c r="I151" s="462">
        <f>+I150+C151+E151+G151+H151+F151+D151</f>
        <v>-745230.31</v>
      </c>
    </row>
    <row r="152" spans="2:9" x14ac:dyDescent="0.3">
      <c r="B152" s="463">
        <v>46145</v>
      </c>
      <c r="C152" s="464">
        <v>0</v>
      </c>
      <c r="D152" s="464">
        <v>0</v>
      </c>
      <c r="E152" s="465">
        <v>0</v>
      </c>
      <c r="F152" s="432">
        <v>0</v>
      </c>
      <c r="G152" s="466">
        <v>0</v>
      </c>
      <c r="H152" s="467">
        <v>0</v>
      </c>
      <c r="I152" s="462">
        <f t="shared" ref="I152:I180" si="4">+I151+C152+E152+G152+H152+F152+D152</f>
        <v>-745230.31</v>
      </c>
    </row>
    <row r="153" spans="2:9" x14ac:dyDescent="0.3">
      <c r="B153" s="463">
        <v>46146</v>
      </c>
      <c r="C153" s="464">
        <v>0</v>
      </c>
      <c r="D153" s="464">
        <v>0</v>
      </c>
      <c r="E153" s="465">
        <v>0</v>
      </c>
      <c r="F153" s="432">
        <v>0</v>
      </c>
      <c r="G153" s="466">
        <v>0</v>
      </c>
      <c r="H153" s="467">
        <v>0</v>
      </c>
      <c r="I153" s="462">
        <f t="shared" si="4"/>
        <v>-745230.31</v>
      </c>
    </row>
    <row r="154" spans="2:9" x14ac:dyDescent="0.3">
      <c r="B154" s="463">
        <v>46147</v>
      </c>
      <c r="C154" s="464">
        <v>0</v>
      </c>
      <c r="D154" s="464">
        <v>0</v>
      </c>
      <c r="E154" s="465">
        <v>0</v>
      </c>
      <c r="F154" s="495">
        <f>-(9779+17000+2000)</f>
        <v>-28779</v>
      </c>
      <c r="G154" s="466">
        <v>0</v>
      </c>
      <c r="H154" s="467">
        <v>0</v>
      </c>
      <c r="I154" s="462">
        <f t="shared" si="4"/>
        <v>-774009.31</v>
      </c>
    </row>
    <row r="155" spans="2:9" x14ac:dyDescent="0.3">
      <c r="B155" s="463">
        <v>46148</v>
      </c>
      <c r="C155" s="464">
        <v>0</v>
      </c>
      <c r="D155" s="464">
        <v>0</v>
      </c>
      <c r="E155" s="465">
        <v>0</v>
      </c>
      <c r="F155" s="432">
        <v>0</v>
      </c>
      <c r="G155" s="466">
        <v>0</v>
      </c>
      <c r="H155" s="467">
        <v>0</v>
      </c>
      <c r="I155" s="462">
        <f t="shared" si="4"/>
        <v>-774009.31</v>
      </c>
    </row>
    <row r="156" spans="2:9" x14ac:dyDescent="0.3">
      <c r="B156" s="463">
        <v>46149</v>
      </c>
      <c r="C156" s="464">
        <v>0</v>
      </c>
      <c r="D156" s="464">
        <v>0</v>
      </c>
      <c r="E156" s="465">
        <v>0</v>
      </c>
      <c r="F156" s="432">
        <v>0</v>
      </c>
      <c r="G156" s="466">
        <v>0</v>
      </c>
      <c r="H156" s="467">
        <v>0</v>
      </c>
      <c r="I156" s="462">
        <f t="shared" si="4"/>
        <v>-774009.31</v>
      </c>
    </row>
    <row r="157" spans="2:9" x14ac:dyDescent="0.3">
      <c r="B157" s="463">
        <v>46150</v>
      </c>
      <c r="C157" s="464">
        <v>0</v>
      </c>
      <c r="D157" s="464">
        <v>0</v>
      </c>
      <c r="E157" s="465">
        <v>0</v>
      </c>
      <c r="F157" s="434">
        <f>-(2150+850+250+5000+3250)</f>
        <v>-11500</v>
      </c>
      <c r="G157" s="466">
        <v>0</v>
      </c>
      <c r="H157" s="467">
        <v>0</v>
      </c>
      <c r="I157" s="462">
        <f t="shared" si="4"/>
        <v>-785509.31</v>
      </c>
    </row>
    <row r="158" spans="2:9" x14ac:dyDescent="0.3">
      <c r="B158" s="463">
        <v>46151</v>
      </c>
      <c r="C158" s="464">
        <v>0</v>
      </c>
      <c r="D158" s="464">
        <v>0</v>
      </c>
      <c r="E158" s="465">
        <v>0</v>
      </c>
      <c r="F158" s="432">
        <v>0</v>
      </c>
      <c r="G158" s="466">
        <v>0</v>
      </c>
      <c r="H158" s="467">
        <v>0</v>
      </c>
      <c r="I158" s="462">
        <f t="shared" si="4"/>
        <v>-785509.31</v>
      </c>
    </row>
    <row r="159" spans="2:9" x14ac:dyDescent="0.3">
      <c r="B159" s="463">
        <v>46152</v>
      </c>
      <c r="C159" s="464">
        <v>0</v>
      </c>
      <c r="D159" s="464">
        <v>0</v>
      </c>
      <c r="E159" s="465">
        <v>0</v>
      </c>
      <c r="F159" s="432">
        <v>0</v>
      </c>
      <c r="G159" s="466">
        <v>0</v>
      </c>
      <c r="H159" s="467">
        <v>0</v>
      </c>
      <c r="I159" s="462">
        <f t="shared" si="4"/>
        <v>-785509.31</v>
      </c>
    </row>
    <row r="160" spans="2:9" x14ac:dyDescent="0.3">
      <c r="B160" s="463">
        <v>46153</v>
      </c>
      <c r="C160" s="464">
        <v>0</v>
      </c>
      <c r="D160" s="464">
        <v>0</v>
      </c>
      <c r="E160" s="465">
        <v>0</v>
      </c>
      <c r="F160" s="432">
        <v>0</v>
      </c>
      <c r="G160" s="466">
        <v>0</v>
      </c>
      <c r="H160" s="467">
        <v>0</v>
      </c>
      <c r="I160" s="462">
        <f t="shared" si="4"/>
        <v>-785509.31</v>
      </c>
    </row>
    <row r="161" spans="2:9" x14ac:dyDescent="0.3">
      <c r="B161" s="463">
        <v>46154</v>
      </c>
      <c r="C161" s="464">
        <v>0</v>
      </c>
      <c r="D161" s="464">
        <v>0</v>
      </c>
      <c r="E161" s="465">
        <v>0</v>
      </c>
      <c r="F161" s="432">
        <v>0</v>
      </c>
      <c r="G161" s="466">
        <v>0</v>
      </c>
      <c r="H161" s="467">
        <v>0</v>
      </c>
      <c r="I161" s="462">
        <f t="shared" si="4"/>
        <v>-785509.31</v>
      </c>
    </row>
    <row r="162" spans="2:9" x14ac:dyDescent="0.3">
      <c r="B162" s="463">
        <v>46155</v>
      </c>
      <c r="C162" s="464">
        <v>0</v>
      </c>
      <c r="D162" s="464">
        <v>0</v>
      </c>
      <c r="E162" s="465">
        <v>0</v>
      </c>
      <c r="F162" s="432">
        <v>0</v>
      </c>
      <c r="G162" s="466">
        <v>0</v>
      </c>
      <c r="H162" s="467">
        <v>0</v>
      </c>
      <c r="I162" s="462">
        <f t="shared" si="4"/>
        <v>-785509.31</v>
      </c>
    </row>
    <row r="163" spans="2:9" x14ac:dyDescent="0.3">
      <c r="B163" s="463">
        <v>46156</v>
      </c>
      <c r="C163" s="464">
        <v>0</v>
      </c>
      <c r="D163" s="464">
        <v>0</v>
      </c>
      <c r="E163" s="465">
        <v>0</v>
      </c>
      <c r="F163" s="432">
        <v>0</v>
      </c>
      <c r="G163" s="466">
        <v>0</v>
      </c>
      <c r="H163" s="467">
        <v>0</v>
      </c>
      <c r="I163" s="462">
        <f t="shared" si="4"/>
        <v>-785509.31</v>
      </c>
    </row>
    <row r="164" spans="2:9" x14ac:dyDescent="0.3">
      <c r="B164" s="463">
        <v>46157</v>
      </c>
      <c r="C164" s="464">
        <v>0</v>
      </c>
      <c r="D164" s="464">
        <v>0</v>
      </c>
      <c r="E164" s="465">
        <v>0</v>
      </c>
      <c r="F164" s="434">
        <f>-6602</f>
        <v>-6602</v>
      </c>
      <c r="G164" s="466">
        <v>0</v>
      </c>
      <c r="H164" s="467">
        <v>0</v>
      </c>
      <c r="I164" s="462">
        <f t="shared" si="4"/>
        <v>-792111.31</v>
      </c>
    </row>
    <row r="165" spans="2:9" x14ac:dyDescent="0.3">
      <c r="B165" s="463">
        <v>46158</v>
      </c>
      <c r="C165" s="464">
        <v>0</v>
      </c>
      <c r="D165" s="464">
        <v>0</v>
      </c>
      <c r="E165" s="465">
        <v>0</v>
      </c>
      <c r="F165" s="432">
        <v>0</v>
      </c>
      <c r="G165" s="466">
        <v>0</v>
      </c>
      <c r="H165" s="467">
        <v>0</v>
      </c>
      <c r="I165" s="462">
        <f t="shared" si="4"/>
        <v>-792111.31</v>
      </c>
    </row>
    <row r="166" spans="2:9" x14ac:dyDescent="0.3">
      <c r="B166" s="463">
        <v>46159</v>
      </c>
      <c r="C166" s="464">
        <v>0</v>
      </c>
      <c r="D166" s="464">
        <v>0</v>
      </c>
      <c r="E166" s="465">
        <v>0</v>
      </c>
      <c r="F166" s="432">
        <v>0</v>
      </c>
      <c r="G166" s="466">
        <v>0</v>
      </c>
      <c r="H166" s="467">
        <v>0</v>
      </c>
      <c r="I166" s="462">
        <f t="shared" si="4"/>
        <v>-792111.31</v>
      </c>
    </row>
    <row r="167" spans="2:9" x14ac:dyDescent="0.3">
      <c r="B167" s="463">
        <v>46160</v>
      </c>
      <c r="C167" s="464">
        <v>0</v>
      </c>
      <c r="D167" s="464">
        <v>0</v>
      </c>
      <c r="E167" s="465">
        <v>0</v>
      </c>
      <c r="F167" s="432">
        <v>0</v>
      </c>
      <c r="G167" s="466">
        <v>0</v>
      </c>
      <c r="H167" s="467">
        <v>0</v>
      </c>
      <c r="I167" s="462">
        <f t="shared" si="4"/>
        <v>-792111.31</v>
      </c>
    </row>
    <row r="168" spans="2:9" x14ac:dyDescent="0.3">
      <c r="B168" s="463">
        <v>46161</v>
      </c>
      <c r="C168" s="464">
        <v>0</v>
      </c>
      <c r="D168" s="464">
        <v>0</v>
      </c>
      <c r="E168" s="465">
        <v>0</v>
      </c>
      <c r="F168" s="432">
        <v>0</v>
      </c>
      <c r="G168" s="466">
        <v>0</v>
      </c>
      <c r="H168" s="467">
        <v>0</v>
      </c>
      <c r="I168" s="462">
        <f t="shared" si="4"/>
        <v>-792111.31</v>
      </c>
    </row>
    <row r="169" spans="2:9" x14ac:dyDescent="0.3">
      <c r="B169" s="463">
        <v>46162</v>
      </c>
      <c r="C169" s="464">
        <v>0</v>
      </c>
      <c r="D169" s="464">
        <v>0</v>
      </c>
      <c r="E169" s="465">
        <v>0</v>
      </c>
      <c r="F169" s="434">
        <f>-(1973+450+40000)</f>
        <v>-42423</v>
      </c>
      <c r="G169" s="466">
        <v>0</v>
      </c>
      <c r="H169" s="467">
        <v>0</v>
      </c>
      <c r="I169" s="462">
        <f t="shared" si="4"/>
        <v>-834534.31</v>
      </c>
    </row>
    <row r="170" spans="2:9" x14ac:dyDescent="0.3">
      <c r="B170" s="463">
        <v>46163</v>
      </c>
      <c r="C170" s="464">
        <v>0</v>
      </c>
      <c r="D170" s="464">
        <v>0</v>
      </c>
      <c r="E170" s="465">
        <v>0</v>
      </c>
      <c r="F170" s="432">
        <v>0</v>
      </c>
      <c r="G170" s="466">
        <v>0</v>
      </c>
      <c r="H170" s="467">
        <v>0</v>
      </c>
      <c r="I170" s="462">
        <f t="shared" si="4"/>
        <v>-834534.31</v>
      </c>
    </row>
    <row r="171" spans="2:9" x14ac:dyDescent="0.3">
      <c r="B171" s="463">
        <v>46164</v>
      </c>
      <c r="C171" s="464">
        <v>0</v>
      </c>
      <c r="D171" s="464">
        <v>0</v>
      </c>
      <c r="E171" s="465">
        <v>0</v>
      </c>
      <c r="F171" s="432">
        <v>0</v>
      </c>
      <c r="G171" s="466">
        <v>0</v>
      </c>
      <c r="H171" s="467">
        <v>0</v>
      </c>
      <c r="I171" s="462">
        <f t="shared" si="4"/>
        <v>-834534.31</v>
      </c>
    </row>
    <row r="172" spans="2:9" x14ac:dyDescent="0.3">
      <c r="B172" s="463">
        <v>46165</v>
      </c>
      <c r="C172" s="464">
        <v>0</v>
      </c>
      <c r="D172" s="464">
        <v>0</v>
      </c>
      <c r="E172" s="465">
        <v>0</v>
      </c>
      <c r="F172" s="432">
        <v>0</v>
      </c>
      <c r="G172" s="466">
        <v>0</v>
      </c>
      <c r="H172" s="467">
        <v>0</v>
      </c>
      <c r="I172" s="462">
        <f t="shared" si="4"/>
        <v>-834534.31</v>
      </c>
    </row>
    <row r="173" spans="2:9" x14ac:dyDescent="0.3">
      <c r="B173" s="463">
        <v>46166</v>
      </c>
      <c r="C173" s="464">
        <v>0</v>
      </c>
      <c r="D173" s="464">
        <v>0</v>
      </c>
      <c r="E173" s="465">
        <v>0</v>
      </c>
      <c r="F173" s="432">
        <v>0</v>
      </c>
      <c r="G173" s="466">
        <v>0</v>
      </c>
      <c r="H173" s="467">
        <v>0</v>
      </c>
      <c r="I173" s="462">
        <f t="shared" si="4"/>
        <v>-834534.31</v>
      </c>
    </row>
    <row r="174" spans="2:9" x14ac:dyDescent="0.3">
      <c r="B174" s="463">
        <v>46167</v>
      </c>
      <c r="C174" s="464">
        <v>0</v>
      </c>
      <c r="D174" s="464">
        <v>0</v>
      </c>
      <c r="E174" s="465">
        <v>0</v>
      </c>
      <c r="F174" s="432">
        <v>0</v>
      </c>
      <c r="G174" s="466">
        <v>0</v>
      </c>
      <c r="H174" s="467">
        <v>0</v>
      </c>
      <c r="I174" s="462">
        <f t="shared" si="4"/>
        <v>-834534.31</v>
      </c>
    </row>
    <row r="175" spans="2:9" x14ac:dyDescent="0.3">
      <c r="B175" s="463">
        <v>46168</v>
      </c>
      <c r="C175" s="464">
        <v>0</v>
      </c>
      <c r="D175" s="464">
        <v>0</v>
      </c>
      <c r="E175" s="465">
        <v>0</v>
      </c>
      <c r="F175" s="432">
        <v>0</v>
      </c>
      <c r="G175" s="466">
        <v>0</v>
      </c>
      <c r="H175" s="467">
        <v>0</v>
      </c>
      <c r="I175" s="462">
        <f t="shared" si="4"/>
        <v>-834534.31</v>
      </c>
    </row>
    <row r="176" spans="2:9" x14ac:dyDescent="0.3">
      <c r="B176" s="463">
        <v>46169</v>
      </c>
      <c r="C176" s="464">
        <v>0</v>
      </c>
      <c r="D176" s="464">
        <v>0</v>
      </c>
      <c r="E176" s="465">
        <v>0</v>
      </c>
      <c r="F176" s="432">
        <v>0</v>
      </c>
      <c r="G176" s="466">
        <v>0</v>
      </c>
      <c r="H176" s="467">
        <v>0</v>
      </c>
      <c r="I176" s="462">
        <f t="shared" si="4"/>
        <v>-834534.31</v>
      </c>
    </row>
    <row r="177" spans="2:9" x14ac:dyDescent="0.3">
      <c r="B177" s="463">
        <v>46170</v>
      </c>
      <c r="C177" s="464">
        <v>0</v>
      </c>
      <c r="D177" s="464">
        <v>0</v>
      </c>
      <c r="E177" s="465">
        <v>0</v>
      </c>
      <c r="F177" s="432">
        <v>0</v>
      </c>
      <c r="G177" s="466">
        <v>0</v>
      </c>
      <c r="H177" s="467">
        <v>0</v>
      </c>
      <c r="I177" s="462">
        <f t="shared" si="4"/>
        <v>-834534.31</v>
      </c>
    </row>
    <row r="178" spans="2:9" x14ac:dyDescent="0.3">
      <c r="B178" s="463">
        <v>46171</v>
      </c>
      <c r="C178" s="464">
        <v>0</v>
      </c>
      <c r="D178" s="464">
        <v>0</v>
      </c>
      <c r="E178" s="465">
        <v>0</v>
      </c>
      <c r="F178" s="434">
        <f>-1000</f>
        <v>-1000</v>
      </c>
      <c r="G178" s="466">
        <v>0</v>
      </c>
      <c r="H178" s="467">
        <v>0</v>
      </c>
      <c r="I178" s="462">
        <f t="shared" si="4"/>
        <v>-835534.31</v>
      </c>
    </row>
    <row r="179" spans="2:9" x14ac:dyDescent="0.3">
      <c r="B179" s="463">
        <v>46172</v>
      </c>
      <c r="C179" s="464">
        <v>0</v>
      </c>
      <c r="D179" s="464">
        <v>0</v>
      </c>
      <c r="E179" s="465">
        <v>0</v>
      </c>
      <c r="F179" s="432">
        <v>0</v>
      </c>
      <c r="G179" s="466">
        <v>0</v>
      </c>
      <c r="H179" s="467">
        <v>0</v>
      </c>
      <c r="I179" s="462">
        <f t="shared" si="4"/>
        <v>-835534.31</v>
      </c>
    </row>
    <row r="180" spans="2:9" ht="15" thickBot="1" x14ac:dyDescent="0.35">
      <c r="B180" s="463">
        <v>46173</v>
      </c>
      <c r="C180" s="464">
        <v>0</v>
      </c>
      <c r="D180" s="464">
        <v>0</v>
      </c>
      <c r="E180" s="465">
        <v>0</v>
      </c>
      <c r="F180" s="432">
        <v>0</v>
      </c>
      <c r="G180" s="466">
        <v>0</v>
      </c>
      <c r="H180" s="467">
        <v>0</v>
      </c>
      <c r="I180" s="462">
        <f t="shared" si="4"/>
        <v>-835534.31</v>
      </c>
    </row>
    <row r="181" spans="2:9" ht="15" thickBot="1" x14ac:dyDescent="0.35">
      <c r="B181" s="469" t="s">
        <v>79</v>
      </c>
      <c r="C181" s="470">
        <f>SUM(C150:C180)</f>
        <v>0</v>
      </c>
      <c r="D181" s="470"/>
      <c r="E181" s="471">
        <f>SUM(E150:E180)</f>
        <v>0</v>
      </c>
      <c r="F181" s="472">
        <f>SUM(F150:F180)</f>
        <v>-90304</v>
      </c>
      <c r="G181" s="472"/>
      <c r="H181" s="471">
        <f>SUM(H150:H177)</f>
        <v>0</v>
      </c>
      <c r="I181" s="473"/>
    </row>
    <row r="183" spans="2:9" ht="15" thickBot="1" x14ac:dyDescent="0.35"/>
    <row r="184" spans="2:9" ht="26.4" thickBot="1" x14ac:dyDescent="0.55000000000000004">
      <c r="B184" s="452" t="s">
        <v>728</v>
      </c>
      <c r="C184" s="453"/>
      <c r="D184" s="453"/>
      <c r="E184" s="453"/>
      <c r="F184" s="453"/>
      <c r="G184" s="453"/>
      <c r="H184" s="453"/>
      <c r="I184" s="453"/>
    </row>
    <row r="185" spans="2:9" ht="15" thickBot="1" x14ac:dyDescent="0.35">
      <c r="B185" s="516" t="s">
        <v>716</v>
      </c>
      <c r="C185" s="454"/>
      <c r="D185" s="454"/>
      <c r="E185" s="454"/>
      <c r="F185" s="454"/>
      <c r="G185" s="454"/>
      <c r="H185" s="454"/>
      <c r="I185" s="455"/>
    </row>
    <row r="186" spans="2:9" ht="15" thickBot="1" x14ac:dyDescent="0.35">
      <c r="B186" s="517"/>
      <c r="C186" s="456" t="s">
        <v>717</v>
      </c>
      <c r="D186" s="456" t="s">
        <v>718</v>
      </c>
      <c r="E186" s="457" t="s">
        <v>735</v>
      </c>
      <c r="F186" s="458" t="s">
        <v>719</v>
      </c>
      <c r="G186" s="458" t="s">
        <v>720</v>
      </c>
      <c r="H186" s="484" t="s">
        <v>736</v>
      </c>
      <c r="I186" s="459" t="s">
        <v>721</v>
      </c>
    </row>
    <row r="187" spans="2:9" x14ac:dyDescent="0.3">
      <c r="B187" s="461"/>
      <c r="C187" s="518"/>
      <c r="D187" s="518"/>
      <c r="E187" s="518"/>
      <c r="F187" s="518"/>
      <c r="G187" s="518"/>
      <c r="H187" s="519"/>
      <c r="I187" s="462">
        <f>I180</f>
        <v>-835534.31</v>
      </c>
    </row>
    <row r="188" spans="2:9" x14ac:dyDescent="0.3">
      <c r="B188" s="463">
        <v>46174</v>
      </c>
      <c r="C188" s="464">
        <v>0</v>
      </c>
      <c r="D188" s="464">
        <v>0</v>
      </c>
      <c r="E188" s="465">
        <v>0</v>
      </c>
      <c r="F188" s="432">
        <v>0</v>
      </c>
      <c r="G188" s="466">
        <v>0</v>
      </c>
      <c r="H188" s="467">
        <v>0</v>
      </c>
      <c r="I188" s="462">
        <f>+I187+C188+E188+G188+H188+F188+D188</f>
        <v>-835534.31</v>
      </c>
    </row>
    <row r="189" spans="2:9" x14ac:dyDescent="0.3">
      <c r="B189" s="463">
        <v>46175</v>
      </c>
      <c r="C189" s="464">
        <v>0</v>
      </c>
      <c r="D189" s="464">
        <v>0</v>
      </c>
      <c r="E189" s="465">
        <v>0</v>
      </c>
      <c r="F189" s="432">
        <v>0</v>
      </c>
      <c r="G189" s="466">
        <v>0</v>
      </c>
      <c r="H189" s="467">
        <v>0</v>
      </c>
      <c r="I189" s="462">
        <f>+I188+C189+E189+G189+H189+F189+D189</f>
        <v>-835534.31</v>
      </c>
    </row>
    <row r="190" spans="2:9" x14ac:dyDescent="0.3">
      <c r="B190" s="463">
        <v>46176</v>
      </c>
      <c r="C190" s="464">
        <v>0</v>
      </c>
      <c r="D190" s="464">
        <v>0</v>
      </c>
      <c r="E190" s="465">
        <v>0</v>
      </c>
      <c r="F190" s="432">
        <v>0</v>
      </c>
      <c r="G190" s="466">
        <v>0</v>
      </c>
      <c r="H190" s="467">
        <v>0</v>
      </c>
      <c r="I190" s="462">
        <f t="shared" ref="I190:I217" si="5">+I189+C190+E190+G190+H190+F190+D190</f>
        <v>-835534.31</v>
      </c>
    </row>
    <row r="191" spans="2:9" x14ac:dyDescent="0.3">
      <c r="B191" s="463">
        <v>46177</v>
      </c>
      <c r="C191" s="464">
        <v>0</v>
      </c>
      <c r="D191" s="464">
        <v>0</v>
      </c>
      <c r="E191" s="465">
        <v>0</v>
      </c>
      <c r="F191" s="432">
        <v>0</v>
      </c>
      <c r="G191" s="466">
        <v>0</v>
      </c>
      <c r="H191" s="467">
        <v>0</v>
      </c>
      <c r="I191" s="462">
        <f t="shared" si="5"/>
        <v>-835534.31</v>
      </c>
    </row>
    <row r="192" spans="2:9" x14ac:dyDescent="0.3">
      <c r="B192" s="463">
        <v>46178</v>
      </c>
      <c r="C192" s="464">
        <v>0</v>
      </c>
      <c r="D192" s="464">
        <v>0</v>
      </c>
      <c r="E192" s="465">
        <v>0</v>
      </c>
      <c r="F192" s="495">
        <f>-(9779+17000+2000)</f>
        <v>-28779</v>
      </c>
      <c r="G192" s="466">
        <v>0</v>
      </c>
      <c r="H192" s="467">
        <v>0</v>
      </c>
      <c r="I192" s="462">
        <f t="shared" si="5"/>
        <v>-864313.31</v>
      </c>
    </row>
    <row r="193" spans="2:9" x14ac:dyDescent="0.3">
      <c r="B193" s="463">
        <v>46179</v>
      </c>
      <c r="C193" s="464">
        <v>0</v>
      </c>
      <c r="D193" s="464">
        <v>0</v>
      </c>
      <c r="E193" s="465">
        <v>0</v>
      </c>
      <c r="F193" s="432">
        <v>0</v>
      </c>
      <c r="G193" s="466">
        <v>0</v>
      </c>
      <c r="H193" s="467">
        <v>0</v>
      </c>
      <c r="I193" s="462">
        <f t="shared" si="5"/>
        <v>-864313.31</v>
      </c>
    </row>
    <row r="194" spans="2:9" x14ac:dyDescent="0.3">
      <c r="B194" s="463">
        <v>46180</v>
      </c>
      <c r="C194" s="464">
        <v>0</v>
      </c>
      <c r="D194" s="464">
        <v>0</v>
      </c>
      <c r="E194" s="465">
        <v>0</v>
      </c>
      <c r="F194" s="432">
        <v>0</v>
      </c>
      <c r="G194" s="466">
        <v>0</v>
      </c>
      <c r="H194" s="467">
        <v>0</v>
      </c>
      <c r="I194" s="462">
        <f t="shared" si="5"/>
        <v>-864313.31</v>
      </c>
    </row>
    <row r="195" spans="2:9" x14ac:dyDescent="0.3">
      <c r="B195" s="463">
        <v>46181</v>
      </c>
      <c r="C195" s="464">
        <v>0</v>
      </c>
      <c r="D195" s="464">
        <v>0</v>
      </c>
      <c r="E195" s="465">
        <v>0</v>
      </c>
      <c r="F195" s="432">
        <v>0</v>
      </c>
      <c r="G195" s="466">
        <v>0</v>
      </c>
      <c r="H195" s="467">
        <v>0</v>
      </c>
      <c r="I195" s="462">
        <f t="shared" si="5"/>
        <v>-864313.31</v>
      </c>
    </row>
    <row r="196" spans="2:9" x14ac:dyDescent="0.3">
      <c r="B196" s="463">
        <v>46182</v>
      </c>
      <c r="C196" s="464">
        <v>0</v>
      </c>
      <c r="D196" s="464">
        <v>0</v>
      </c>
      <c r="E196" s="465">
        <v>0</v>
      </c>
      <c r="F196" s="432">
        <v>0</v>
      </c>
      <c r="G196" s="466">
        <v>0</v>
      </c>
      <c r="H196" s="467">
        <v>0</v>
      </c>
      <c r="I196" s="462">
        <f t="shared" si="5"/>
        <v>-864313.31</v>
      </c>
    </row>
    <row r="197" spans="2:9" x14ac:dyDescent="0.3">
      <c r="B197" s="463">
        <v>46183</v>
      </c>
      <c r="C197" s="464">
        <v>0</v>
      </c>
      <c r="D197" s="464">
        <v>0</v>
      </c>
      <c r="E197" s="465">
        <v>0</v>
      </c>
      <c r="F197" s="434">
        <f>-(2150+850+250+5000+3250)</f>
        <v>-11500</v>
      </c>
      <c r="G197" s="466">
        <v>0</v>
      </c>
      <c r="H197" s="467">
        <v>0</v>
      </c>
      <c r="I197" s="462">
        <f t="shared" si="5"/>
        <v>-875813.31</v>
      </c>
    </row>
    <row r="198" spans="2:9" x14ac:dyDescent="0.3">
      <c r="B198" s="463">
        <v>46184</v>
      </c>
      <c r="C198" s="464">
        <v>0</v>
      </c>
      <c r="D198" s="464">
        <v>0</v>
      </c>
      <c r="E198" s="465">
        <v>0</v>
      </c>
      <c r="F198" s="432">
        <v>0</v>
      </c>
      <c r="G198" s="466">
        <v>0</v>
      </c>
      <c r="H198" s="467">
        <v>0</v>
      </c>
      <c r="I198" s="462">
        <f t="shared" si="5"/>
        <v>-875813.31</v>
      </c>
    </row>
    <row r="199" spans="2:9" x14ac:dyDescent="0.3">
      <c r="B199" s="463">
        <v>46185</v>
      </c>
      <c r="C199" s="464">
        <v>0</v>
      </c>
      <c r="D199" s="464">
        <v>0</v>
      </c>
      <c r="E199" s="465">
        <v>0</v>
      </c>
      <c r="F199" s="432">
        <v>0</v>
      </c>
      <c r="G199" s="466">
        <v>0</v>
      </c>
      <c r="H199" s="467">
        <v>0</v>
      </c>
      <c r="I199" s="462">
        <f t="shared" si="5"/>
        <v>-875813.31</v>
      </c>
    </row>
    <row r="200" spans="2:9" x14ac:dyDescent="0.3">
      <c r="B200" s="463">
        <v>46186</v>
      </c>
      <c r="C200" s="464">
        <v>0</v>
      </c>
      <c r="D200" s="464">
        <v>0</v>
      </c>
      <c r="E200" s="465">
        <v>0</v>
      </c>
      <c r="F200" s="432">
        <v>0</v>
      </c>
      <c r="G200" s="466">
        <v>0</v>
      </c>
      <c r="H200" s="467">
        <v>0</v>
      </c>
      <c r="I200" s="462">
        <f t="shared" si="5"/>
        <v>-875813.31</v>
      </c>
    </row>
    <row r="201" spans="2:9" x14ac:dyDescent="0.3">
      <c r="B201" s="463">
        <v>46187</v>
      </c>
      <c r="C201" s="464">
        <v>0</v>
      </c>
      <c r="D201" s="464">
        <v>0</v>
      </c>
      <c r="E201" s="465">
        <v>0</v>
      </c>
      <c r="F201" s="432">
        <v>0</v>
      </c>
      <c r="G201" s="466">
        <v>0</v>
      </c>
      <c r="H201" s="467">
        <v>0</v>
      </c>
      <c r="I201" s="462">
        <f t="shared" si="5"/>
        <v>-875813.31</v>
      </c>
    </row>
    <row r="202" spans="2:9" x14ac:dyDescent="0.3">
      <c r="B202" s="463">
        <v>46188</v>
      </c>
      <c r="C202" s="464">
        <v>0</v>
      </c>
      <c r="D202" s="464">
        <v>0</v>
      </c>
      <c r="E202" s="465">
        <v>0</v>
      </c>
      <c r="F202" s="434">
        <f>-6602</f>
        <v>-6602</v>
      </c>
      <c r="G202" s="466">
        <v>0</v>
      </c>
      <c r="H202" s="467">
        <v>0</v>
      </c>
      <c r="I202" s="462">
        <f t="shared" si="5"/>
        <v>-882415.31</v>
      </c>
    </row>
    <row r="203" spans="2:9" x14ac:dyDescent="0.3">
      <c r="B203" s="463">
        <v>46189</v>
      </c>
      <c r="C203" s="464">
        <v>0</v>
      </c>
      <c r="D203" s="464">
        <v>0</v>
      </c>
      <c r="E203" s="465">
        <v>0</v>
      </c>
      <c r="F203" s="432">
        <v>0</v>
      </c>
      <c r="G203" s="466">
        <v>0</v>
      </c>
      <c r="H203" s="467">
        <v>0</v>
      </c>
      <c r="I203" s="462">
        <f t="shared" si="5"/>
        <v>-882415.31</v>
      </c>
    </row>
    <row r="204" spans="2:9" x14ac:dyDescent="0.3">
      <c r="B204" s="463">
        <v>46190</v>
      </c>
      <c r="C204" s="464">
        <v>0</v>
      </c>
      <c r="D204" s="464">
        <v>0</v>
      </c>
      <c r="E204" s="465">
        <v>0</v>
      </c>
      <c r="F204" s="432">
        <v>0</v>
      </c>
      <c r="G204" s="466">
        <v>0</v>
      </c>
      <c r="H204" s="467">
        <v>0</v>
      </c>
      <c r="I204" s="462">
        <f t="shared" si="5"/>
        <v>-882415.31</v>
      </c>
    </row>
    <row r="205" spans="2:9" x14ac:dyDescent="0.3">
      <c r="B205" s="463">
        <v>46191</v>
      </c>
      <c r="C205" s="464">
        <v>0</v>
      </c>
      <c r="D205" s="464">
        <v>0</v>
      </c>
      <c r="E205" s="465">
        <v>0</v>
      </c>
      <c r="F205" s="432">
        <v>0</v>
      </c>
      <c r="G205" s="466">
        <v>0</v>
      </c>
      <c r="H205" s="467">
        <v>0</v>
      </c>
      <c r="I205" s="462">
        <f t="shared" si="5"/>
        <v>-882415.31</v>
      </c>
    </row>
    <row r="206" spans="2:9" x14ac:dyDescent="0.3">
      <c r="B206" s="463">
        <v>46192</v>
      </c>
      <c r="C206" s="464">
        <v>0</v>
      </c>
      <c r="D206" s="464">
        <v>0</v>
      </c>
      <c r="E206" s="465">
        <v>0</v>
      </c>
      <c r="F206" s="434">
        <f>-(1973+450+40000)</f>
        <v>-42423</v>
      </c>
      <c r="G206" s="466">
        <v>0</v>
      </c>
      <c r="H206" s="467">
        <v>0</v>
      </c>
      <c r="I206" s="462">
        <f t="shared" si="5"/>
        <v>-924838.31</v>
      </c>
    </row>
    <row r="207" spans="2:9" x14ac:dyDescent="0.3">
      <c r="B207" s="463">
        <v>46193</v>
      </c>
      <c r="C207" s="464">
        <v>0</v>
      </c>
      <c r="D207" s="464">
        <v>0</v>
      </c>
      <c r="E207" s="465">
        <v>0</v>
      </c>
      <c r="F207" s="432">
        <v>0</v>
      </c>
      <c r="G207" s="466">
        <v>0</v>
      </c>
      <c r="H207" s="467">
        <v>0</v>
      </c>
      <c r="I207" s="462">
        <f t="shared" si="5"/>
        <v>-924838.31</v>
      </c>
    </row>
    <row r="208" spans="2:9" x14ac:dyDescent="0.3">
      <c r="B208" s="463">
        <v>46194</v>
      </c>
      <c r="C208" s="464">
        <v>0</v>
      </c>
      <c r="D208" s="464">
        <v>0</v>
      </c>
      <c r="E208" s="465">
        <v>0</v>
      </c>
      <c r="F208" s="432">
        <v>0</v>
      </c>
      <c r="G208" s="466">
        <v>0</v>
      </c>
      <c r="H208" s="467">
        <v>0</v>
      </c>
      <c r="I208" s="462">
        <f t="shared" si="5"/>
        <v>-924838.31</v>
      </c>
    </row>
    <row r="209" spans="2:9" x14ac:dyDescent="0.3">
      <c r="B209" s="463">
        <v>46195</v>
      </c>
      <c r="C209" s="464">
        <v>0</v>
      </c>
      <c r="D209" s="464">
        <v>0</v>
      </c>
      <c r="E209" s="465">
        <v>0</v>
      </c>
      <c r="F209" s="432">
        <v>0</v>
      </c>
      <c r="G209" s="466">
        <v>0</v>
      </c>
      <c r="H209" s="467">
        <v>0</v>
      </c>
      <c r="I209" s="462">
        <f t="shared" si="5"/>
        <v>-924838.31</v>
      </c>
    </row>
    <row r="210" spans="2:9" x14ac:dyDescent="0.3">
      <c r="B210" s="463">
        <v>46196</v>
      </c>
      <c r="C210" s="464">
        <v>0</v>
      </c>
      <c r="D210" s="464">
        <v>0</v>
      </c>
      <c r="E210" s="465">
        <v>0</v>
      </c>
      <c r="F210" s="432">
        <v>0</v>
      </c>
      <c r="G210" s="466">
        <v>0</v>
      </c>
      <c r="H210" s="467">
        <v>0</v>
      </c>
      <c r="I210" s="462">
        <f t="shared" si="5"/>
        <v>-924838.31</v>
      </c>
    </row>
    <row r="211" spans="2:9" x14ac:dyDescent="0.3">
      <c r="B211" s="463">
        <v>46197</v>
      </c>
      <c r="C211" s="464">
        <v>0</v>
      </c>
      <c r="D211" s="464">
        <v>0</v>
      </c>
      <c r="E211" s="465">
        <v>0</v>
      </c>
      <c r="F211" s="432">
        <v>0</v>
      </c>
      <c r="G211" s="466">
        <v>0</v>
      </c>
      <c r="H211" s="467">
        <v>0</v>
      </c>
      <c r="I211" s="462">
        <f t="shared" si="5"/>
        <v>-924838.31</v>
      </c>
    </row>
    <row r="212" spans="2:9" x14ac:dyDescent="0.3">
      <c r="B212" s="463">
        <v>46198</v>
      </c>
      <c r="C212" s="464">
        <v>0</v>
      </c>
      <c r="D212" s="464">
        <v>0</v>
      </c>
      <c r="E212" s="465">
        <v>0</v>
      </c>
      <c r="F212" s="432">
        <v>0</v>
      </c>
      <c r="G212" s="466">
        <v>0</v>
      </c>
      <c r="H212" s="467">
        <v>0</v>
      </c>
      <c r="I212" s="462">
        <f t="shared" si="5"/>
        <v>-924838.31</v>
      </c>
    </row>
    <row r="213" spans="2:9" x14ac:dyDescent="0.3">
      <c r="B213" s="463">
        <v>46199</v>
      </c>
      <c r="C213" s="464">
        <v>0</v>
      </c>
      <c r="D213" s="464">
        <v>0</v>
      </c>
      <c r="E213" s="465">
        <v>0</v>
      </c>
      <c r="F213" s="432">
        <v>0</v>
      </c>
      <c r="G213" s="466">
        <v>0</v>
      </c>
      <c r="H213" s="467">
        <v>0</v>
      </c>
      <c r="I213" s="462">
        <f t="shared" si="5"/>
        <v>-924838.31</v>
      </c>
    </row>
    <row r="214" spans="2:9" x14ac:dyDescent="0.3">
      <c r="B214" s="463">
        <v>46200</v>
      </c>
      <c r="C214" s="464">
        <v>0</v>
      </c>
      <c r="D214" s="464">
        <v>0</v>
      </c>
      <c r="E214" s="465">
        <v>0</v>
      </c>
      <c r="F214" s="432">
        <v>0</v>
      </c>
      <c r="G214" s="466">
        <v>0</v>
      </c>
      <c r="H214" s="467">
        <v>0</v>
      </c>
      <c r="I214" s="462">
        <f t="shared" si="5"/>
        <v>-924838.31</v>
      </c>
    </row>
    <row r="215" spans="2:9" x14ac:dyDescent="0.3">
      <c r="B215" s="463">
        <v>46201</v>
      </c>
      <c r="C215" s="464">
        <v>0</v>
      </c>
      <c r="D215" s="464">
        <v>0</v>
      </c>
      <c r="E215" s="465">
        <v>0</v>
      </c>
      <c r="F215" s="432">
        <v>0</v>
      </c>
      <c r="G215" s="466">
        <v>0</v>
      </c>
      <c r="H215" s="467">
        <v>0</v>
      </c>
      <c r="I215" s="462">
        <f t="shared" si="5"/>
        <v>-924838.31</v>
      </c>
    </row>
    <row r="216" spans="2:9" x14ac:dyDescent="0.3">
      <c r="B216" s="463">
        <v>46202</v>
      </c>
      <c r="C216" s="464">
        <v>0</v>
      </c>
      <c r="D216" s="464">
        <v>0</v>
      </c>
      <c r="E216" s="465">
        <v>0</v>
      </c>
      <c r="F216" s="432">
        <v>0</v>
      </c>
      <c r="G216" s="466">
        <v>0</v>
      </c>
      <c r="H216" s="467">
        <v>0</v>
      </c>
      <c r="I216" s="462">
        <f t="shared" si="5"/>
        <v>-924838.31</v>
      </c>
    </row>
    <row r="217" spans="2:9" ht="15" thickBot="1" x14ac:dyDescent="0.35">
      <c r="B217" s="463">
        <v>46203</v>
      </c>
      <c r="C217" s="464">
        <v>0</v>
      </c>
      <c r="D217" s="464">
        <v>0</v>
      </c>
      <c r="E217" s="465">
        <v>0</v>
      </c>
      <c r="F217" s="434">
        <f>-1000</f>
        <v>-1000</v>
      </c>
      <c r="G217" s="466">
        <v>0</v>
      </c>
      <c r="H217" s="467">
        <v>0</v>
      </c>
      <c r="I217" s="462">
        <f t="shared" si="5"/>
        <v>-925838.31</v>
      </c>
    </row>
    <row r="218" spans="2:9" ht="15" thickBot="1" x14ac:dyDescent="0.35">
      <c r="B218" s="469" t="s">
        <v>79</v>
      </c>
      <c r="C218" s="470"/>
      <c r="D218" s="470"/>
      <c r="E218" s="471">
        <f>SUM(E188:E217)</f>
        <v>0</v>
      </c>
      <c r="F218" s="472">
        <f>SUM(F188:F217)</f>
        <v>-90304</v>
      </c>
      <c r="G218" s="472"/>
      <c r="H218" s="471">
        <f>SUM(H188:H217)</f>
        <v>0</v>
      </c>
      <c r="I218" s="473"/>
    </row>
    <row r="220" spans="2:9" ht="15" thickBot="1" x14ac:dyDescent="0.35"/>
    <row r="221" spans="2:9" ht="26.4" thickBot="1" x14ac:dyDescent="0.55000000000000004">
      <c r="B221" s="452" t="s">
        <v>729</v>
      </c>
      <c r="C221" s="453"/>
      <c r="D221" s="453"/>
      <c r="E221" s="453"/>
      <c r="F221" s="453"/>
      <c r="G221" s="453"/>
      <c r="H221" s="453"/>
      <c r="I221" s="453"/>
    </row>
    <row r="222" spans="2:9" ht="15" thickBot="1" x14ac:dyDescent="0.35">
      <c r="B222" s="516" t="s">
        <v>716</v>
      </c>
      <c r="C222" s="454"/>
      <c r="D222" s="454"/>
      <c r="E222" s="454"/>
      <c r="F222" s="454"/>
      <c r="G222" s="454"/>
      <c r="H222" s="454"/>
      <c r="I222" s="455"/>
    </row>
    <row r="223" spans="2:9" ht="15" thickBot="1" x14ac:dyDescent="0.35">
      <c r="B223" s="517"/>
      <c r="C223" s="456" t="s">
        <v>717</v>
      </c>
      <c r="D223" s="456" t="s">
        <v>718</v>
      </c>
      <c r="E223" s="457" t="s">
        <v>735</v>
      </c>
      <c r="F223" s="458" t="s">
        <v>719</v>
      </c>
      <c r="G223" s="458" t="s">
        <v>720</v>
      </c>
      <c r="H223" s="484" t="s">
        <v>736</v>
      </c>
      <c r="I223" s="459" t="s">
        <v>721</v>
      </c>
    </row>
    <row r="224" spans="2:9" x14ac:dyDescent="0.3">
      <c r="B224" s="461"/>
      <c r="C224" s="518"/>
      <c r="D224" s="518"/>
      <c r="E224" s="518"/>
      <c r="F224" s="518"/>
      <c r="G224" s="518"/>
      <c r="H224" s="519"/>
      <c r="I224" s="462" t="e">
        <f>#REF!</f>
        <v>#REF!</v>
      </c>
    </row>
    <row r="225" spans="2:9" x14ac:dyDescent="0.3">
      <c r="B225" s="463">
        <v>45474</v>
      </c>
      <c r="C225" s="464" t="e">
        <f>SUMIF('[1]Receitas KIM '!$B$3:$B$569,'[1]Fluxo caixa KIM-BIG'!B189,'[1]Receitas KIM '!$H$3:$H$569)</f>
        <v>#VALUE!</v>
      </c>
      <c r="D225" s="464">
        <v>102069.24</v>
      </c>
      <c r="E225" s="465">
        <v>100000</v>
      </c>
      <c r="F225" s="466" t="e">
        <f>-SUMIFS([1]Despesas!$H$4:$H$1223,[1]Despesas!$M$4:$M$1223,'[1]Fluxo caixa KIM-BIG'!$H$2,[1]Despesas!$A$4:$A$1223,'[1]Fluxo caixa KIM-BIG'!B189)</f>
        <v>#VALUE!</v>
      </c>
      <c r="G225" s="466">
        <v>-100989.58</v>
      </c>
      <c r="H225" s="467"/>
      <c r="I225" s="462" t="e">
        <f t="shared" ref="I225:I247" si="6">+I224+C225+E225+G225+H225+F225+D225</f>
        <v>#REF!</v>
      </c>
    </row>
    <row r="226" spans="2:9" x14ac:dyDescent="0.3">
      <c r="B226" s="463">
        <v>45475</v>
      </c>
      <c r="C226" s="464" t="e">
        <f>SUMIF('[1]Receitas KIM '!$B$3:$B$569,'[1]Fluxo caixa KIM-BIG'!B190,'[1]Receitas KIM '!$H$3:$H$569)</f>
        <v>#VALUE!</v>
      </c>
      <c r="D226" s="464"/>
      <c r="E226" s="467"/>
      <c r="F226" s="466" t="e">
        <f>-SUMIFS([1]Despesas!$H$4:$H$1223,[1]Despesas!$M$4:$M$1223,'[1]Fluxo caixa KIM-BIG'!$H$2,[1]Despesas!$A$4:$A$1223,'[1]Fluxo caixa KIM-BIG'!B190)</f>
        <v>#VALUE!</v>
      </c>
      <c r="G226" s="466"/>
      <c r="H226" s="467"/>
      <c r="I226" s="462" t="e">
        <f t="shared" si="6"/>
        <v>#REF!</v>
      </c>
    </row>
    <row r="227" spans="2:9" x14ac:dyDescent="0.3">
      <c r="B227" s="463">
        <v>45476</v>
      </c>
      <c r="C227" s="464" t="e">
        <f>SUMIF('[1]Receitas KIM '!$B$3:$B$569,'[1]Fluxo caixa KIM-BIG'!B191,'[1]Receitas KIM '!$H$3:$H$569)</f>
        <v>#VALUE!</v>
      </c>
      <c r="D227" s="464"/>
      <c r="E227" s="467"/>
      <c r="F227" s="466" t="e">
        <f>-SUMIFS([1]Despesas!$H$4:$H$1223,[1]Despesas!$M$4:$M$1223,'[1]Fluxo caixa KIM-BIG'!$H$2,[1]Despesas!$A$4:$A$1223,'[1]Fluxo caixa KIM-BIG'!B191)</f>
        <v>#VALUE!</v>
      </c>
      <c r="G227" s="466">
        <v>-1996.68</v>
      </c>
      <c r="H227" s="467"/>
      <c r="I227" s="462" t="e">
        <f t="shared" si="6"/>
        <v>#REF!</v>
      </c>
    </row>
    <row r="228" spans="2:9" x14ac:dyDescent="0.3">
      <c r="B228" s="463">
        <v>45477</v>
      </c>
      <c r="C228" s="464" t="e">
        <f>SUMIF('[1]Receitas KIM '!$B$3:$B$569,'[1]Fluxo caixa KIM-BIG'!B192,'[1]Receitas KIM '!$H$3:$H$569)</f>
        <v>#VALUE!</v>
      </c>
      <c r="D228" s="464"/>
      <c r="E228" s="467"/>
      <c r="F228" s="466" t="e">
        <f>-SUMIFS([1]Despesas!$H$4:$H$1223,[1]Despesas!$M$4:$M$1223,'[1]Fluxo caixa KIM-BIG'!$H$2,[1]Despesas!$A$4:$A$1223,'[1]Fluxo caixa KIM-BIG'!B192)</f>
        <v>#VALUE!</v>
      </c>
      <c r="G228" s="466"/>
      <c r="H228" s="467"/>
      <c r="I228" s="462" t="e">
        <f t="shared" si="6"/>
        <v>#REF!</v>
      </c>
    </row>
    <row r="229" spans="2:9" x14ac:dyDescent="0.3">
      <c r="B229" s="463">
        <v>45478</v>
      </c>
      <c r="C229" s="464" t="e">
        <f>SUMIF('[1]Receitas KIM '!$B$3:$B$569,'[1]Fluxo caixa KIM-BIG'!B193,'[1]Receitas KIM '!$H$3:$H$569)</f>
        <v>#VALUE!</v>
      </c>
      <c r="D229" s="464">
        <v>86159.28</v>
      </c>
      <c r="E229" s="467"/>
      <c r="F229" s="466" t="e">
        <f>-SUMIFS([1]Despesas!$H$4:$H$1223,[1]Despesas!$M$4:$M$1223,'[1]Fluxo caixa KIM-BIG'!$H$2,[1]Despesas!$A$4:$A$1223,'[1]Fluxo caixa KIM-BIG'!B193)</f>
        <v>#VALUE!</v>
      </c>
      <c r="G229" s="466"/>
      <c r="H229" s="467"/>
      <c r="I229" s="462" t="e">
        <f t="shared" si="6"/>
        <v>#REF!</v>
      </c>
    </row>
    <row r="230" spans="2:9" x14ac:dyDescent="0.3">
      <c r="B230" s="463">
        <v>45481</v>
      </c>
      <c r="C230" s="464" t="e">
        <f>SUMIF('[1]Receitas KIM '!$B$3:$B$569,'[1]Fluxo caixa KIM-BIG'!B194,'[1]Receitas KIM '!$H$3:$H$569)</f>
        <v>#VALUE!</v>
      </c>
      <c r="D230" s="464">
        <v>13060.51</v>
      </c>
      <c r="E230" s="467"/>
      <c r="F230" s="466" t="e">
        <f>-SUMIFS([1]Despesas!$H$4:$H$1223,[1]Despesas!$M$4:$M$1223,'[1]Fluxo caixa KIM-BIG'!$H$2,[1]Despesas!$A$4:$A$1223,'[1]Fluxo caixa KIM-BIG'!B194)</f>
        <v>#VALUE!</v>
      </c>
      <c r="G230" s="466"/>
      <c r="H230" s="467"/>
      <c r="I230" s="462" t="e">
        <f t="shared" si="6"/>
        <v>#REF!</v>
      </c>
    </row>
    <row r="231" spans="2:9" x14ac:dyDescent="0.3">
      <c r="B231" s="463">
        <v>45482</v>
      </c>
      <c r="C231" s="464" t="e">
        <f>SUMIF('[1]Receitas KIM '!$B$3:$B$569,'[1]Fluxo caixa KIM-BIG'!B195,'[1]Receitas KIM '!$H$3:$H$569)</f>
        <v>#VALUE!</v>
      </c>
      <c r="D231" s="464">
        <v>2107.0300000000002</v>
      </c>
      <c r="E231" s="467"/>
      <c r="F231" s="466" t="e">
        <f>-SUMIFS([1]Despesas!$H$4:$H$1223,[1]Despesas!$M$4:$M$1223,'[1]Fluxo caixa KIM-BIG'!$H$2,[1]Despesas!$A$4:$A$1223,'[1]Fluxo caixa KIM-BIG'!B195)</f>
        <v>#VALUE!</v>
      </c>
      <c r="G231" s="466">
        <v>-195985.99</v>
      </c>
      <c r="H231" s="467"/>
      <c r="I231" s="462" t="e">
        <f t="shared" si="6"/>
        <v>#REF!</v>
      </c>
    </row>
    <row r="232" spans="2:9" x14ac:dyDescent="0.3">
      <c r="B232" s="463">
        <v>45483</v>
      </c>
      <c r="C232" s="464" t="e">
        <f>SUMIF('[1]Receitas KIM '!$B$3:$B$569,'[1]Fluxo caixa KIM-BIG'!B196,'[1]Receitas KIM '!$H$3:$H$569)</f>
        <v>#VALUE!</v>
      </c>
      <c r="D232" s="464">
        <v>514999.97</v>
      </c>
      <c r="E232" s="467">
        <v>400000</v>
      </c>
      <c r="F232" s="466" t="e">
        <f>-SUMIFS([1]Despesas!$H$4:$H$1223,[1]Despesas!$M$4:$M$1223,'[1]Fluxo caixa KIM-BIG'!$H$2,[1]Despesas!$A$4:$A$1223,'[1]Fluxo caixa KIM-BIG'!B196)</f>
        <v>#VALUE!</v>
      </c>
      <c r="G232" s="466">
        <v>-400285.47</v>
      </c>
      <c r="H232" s="467"/>
      <c r="I232" s="462" t="e">
        <f t="shared" si="6"/>
        <v>#REF!</v>
      </c>
    </row>
    <row r="233" spans="2:9" x14ac:dyDescent="0.3">
      <c r="B233" s="463">
        <v>45484</v>
      </c>
      <c r="C233" s="464" t="e">
        <f>SUMIF('[1]Receitas KIM '!$B$3:$B$569,'[1]Fluxo caixa KIM-BIG'!B197,'[1]Receitas KIM '!$H$3:$H$569)</f>
        <v>#VALUE!</v>
      </c>
      <c r="D233" s="464"/>
      <c r="E233" s="467"/>
      <c r="F233" s="466" t="e">
        <f>-SUMIFS([1]Despesas!$H$4:$H$1223,[1]Despesas!$M$4:$M$1223,'[1]Fluxo caixa KIM-BIG'!$H$2,[1]Despesas!$A$4:$A$1223,'[1]Fluxo caixa KIM-BIG'!B197)</f>
        <v>#VALUE!</v>
      </c>
      <c r="G233" s="466"/>
      <c r="H233" s="467"/>
      <c r="I233" s="462" t="e">
        <f t="shared" si="6"/>
        <v>#REF!</v>
      </c>
    </row>
    <row r="234" spans="2:9" x14ac:dyDescent="0.3">
      <c r="B234" s="463">
        <v>45485</v>
      </c>
      <c r="C234" s="464" t="e">
        <f>SUMIF('[1]Receitas KIM '!$B$3:$B$569,'[1]Fluxo caixa KIM-BIG'!B198,'[1]Receitas KIM '!$H$3:$H$569)</f>
        <v>#VALUE!</v>
      </c>
      <c r="D234" s="464"/>
      <c r="E234" s="467"/>
      <c r="F234" s="466" t="e">
        <f>-SUMIFS([1]Despesas!$H$4:$H$1223,[1]Despesas!$M$4:$M$1223,'[1]Fluxo caixa KIM-BIG'!$H$2,[1]Despesas!$A$4:$A$1223,'[1]Fluxo caixa KIM-BIG'!B198)</f>
        <v>#VALUE!</v>
      </c>
      <c r="G234" s="466"/>
      <c r="H234" s="465"/>
      <c r="I234" s="462" t="e">
        <f t="shared" si="6"/>
        <v>#REF!</v>
      </c>
    </row>
    <row r="235" spans="2:9" x14ac:dyDescent="0.3">
      <c r="B235" s="463">
        <v>45488</v>
      </c>
      <c r="C235" s="464" t="e">
        <f>SUMIF('[1]Receitas KIM '!$B$3:$B$569,'[1]Fluxo caixa KIM-BIG'!B199,'[1]Receitas KIM '!$H$3:$H$569)</f>
        <v>#VALUE!</v>
      </c>
      <c r="D235" s="464">
        <v>29777.919999999998</v>
      </c>
      <c r="E235" s="467"/>
      <c r="F235" s="466" t="e">
        <f>-SUMIFS([1]Despesas!$H$4:$H$1223,[1]Despesas!$M$4:$M$1223,'[1]Fluxo caixa KIM-BIG'!$H$2,[1]Despesas!$A$4:$A$1223,'[1]Fluxo caixa KIM-BIG'!B199)</f>
        <v>#VALUE!</v>
      </c>
      <c r="G235" s="466"/>
      <c r="H235" s="465"/>
      <c r="I235" s="462" t="e">
        <f t="shared" si="6"/>
        <v>#REF!</v>
      </c>
    </row>
    <row r="236" spans="2:9" x14ac:dyDescent="0.3">
      <c r="B236" s="463">
        <v>45489</v>
      </c>
      <c r="C236" s="464" t="e">
        <f>SUMIF('[1]Receitas KIM '!$B$3:$B$569,'[1]Fluxo caixa KIM-BIG'!B200,'[1]Receitas KIM '!$H$3:$H$569)</f>
        <v>#VALUE!</v>
      </c>
      <c r="D236" s="464"/>
      <c r="E236" s="467"/>
      <c r="F236" s="466" t="e">
        <f>-SUMIFS([1]Despesas!$H$4:$H$1223,[1]Despesas!$M$4:$M$1223,'[1]Fluxo caixa KIM-BIG'!$H$2,[1]Despesas!$A$4:$A$1223,'[1]Fluxo caixa KIM-BIG'!B200)</f>
        <v>#VALUE!</v>
      </c>
      <c r="G236" s="466"/>
      <c r="H236" s="465"/>
      <c r="I236" s="462" t="e">
        <f t="shared" si="6"/>
        <v>#REF!</v>
      </c>
    </row>
    <row r="237" spans="2:9" x14ac:dyDescent="0.3">
      <c r="B237" s="463">
        <v>45490</v>
      </c>
      <c r="C237" s="464" t="e">
        <f>SUMIF('[1]Receitas KIM '!$B$3:$B$569,'[1]Fluxo caixa KIM-BIG'!B201,'[1]Receitas KIM '!$H$3:$H$569)</f>
        <v>#VALUE!</v>
      </c>
      <c r="D237" s="464"/>
      <c r="E237" s="467"/>
      <c r="F237" s="466" t="e">
        <f>-SUMIFS([1]Despesas!$H$4:$H$1223,[1]Despesas!$M$4:$M$1223,'[1]Fluxo caixa KIM-BIG'!$H$2,[1]Despesas!$A$4:$A$1223,'[1]Fluxo caixa KIM-BIG'!B201)</f>
        <v>#VALUE!</v>
      </c>
      <c r="G237" s="466"/>
      <c r="H237" s="465"/>
      <c r="I237" s="462" t="e">
        <f t="shared" si="6"/>
        <v>#REF!</v>
      </c>
    </row>
    <row r="238" spans="2:9" x14ac:dyDescent="0.3">
      <c r="B238" s="463">
        <v>45491</v>
      </c>
      <c r="C238" s="464" t="e">
        <f>SUMIF('[1]Receitas KIM '!$B$3:$B$569,'[1]Fluxo caixa KIM-BIG'!B202,'[1]Receitas KIM '!$H$3:$H$569)</f>
        <v>#VALUE!</v>
      </c>
      <c r="D238" s="464"/>
      <c r="E238" s="467"/>
      <c r="F238" s="466" t="e">
        <f>-SUMIFS([1]Despesas!$H$4:$H$1223,[1]Despesas!$M$4:$M$1223,'[1]Fluxo caixa KIM-BIG'!$H$2,[1]Despesas!$A$4:$A$1223,'[1]Fluxo caixa KIM-BIG'!B202)</f>
        <v>#VALUE!</v>
      </c>
      <c r="G238" s="482"/>
      <c r="H238" s="468"/>
      <c r="I238" s="462" t="e">
        <f t="shared" si="6"/>
        <v>#REF!</v>
      </c>
    </row>
    <row r="239" spans="2:9" x14ac:dyDescent="0.3">
      <c r="B239" s="463">
        <v>45492</v>
      </c>
      <c r="C239" s="464" t="e">
        <f>SUMIF('[1]Receitas KIM '!$B$3:$B$569,'[1]Fluxo caixa KIM-BIG'!B203,'[1]Receitas KIM '!$H$3:$H$569)</f>
        <v>#VALUE!</v>
      </c>
      <c r="D239" s="464">
        <v>32071.09</v>
      </c>
      <c r="E239" s="465"/>
      <c r="F239" s="466" t="e">
        <f>-SUMIFS([1]Despesas!$H$4:$H$1223,[1]Despesas!$M$4:$M$1223,'[1]Fluxo caixa KIM-BIG'!$H$2,[1]Despesas!$A$4:$A$1223,'[1]Fluxo caixa KIM-BIG'!B203)</f>
        <v>#VALUE!</v>
      </c>
      <c r="G239" s="466"/>
      <c r="H239" s="465"/>
      <c r="I239" s="462" t="e">
        <f t="shared" si="6"/>
        <v>#REF!</v>
      </c>
    </row>
    <row r="240" spans="2:9" x14ac:dyDescent="0.3">
      <c r="B240" s="463">
        <v>45495</v>
      </c>
      <c r="C240" s="464" t="e">
        <f>SUMIF('[1]Receitas KIM '!$B$3:$B$569,'[1]Fluxo caixa KIM-BIG'!B204,'[1]Receitas KIM '!$H$3:$H$569)</f>
        <v>#VALUE!</v>
      </c>
      <c r="D240" s="464">
        <v>215800.71</v>
      </c>
      <c r="E240" s="465">
        <v>300000</v>
      </c>
      <c r="F240" s="466" t="e">
        <f>-SUMIFS([1]Despesas!$H$4:$H$1223,[1]Despesas!$M$4:$M$1223,'[1]Fluxo caixa KIM-BIG'!$H$2,[1]Despesas!$A$4:$A$1223,'[1]Fluxo caixa KIM-BIG'!B204)</f>
        <v>#VALUE!</v>
      </c>
      <c r="G240" s="466">
        <v>-293945.82</v>
      </c>
      <c r="H240" s="465"/>
      <c r="I240" s="462" t="e">
        <f t="shared" si="6"/>
        <v>#REF!</v>
      </c>
    </row>
    <row r="241" spans="2:9" x14ac:dyDescent="0.3">
      <c r="B241" s="463">
        <v>45496</v>
      </c>
      <c r="C241" s="464" t="e">
        <f>SUMIF('[1]Receitas KIM '!$B$3:$B$569,'[1]Fluxo caixa KIM-BIG'!B205,'[1]Receitas KIM '!$H$3:$H$569)</f>
        <v>#VALUE!</v>
      </c>
      <c r="D241" s="464"/>
      <c r="E241" s="467"/>
      <c r="F241" s="466" t="e">
        <f>-SUMIFS([1]Despesas!$H$4:$H$1223,[1]Despesas!$M$4:$M$1223,'[1]Fluxo caixa KIM-BIG'!$H$2,[1]Despesas!$A$4:$A$1223,'[1]Fluxo caixa KIM-BIG'!B205)</f>
        <v>#VALUE!</v>
      </c>
      <c r="G241" s="466">
        <v>-6963.98</v>
      </c>
      <c r="H241" s="465"/>
      <c r="I241" s="462" t="e">
        <f t="shared" si="6"/>
        <v>#REF!</v>
      </c>
    </row>
    <row r="242" spans="2:9" x14ac:dyDescent="0.3">
      <c r="B242" s="463">
        <v>45497</v>
      </c>
      <c r="C242" s="464" t="e">
        <f>SUMIF('[1]Receitas KIM '!$B$3:$B$569,'[1]Fluxo caixa KIM-BIG'!B206,'[1]Receitas KIM '!$H$3:$H$569)</f>
        <v>#VALUE!</v>
      </c>
      <c r="D242" s="464"/>
      <c r="E242" s="467"/>
      <c r="F242" s="466" t="e">
        <f>-SUMIFS([1]Despesas!$H$4:$H$1223,[1]Despesas!$M$4:$M$1223,'[1]Fluxo caixa KIM-BIG'!$H$2,[1]Despesas!$A$4:$A$1223,'[1]Fluxo caixa KIM-BIG'!B206)</f>
        <v>#VALUE!</v>
      </c>
      <c r="G242" s="466"/>
      <c r="H242" s="465"/>
      <c r="I242" s="462" t="e">
        <f t="shared" si="6"/>
        <v>#REF!</v>
      </c>
    </row>
    <row r="243" spans="2:9" x14ac:dyDescent="0.3">
      <c r="B243" s="463">
        <v>45498</v>
      </c>
      <c r="C243" s="464" t="e">
        <f>SUMIF('[1]Receitas KIM '!$B$3:$B$569,'[1]Fluxo caixa KIM-BIG'!B207,'[1]Receitas KIM '!$H$3:$H$569)</f>
        <v>#VALUE!</v>
      </c>
      <c r="D243" s="464">
        <v>22707.58</v>
      </c>
      <c r="E243" s="467"/>
      <c r="F243" s="466" t="e">
        <f>-SUMIFS([1]Despesas!$H$4:$H$1223,[1]Despesas!$M$4:$M$1223,'[1]Fluxo caixa KIM-BIG'!$H$2,[1]Despesas!$A$4:$A$1223,'[1]Fluxo caixa KIM-BIG'!B207)</f>
        <v>#VALUE!</v>
      </c>
      <c r="G243" s="466"/>
      <c r="H243" s="465"/>
      <c r="I243" s="462" t="e">
        <f t="shared" si="6"/>
        <v>#REF!</v>
      </c>
    </row>
    <row r="244" spans="2:9" x14ac:dyDescent="0.3">
      <c r="B244" s="463">
        <v>45499</v>
      </c>
      <c r="C244" s="464" t="e">
        <f>SUMIF('[1]Receitas KIM '!$B$3:$B$569,'[1]Fluxo caixa KIM-BIG'!B208,'[1]Receitas KIM '!$H$3:$H$569)</f>
        <v>#VALUE!</v>
      </c>
      <c r="D244" s="464"/>
      <c r="E244" s="467"/>
      <c r="F244" s="466" t="e">
        <f>-SUMIFS([1]Despesas!$H$4:$H$1223,[1]Despesas!$M$4:$M$1223,'[1]Fluxo caixa KIM-BIG'!$H$2,[1]Despesas!$A$4:$A$1223,'[1]Fluxo caixa KIM-BIG'!B208)</f>
        <v>#VALUE!</v>
      </c>
      <c r="G244" s="466"/>
      <c r="H244" s="465"/>
      <c r="I244" s="462" t="e">
        <f t="shared" si="6"/>
        <v>#REF!</v>
      </c>
    </row>
    <row r="245" spans="2:9" x14ac:dyDescent="0.3">
      <c r="B245" s="463">
        <v>45502</v>
      </c>
      <c r="C245" s="464" t="e">
        <f>SUMIF('[1]Receitas KIM '!$B$3:$B$569,'[1]Fluxo caixa KIM-BIG'!B209,'[1]Receitas KIM '!$H$3:$H$569)</f>
        <v>#VALUE!</v>
      </c>
      <c r="D245" s="464"/>
      <c r="E245" s="467"/>
      <c r="F245" s="466" t="e">
        <f>-SUMIFS([1]Despesas!$H$4:$H$1223,[1]Despesas!$M$4:$M$1223,'[1]Fluxo caixa KIM-BIG'!$H$2,[1]Despesas!$A$4:$A$1223,'[1]Fluxo caixa KIM-BIG'!B209)</f>
        <v>#VALUE!</v>
      </c>
      <c r="G245" s="466"/>
      <c r="H245" s="465"/>
      <c r="I245" s="462" t="e">
        <f t="shared" si="6"/>
        <v>#REF!</v>
      </c>
    </row>
    <row r="246" spans="2:9" x14ac:dyDescent="0.3">
      <c r="B246" s="463">
        <v>45503</v>
      </c>
      <c r="C246" s="464" t="e">
        <f>SUMIF('[1]Receitas KIM '!$B$3:$B$569,'[1]Fluxo caixa KIM-BIG'!B210,'[1]Receitas KIM '!$H$3:$H$569)</f>
        <v>#VALUE!</v>
      </c>
      <c r="D246" s="464">
        <v>234328.49</v>
      </c>
      <c r="E246" s="467"/>
      <c r="F246" s="466" t="e">
        <f>-SUMIFS([1]Despesas!$H$4:$H$1223,[1]Despesas!$M$4:$M$1223,'[1]Fluxo caixa KIM-BIG'!$H$2,[1]Despesas!$A$4:$A$1223,'[1]Fluxo caixa KIM-BIG'!B210)</f>
        <v>#VALUE!</v>
      </c>
      <c r="G246" s="466">
        <v>-98979.57</v>
      </c>
      <c r="H246" s="465"/>
      <c r="I246" s="462" t="e">
        <f t="shared" si="6"/>
        <v>#REF!</v>
      </c>
    </row>
    <row r="247" spans="2:9" ht="15" thickBot="1" x14ac:dyDescent="0.35">
      <c r="B247" s="463">
        <v>45504</v>
      </c>
      <c r="C247" s="464" t="e">
        <f>SUMIF('[1]Receitas KIM '!$B$3:$B$569,'[1]Fluxo caixa KIM-BIG'!B211,'[1]Receitas KIM '!$H$3:$H$569)</f>
        <v>#VALUE!</v>
      </c>
      <c r="D247" s="464">
        <v>97913.279999999999</v>
      </c>
      <c r="E247" s="467"/>
      <c r="F247" s="466" t="e">
        <f>-SUMIFS([1]Despesas!$H$4:$H$1223,[1]Despesas!$M$4:$M$1223,'[1]Fluxo caixa KIM-BIG'!$H$2,[1]Despesas!$A$4:$A$1223,'[1]Fluxo caixa KIM-BIG'!B211)</f>
        <v>#VALUE!</v>
      </c>
      <c r="G247" s="466">
        <v>-4599.6499999999996</v>
      </c>
      <c r="H247" s="465"/>
      <c r="I247" s="462" t="e">
        <f t="shared" si="6"/>
        <v>#REF!</v>
      </c>
    </row>
    <row r="248" spans="2:9" ht="15" thickBot="1" x14ac:dyDescent="0.35">
      <c r="B248" s="469" t="s">
        <v>79</v>
      </c>
      <c r="C248" s="470" t="e">
        <f>SUM(C225:C247)</f>
        <v>#VALUE!</v>
      </c>
      <c r="D248" s="470"/>
      <c r="E248" s="471">
        <f>SUM(E225:E247)</f>
        <v>800000</v>
      </c>
      <c r="F248" s="472" t="e">
        <f>SUM(F225:F247)</f>
        <v>#VALUE!</v>
      </c>
      <c r="G248" s="472"/>
      <c r="H248" s="471">
        <f>SUM(H225:H244)</f>
        <v>0</v>
      </c>
      <c r="I248" s="473"/>
    </row>
    <row r="249" spans="2:9" x14ac:dyDescent="0.3">
      <c r="C249" s="475"/>
      <c r="D249" s="475"/>
      <c r="E249" s="476"/>
      <c r="F249" s="477"/>
      <c r="G249" s="477"/>
      <c r="H249" s="476"/>
      <c r="I249" s="478" t="e">
        <f>#REF!+#REF!</f>
        <v>#REF!</v>
      </c>
    </row>
    <row r="251" spans="2:9" ht="15" thickBot="1" x14ac:dyDescent="0.35"/>
    <row r="252" spans="2:9" ht="26.4" thickBot="1" x14ac:dyDescent="0.55000000000000004">
      <c r="B252" s="452" t="s">
        <v>730</v>
      </c>
      <c r="C252" s="453"/>
      <c r="D252" s="453"/>
      <c r="E252" s="453"/>
      <c r="F252" s="453"/>
      <c r="G252" s="453"/>
      <c r="H252" s="453"/>
      <c r="I252" s="453"/>
    </row>
    <row r="253" spans="2:9" ht="15" thickBot="1" x14ac:dyDescent="0.35">
      <c r="B253" s="516" t="s">
        <v>716</v>
      </c>
      <c r="C253" s="454"/>
      <c r="D253" s="454"/>
      <c r="E253" s="454"/>
      <c r="F253" s="454"/>
      <c r="G253" s="454"/>
      <c r="H253" s="454"/>
      <c r="I253" s="455"/>
    </row>
    <row r="254" spans="2:9" ht="15" thickBot="1" x14ac:dyDescent="0.35">
      <c r="B254" s="517"/>
      <c r="C254" s="456" t="s">
        <v>717</v>
      </c>
      <c r="D254" s="456" t="s">
        <v>718</v>
      </c>
      <c r="E254" s="457" t="s">
        <v>735</v>
      </c>
      <c r="F254" s="458" t="s">
        <v>719</v>
      </c>
      <c r="G254" s="458" t="s">
        <v>720</v>
      </c>
      <c r="H254" s="484" t="s">
        <v>736</v>
      </c>
      <c r="I254" s="459" t="s">
        <v>721</v>
      </c>
    </row>
    <row r="255" spans="2:9" x14ac:dyDescent="0.3">
      <c r="B255" s="461"/>
      <c r="C255" s="518"/>
      <c r="D255" s="518"/>
      <c r="E255" s="518"/>
      <c r="F255" s="518"/>
      <c r="G255" s="518"/>
      <c r="H255" s="519"/>
      <c r="I255" s="462" t="e">
        <f>I247</f>
        <v>#REF!</v>
      </c>
    </row>
    <row r="256" spans="2:9" x14ac:dyDescent="0.3">
      <c r="B256" s="463">
        <v>45505</v>
      </c>
      <c r="C256" s="464" t="e">
        <f>SUMIF('[1]Receitas KIM '!$B$3:$B$569,'[1]Fluxo caixa KIM-BIG'!B220,'[1]Receitas KIM '!$H$3:$H$569)</f>
        <v>#VALUE!</v>
      </c>
      <c r="D256" s="464">
        <v>22600.68</v>
      </c>
      <c r="E256" s="465"/>
      <c r="F256" s="466" t="e">
        <f>-SUMIFS([1]!Tabela4[Realizado],[1]!Tabela4[Vencimento],'[1]Fluxo caixa KIM-BIG'!B220,[1]!Tabela4[KIM/TACOM],'[1]Fluxo caixa KIM-BIG'!$H$2)</f>
        <v>#REF!</v>
      </c>
      <c r="G256" s="466"/>
      <c r="H256" s="467"/>
      <c r="I256" s="462" t="e">
        <f t="shared" ref="I256:I278" si="7">+I255+C256+E256+G256+H256+F256+D256</f>
        <v>#REF!</v>
      </c>
    </row>
    <row r="257" spans="2:9" x14ac:dyDescent="0.3">
      <c r="B257" s="463">
        <v>45506</v>
      </c>
      <c r="C257" s="464" t="e">
        <f>SUMIF('[1]Receitas KIM '!$B$3:$B$569,'[1]Fluxo caixa KIM-BIG'!B221,'[1]Receitas KIM '!$H$3:$H$569)</f>
        <v>#VALUE!</v>
      </c>
      <c r="D257" s="464"/>
      <c r="E257" s="467"/>
      <c r="F257" s="466" t="e">
        <f>-SUMIFS([1]!Tabela4[Realizado],[1]!Tabela4[Vencimento],'[1]Fluxo caixa KIM-BIG'!B221,[1]!Tabela4[KIM/TACOM],'[1]Fluxo caixa KIM-BIG'!$H$2)</f>
        <v>#REF!</v>
      </c>
      <c r="G257" s="466">
        <v>-2999.87</v>
      </c>
      <c r="H257" s="467"/>
      <c r="I257" s="462" t="e">
        <f t="shared" si="7"/>
        <v>#REF!</v>
      </c>
    </row>
    <row r="258" spans="2:9" x14ac:dyDescent="0.3">
      <c r="B258" s="463">
        <v>45509</v>
      </c>
      <c r="C258" s="464" t="e">
        <f>SUMIF('[1]Receitas KIM '!$B$3:$B$569,'[1]Fluxo caixa KIM-BIG'!B222,'[1]Receitas KIM '!$H$3:$H$569)</f>
        <v>#VALUE!</v>
      </c>
      <c r="D258" s="464">
        <v>1256.18</v>
      </c>
      <c r="E258" s="467"/>
      <c r="F258" s="466" t="e">
        <f>-SUMIFS([1]!Tabela4[Realizado],[1]!Tabela4[Vencimento],'[1]Fluxo caixa KIM-BIG'!B222,[1]!Tabela4[KIM/TACOM],'[1]Fluxo caixa KIM-BIG'!$H$2)</f>
        <v>#REF!</v>
      </c>
      <c r="G258" s="466"/>
      <c r="H258" s="467"/>
      <c r="I258" s="462" t="e">
        <f t="shared" si="7"/>
        <v>#REF!</v>
      </c>
    </row>
    <row r="259" spans="2:9" x14ac:dyDescent="0.3">
      <c r="B259" s="463">
        <v>45510</v>
      </c>
      <c r="C259" s="464" t="e">
        <f>SUMIF('[1]Receitas KIM '!$B$3:$B$569,'[1]Fluxo caixa KIM-BIG'!B223,'[1]Receitas KIM '!$H$3:$H$569)</f>
        <v>#VALUE!</v>
      </c>
      <c r="D259" s="464">
        <v>25129.54</v>
      </c>
      <c r="E259" s="467"/>
      <c r="F259" s="466" t="e">
        <f>-SUMIFS([1]!Tabela4[Realizado],[1]!Tabela4[Vencimento],'[1]Fluxo caixa KIM-BIG'!B223,[1]!Tabela4[KIM/TACOM],'[1]Fluxo caixa KIM-BIG'!$H$2)</f>
        <v>#REF!</v>
      </c>
      <c r="G259" s="466"/>
      <c r="H259" s="467"/>
      <c r="I259" s="462" t="e">
        <f t="shared" si="7"/>
        <v>#REF!</v>
      </c>
    </row>
    <row r="260" spans="2:9" x14ac:dyDescent="0.3">
      <c r="B260" s="463">
        <v>45511</v>
      </c>
      <c r="C260" s="464" t="e">
        <f>SUMIF('[1]Receitas KIM '!$B$3:$B$569,'[1]Fluxo caixa KIM-BIG'!B224,'[1]Receitas KIM '!$H$3:$H$569)</f>
        <v>#VALUE!</v>
      </c>
      <c r="D260" s="464">
        <v>37703.15</v>
      </c>
      <c r="E260" s="467"/>
      <c r="F260" s="466" t="e">
        <f>-SUMIFS([1]!Tabela4[Realizado],[1]!Tabela4[Vencimento],'[1]Fluxo caixa KIM-BIG'!B224,[1]!Tabela4[KIM/TACOM],'[1]Fluxo caixa KIM-BIG'!$H$2)</f>
        <v>#REF!</v>
      </c>
      <c r="G260" s="466"/>
      <c r="H260" s="467"/>
      <c r="I260" s="462" t="e">
        <f t="shared" si="7"/>
        <v>#REF!</v>
      </c>
    </row>
    <row r="261" spans="2:9" x14ac:dyDescent="0.3">
      <c r="B261" s="463">
        <v>45512</v>
      </c>
      <c r="C261" s="464" t="e">
        <f>SUMIF('[1]Receitas KIM '!$B$3:$B$569,'[1]Fluxo caixa KIM-BIG'!B225,'[1]Receitas KIM '!$H$3:$H$569)</f>
        <v>#VALUE!</v>
      </c>
      <c r="D261" s="464">
        <v>12570.67</v>
      </c>
      <c r="E261" s="467"/>
      <c r="F261" s="466" t="e">
        <f>-SUMIFS([1]!Tabela4[Realizado],[1]!Tabela4[Vencimento],'[1]Fluxo caixa KIM-BIG'!B225,[1]!Tabela4[KIM/TACOM],'[1]Fluxo caixa KIM-BIG'!$H$2)</f>
        <v>#REF!</v>
      </c>
      <c r="G261" s="466"/>
      <c r="H261" s="467"/>
      <c r="I261" s="462" t="e">
        <f t="shared" si="7"/>
        <v>#REF!</v>
      </c>
    </row>
    <row r="262" spans="2:9" x14ac:dyDescent="0.3">
      <c r="B262" s="463">
        <v>45513</v>
      </c>
      <c r="C262" s="464" t="e">
        <f>SUMIF('[1]Receitas KIM '!$B$3:$B$569,'[1]Fluxo caixa KIM-BIG'!B226,'[1]Receitas KIM '!$H$3:$H$569)</f>
        <v>#VALUE!</v>
      </c>
      <c r="D262" s="464">
        <v>12573.62</v>
      </c>
      <c r="E262" s="467"/>
      <c r="F262" s="466" t="e">
        <f>-SUMIFS([1]!Tabela4[Realizado],[1]!Tabela4[Vencimento],'[1]Fluxo caixa KIM-BIG'!B226,[1]!Tabela4[KIM/TACOM],'[1]Fluxo caixa KIM-BIG'!$H$2)</f>
        <v>#REF!</v>
      </c>
      <c r="G262" s="466">
        <v>-863.59</v>
      </c>
      <c r="H262" s="467"/>
      <c r="I262" s="462" t="e">
        <f t="shared" si="7"/>
        <v>#REF!</v>
      </c>
    </row>
    <row r="263" spans="2:9" x14ac:dyDescent="0.3">
      <c r="B263" s="463">
        <v>45516</v>
      </c>
      <c r="C263" s="464" t="e">
        <f>SUMIF('[1]Receitas KIM '!$B$3:$B$569,'[1]Fluxo caixa KIM-BIG'!B227,'[1]Receitas KIM '!$H$3:$H$569)</f>
        <v>#VALUE!</v>
      </c>
      <c r="D263" s="464">
        <v>382885.14</v>
      </c>
      <c r="E263" s="467">
        <v>250000</v>
      </c>
      <c r="F263" s="466" t="e">
        <f>-SUMIFS([1]!Tabela4[Realizado],[1]!Tabela4[Vencimento],'[1]Fluxo caixa KIM-BIG'!B227,[1]!Tabela4[KIM/TACOM],'[1]Fluxo caixa KIM-BIG'!$H$2)</f>
        <v>#REF!</v>
      </c>
      <c r="G263" s="466">
        <v>-260971.07</v>
      </c>
      <c r="H263" s="467"/>
      <c r="I263" s="462" t="e">
        <f t="shared" si="7"/>
        <v>#REF!</v>
      </c>
    </row>
    <row r="264" spans="2:9" x14ac:dyDescent="0.3">
      <c r="B264" s="463">
        <v>45517</v>
      </c>
      <c r="C264" s="464" t="e">
        <f>SUMIF('[1]Receitas KIM '!$B$3:$B$569,'[1]Fluxo caixa KIM-BIG'!B228,'[1]Receitas KIM '!$H$3:$H$569)</f>
        <v>#VALUE!</v>
      </c>
      <c r="D264" s="464"/>
      <c r="E264" s="467"/>
      <c r="F264" s="466" t="e">
        <f>-SUMIFS([1]!Tabela4[Realizado],[1]!Tabela4[Vencimento],'[1]Fluxo caixa KIM-BIG'!B228,[1]!Tabela4[KIM/TACOM],'[1]Fluxo caixa KIM-BIG'!$H$2)</f>
        <v>#REF!</v>
      </c>
      <c r="G264" s="466"/>
      <c r="H264" s="467"/>
      <c r="I264" s="462" t="e">
        <f t="shared" si="7"/>
        <v>#REF!</v>
      </c>
    </row>
    <row r="265" spans="2:9" x14ac:dyDescent="0.3">
      <c r="B265" s="463">
        <v>45518</v>
      </c>
      <c r="C265" s="464" t="e">
        <f>SUMIF('[1]Receitas KIM '!$B$3:$B$569,'[1]Fluxo caixa KIM-BIG'!B229,'[1]Receitas KIM '!$H$3:$H$569)</f>
        <v>#VALUE!</v>
      </c>
      <c r="D265" s="464">
        <v>2611.46</v>
      </c>
      <c r="E265" s="467"/>
      <c r="F265" s="466" t="e">
        <f>-SUMIFS([1]!Tabela4[Realizado],[1]!Tabela4[Vencimento],'[1]Fluxo caixa KIM-BIG'!B229,[1]!Tabela4[KIM/TACOM],'[1]Fluxo caixa KIM-BIG'!$H$2)</f>
        <v>#REF!</v>
      </c>
      <c r="G265" s="466">
        <v>-999.53</v>
      </c>
      <c r="H265" s="465"/>
      <c r="I265" s="462" t="e">
        <f t="shared" si="7"/>
        <v>#REF!</v>
      </c>
    </row>
    <row r="266" spans="2:9" x14ac:dyDescent="0.3">
      <c r="B266" s="463">
        <v>45519</v>
      </c>
      <c r="C266" s="464" t="e">
        <f>SUMIF('[1]Receitas KIM '!$B$3:$B$569,'[1]Fluxo caixa KIM-BIG'!B230,'[1]Receitas KIM '!$H$3:$H$569)</f>
        <v>#VALUE!</v>
      </c>
      <c r="D266" s="464"/>
      <c r="E266" s="467"/>
      <c r="F266" s="466" t="e">
        <f>-SUMIFS([1]!Tabela4[Realizado],[1]!Tabela4[Vencimento],'[1]Fluxo caixa KIM-BIG'!B230,[1]!Tabela4[KIM/TACOM],'[1]Fluxo caixa KIM-BIG'!$H$2)</f>
        <v>#REF!</v>
      </c>
      <c r="G266" s="466"/>
      <c r="H266" s="465"/>
      <c r="I266" s="462" t="e">
        <f t="shared" si="7"/>
        <v>#REF!</v>
      </c>
    </row>
    <row r="267" spans="2:9" x14ac:dyDescent="0.3">
      <c r="B267" s="463">
        <v>45520</v>
      </c>
      <c r="C267" s="464" t="e">
        <f>SUMIF('[1]Receitas KIM '!$B$3:$B$569,'[1]Fluxo caixa KIM-BIG'!B231,'[1]Receitas KIM '!$H$3:$H$569)</f>
        <v>#VALUE!</v>
      </c>
      <c r="D267" s="464"/>
      <c r="E267" s="467"/>
      <c r="F267" s="466" t="e">
        <f>-SUMIFS([1]!Tabela4[Realizado],[1]!Tabela4[Vencimento],'[1]Fluxo caixa KIM-BIG'!B231,[1]!Tabela4[KIM/TACOM],'[1]Fluxo caixa KIM-BIG'!$H$2)</f>
        <v>#REF!</v>
      </c>
      <c r="G267" s="466">
        <v>-3999.78</v>
      </c>
      <c r="H267" s="465"/>
      <c r="I267" s="462" t="e">
        <f t="shared" si="7"/>
        <v>#REF!</v>
      </c>
    </row>
    <row r="268" spans="2:9" x14ac:dyDescent="0.3">
      <c r="B268" s="463">
        <v>45523</v>
      </c>
      <c r="C268" s="464" t="e">
        <f>SUMIF('[1]Receitas KIM '!$B$3:$B$569,'[1]Fluxo caixa KIM-BIG'!B232,'[1]Receitas KIM '!$H$3:$H$569)</f>
        <v>#VALUE!</v>
      </c>
      <c r="D268" s="464"/>
      <c r="E268" s="467"/>
      <c r="F268" s="466" t="e">
        <f>-SUMIFS([1]!Tabela4[Realizado],[1]!Tabela4[Vencimento],'[1]Fluxo caixa KIM-BIG'!B232,[1]!Tabela4[KIM/TACOM],'[1]Fluxo caixa KIM-BIG'!$H$2)</f>
        <v>#REF!</v>
      </c>
      <c r="G268" s="466"/>
      <c r="H268" s="465"/>
      <c r="I268" s="462" t="e">
        <f t="shared" si="7"/>
        <v>#REF!</v>
      </c>
    </row>
    <row r="269" spans="2:9" x14ac:dyDescent="0.3">
      <c r="B269" s="463">
        <v>45524</v>
      </c>
      <c r="C269" s="464" t="e">
        <f>SUMIF('[1]Receitas KIM '!$B$3:$B$569,'[1]Fluxo caixa KIM-BIG'!B233,'[1]Receitas KIM '!$H$3:$H$569)</f>
        <v>#VALUE!</v>
      </c>
      <c r="D269" s="464"/>
      <c r="E269" s="467">
        <v>350000</v>
      </c>
      <c r="F269" s="466" t="e">
        <f>-SUMIFS([1]!Tabela4[Realizado],[1]!Tabela4[Vencimento],'[1]Fluxo caixa KIM-BIG'!B233,[1]!Tabela4[KIM/TACOM],'[1]Fluxo caixa KIM-BIG'!$H$2)</f>
        <v>#REF!</v>
      </c>
      <c r="G269" s="482">
        <v>-245995</v>
      </c>
      <c r="H269" s="465"/>
      <c r="I269" s="462" t="e">
        <f t="shared" si="7"/>
        <v>#REF!</v>
      </c>
    </row>
    <row r="270" spans="2:9" x14ac:dyDescent="0.3">
      <c r="B270" s="463">
        <v>45525</v>
      </c>
      <c r="C270" s="464" t="e">
        <f>SUMIF('[1]Receitas KIM '!$B$3:$B$569,'[1]Fluxo caixa KIM-BIG'!B234,'[1]Receitas KIM '!$H$3:$H$569)</f>
        <v>#VALUE!</v>
      </c>
      <c r="D270" s="464"/>
      <c r="E270" s="465"/>
      <c r="F270" s="466" t="e">
        <f>-SUMIFS([1]!Tabela4[Realizado],[1]!Tabela4[Vencimento],'[1]Fluxo caixa KIM-BIG'!B234,[1]!Tabela4[KIM/TACOM],'[1]Fluxo caixa KIM-BIG'!$H$2)</f>
        <v>#REF!</v>
      </c>
      <c r="G270" s="466"/>
      <c r="H270" s="465"/>
      <c r="I270" s="462" t="e">
        <f t="shared" si="7"/>
        <v>#REF!</v>
      </c>
    </row>
    <row r="271" spans="2:9" x14ac:dyDescent="0.3">
      <c r="B271" s="463">
        <v>45526</v>
      </c>
      <c r="C271" s="464" t="e">
        <f>SUMIF('[1]Receitas KIM '!$B$3:$B$569,'[1]Fluxo caixa KIM-BIG'!B235,'[1]Receitas KIM '!$H$3:$H$569)</f>
        <v>#VALUE!</v>
      </c>
      <c r="D271" s="464"/>
      <c r="E271" s="465"/>
      <c r="F271" s="466" t="e">
        <f>-SUMIFS([1]!Tabela4[Realizado],[1]!Tabela4[Vencimento],'[1]Fluxo caixa KIM-BIG'!B235,[1]!Tabela4[KIM/TACOM],'[1]Fluxo caixa KIM-BIG'!$H$2)</f>
        <v>#REF!</v>
      </c>
      <c r="G271" s="466"/>
      <c r="H271" s="465"/>
      <c r="I271" s="462" t="e">
        <f t="shared" si="7"/>
        <v>#REF!</v>
      </c>
    </row>
    <row r="272" spans="2:9" x14ac:dyDescent="0.3">
      <c r="B272" s="463">
        <v>45527</v>
      </c>
      <c r="C272" s="464" t="e">
        <f>SUMIF('[1]Receitas KIM '!$B$3:$B$569,'[1]Fluxo caixa KIM-BIG'!B236,'[1]Receitas KIM '!$H$3:$H$569)</f>
        <v>#VALUE!</v>
      </c>
      <c r="D272" s="464">
        <v>105809.04</v>
      </c>
      <c r="E272" s="467"/>
      <c r="F272" s="466" t="e">
        <f>-SUMIFS([1]!Tabela4[Realizado],[1]!Tabela4[Vencimento],'[1]Fluxo caixa KIM-BIG'!B236,[1]!Tabela4[KIM/TACOM],'[1]Fluxo caixa KIM-BIG'!$H$2)</f>
        <v>#REF!</v>
      </c>
      <c r="G272" s="466"/>
      <c r="H272" s="465"/>
      <c r="I272" s="462" t="e">
        <f t="shared" si="7"/>
        <v>#REF!</v>
      </c>
    </row>
    <row r="273" spans="2:9" x14ac:dyDescent="0.3">
      <c r="B273" s="463">
        <v>45530</v>
      </c>
      <c r="C273" s="464" t="e">
        <f>SUMIF('[1]Receitas KIM '!$B$3:$B$569,'[1]Fluxo caixa KIM-BIG'!B237,'[1]Receitas KIM '!$H$3:$H$569)</f>
        <v>#VALUE!</v>
      </c>
      <c r="D273" s="464"/>
      <c r="E273" s="467"/>
      <c r="F273" s="466" t="e">
        <f>-SUMIFS([1]!Tabela4[Realizado],[1]!Tabela4[Vencimento],'[1]Fluxo caixa KIM-BIG'!B237,[1]!Tabela4[KIM/TACOM],'[1]Fluxo caixa KIM-BIG'!$H$2)</f>
        <v>#REF!</v>
      </c>
      <c r="G273" s="466"/>
      <c r="H273" s="465"/>
      <c r="I273" s="462" t="e">
        <f t="shared" si="7"/>
        <v>#REF!</v>
      </c>
    </row>
    <row r="274" spans="2:9" x14ac:dyDescent="0.3">
      <c r="B274" s="463">
        <v>45531</v>
      </c>
      <c r="C274" s="464" t="e">
        <f>SUMIF('[1]Receitas KIM '!$B$3:$B$569,'[1]Fluxo caixa KIM-BIG'!B238,'[1]Receitas KIM '!$H$3:$H$569)</f>
        <v>#VALUE!</v>
      </c>
      <c r="D274" s="464"/>
      <c r="E274" s="467"/>
      <c r="F274" s="466" t="e">
        <f>-SUMIFS([1]!Tabela4[Realizado],[1]!Tabela4[Vencimento],'[1]Fluxo caixa KIM-BIG'!B238,[1]!Tabela4[KIM/TACOM],'[1]Fluxo caixa KIM-BIG'!$H$2)</f>
        <v>#REF!</v>
      </c>
      <c r="G274" s="466"/>
      <c r="H274" s="465"/>
      <c r="I274" s="462" t="e">
        <f t="shared" si="7"/>
        <v>#REF!</v>
      </c>
    </row>
    <row r="275" spans="2:9" x14ac:dyDescent="0.3">
      <c r="B275" s="463">
        <v>45532</v>
      </c>
      <c r="C275" s="464" t="e">
        <f>SUMIF('[1]Receitas KIM '!$B$3:$B$569,'[1]Fluxo caixa KIM-BIG'!B239,'[1]Receitas KIM '!$H$3:$H$569)</f>
        <v>#VALUE!</v>
      </c>
      <c r="D275" s="464"/>
      <c r="E275" s="467"/>
      <c r="F275" s="466" t="e">
        <f>-SUMIFS([1]!Tabela4[Realizado],[1]!Tabela4[Vencimento],'[1]Fluxo caixa KIM-BIG'!B239,[1]!Tabela4[KIM/TACOM],'[1]Fluxo caixa KIM-BIG'!$H$2)</f>
        <v>#REF!</v>
      </c>
      <c r="G275" s="466"/>
      <c r="H275" s="465"/>
      <c r="I275" s="462" t="e">
        <f t="shared" si="7"/>
        <v>#REF!</v>
      </c>
    </row>
    <row r="276" spans="2:9" x14ac:dyDescent="0.3">
      <c r="B276" s="463">
        <v>45533</v>
      </c>
      <c r="C276" s="464" t="e">
        <f>SUMIF('[1]Receitas KIM '!$B$3:$B$569,'[1]Fluxo caixa KIM-BIG'!B240,'[1]Receitas KIM '!$H$3:$H$569)</f>
        <v>#VALUE!</v>
      </c>
      <c r="D276" s="464">
        <v>4008.23</v>
      </c>
      <c r="E276" s="467"/>
      <c r="F276" s="466" t="e">
        <f>-SUMIFS([1]!Tabela4[Realizado],[1]!Tabela4[Vencimento],'[1]Fluxo caixa KIM-BIG'!B240,[1]!Tabela4[KIM/TACOM],'[1]Fluxo caixa KIM-BIG'!$H$2)</f>
        <v>#REF!</v>
      </c>
      <c r="G276" s="466"/>
      <c r="H276" s="465"/>
      <c r="I276" s="462" t="e">
        <f t="shared" si="7"/>
        <v>#REF!</v>
      </c>
    </row>
    <row r="277" spans="2:9" x14ac:dyDescent="0.3">
      <c r="B277" s="463">
        <v>45534</v>
      </c>
      <c r="C277" s="464" t="e">
        <f>SUMIF('[1]Receitas KIM '!$B$3:$B$569,'[1]Fluxo caixa KIM-BIG'!B241,'[1]Receitas KIM '!$H$3:$H$569)</f>
        <v>#VALUE!</v>
      </c>
      <c r="D277" s="464">
        <v>29741.62</v>
      </c>
      <c r="E277" s="467"/>
      <c r="F277" s="466" t="e">
        <f>-SUMIFS([1]!Tabela4[Realizado],[1]!Tabela4[Vencimento],'[1]Fluxo caixa KIM-BIG'!B241,[1]!Tabela4[KIM/TACOM],'[1]Fluxo caixa KIM-BIG'!$H$2)</f>
        <v>#REF!</v>
      </c>
      <c r="G277" s="466"/>
      <c r="H277" s="465"/>
      <c r="I277" s="462" t="e">
        <f t="shared" si="7"/>
        <v>#REF!</v>
      </c>
    </row>
    <row r="278" spans="2:9" ht="15" thickBot="1" x14ac:dyDescent="0.35">
      <c r="B278" s="463"/>
      <c r="C278" s="464" t="e">
        <f>SUMIF('[1]Receitas KIM '!$B$3:$B$569,'[1]Fluxo caixa KIM-BIG'!B242,'[1]Receitas KIM '!$H$3:$H$569)</f>
        <v>#VALUE!</v>
      </c>
      <c r="D278" s="464"/>
      <c r="E278" s="467"/>
      <c r="F278" s="466" t="e">
        <f>-SUMIFS([1]!Tabela4[Realizado],[1]!Tabela4[Vencimento],'[1]Fluxo caixa KIM-BIG'!B242,[1]!Tabela4[KIM/TACOM],'[1]Fluxo caixa KIM-BIG'!$H$2)</f>
        <v>#REF!</v>
      </c>
      <c r="G278" s="466"/>
      <c r="H278" s="465"/>
      <c r="I278" s="462" t="e">
        <f t="shared" si="7"/>
        <v>#REF!</v>
      </c>
    </row>
    <row r="279" spans="2:9" ht="15" thickBot="1" x14ac:dyDescent="0.35">
      <c r="B279" s="469" t="s">
        <v>79</v>
      </c>
      <c r="C279" s="470"/>
      <c r="D279" s="470"/>
      <c r="E279" s="471">
        <f>SUM(E256:E278)</f>
        <v>600000</v>
      </c>
      <c r="F279" s="472" t="e">
        <f>SUM(F256:F278)</f>
        <v>#REF!</v>
      </c>
      <c r="G279" s="472"/>
      <c r="H279" s="471">
        <f>SUM(H256:H275)</f>
        <v>0</v>
      </c>
      <c r="I279" s="473"/>
    </row>
    <row r="280" spans="2:9" x14ac:dyDescent="0.3">
      <c r="C280" s="475"/>
      <c r="D280" s="475"/>
      <c r="E280" s="476"/>
      <c r="F280" s="477"/>
      <c r="G280" s="477"/>
      <c r="H280" s="476"/>
      <c r="I280" s="478" t="e">
        <f>#REF!+#REF!</f>
        <v>#REF!</v>
      </c>
    </row>
    <row r="281" spans="2:9" ht="15" thickBot="1" x14ac:dyDescent="0.35"/>
    <row r="282" spans="2:9" ht="26.4" thickBot="1" x14ac:dyDescent="0.55000000000000004">
      <c r="B282" s="452" t="s">
        <v>731</v>
      </c>
      <c r="C282" s="453"/>
      <c r="D282" s="453"/>
      <c r="E282" s="453"/>
      <c r="F282" s="453"/>
      <c r="G282" s="453"/>
      <c r="H282" s="453"/>
      <c r="I282" s="453"/>
    </row>
    <row r="283" spans="2:9" ht="15" thickBot="1" x14ac:dyDescent="0.35">
      <c r="B283" s="516" t="s">
        <v>716</v>
      </c>
      <c r="C283" s="454"/>
      <c r="D283" s="454"/>
      <c r="E283" s="454"/>
      <c r="F283" s="454"/>
      <c r="G283" s="454"/>
      <c r="H283" s="454"/>
      <c r="I283" s="455"/>
    </row>
    <row r="284" spans="2:9" ht="15" thickBot="1" x14ac:dyDescent="0.35">
      <c r="B284" s="517"/>
      <c r="C284" s="456" t="s">
        <v>717</v>
      </c>
      <c r="D284" s="456" t="s">
        <v>718</v>
      </c>
      <c r="E284" s="457" t="s">
        <v>735</v>
      </c>
      <c r="F284" s="458" t="s">
        <v>719</v>
      </c>
      <c r="G284" s="458" t="s">
        <v>720</v>
      </c>
      <c r="H284" s="484" t="s">
        <v>736</v>
      </c>
      <c r="I284" s="459" t="s">
        <v>721</v>
      </c>
    </row>
    <row r="285" spans="2:9" x14ac:dyDescent="0.3">
      <c r="B285" s="461"/>
      <c r="C285" s="518"/>
      <c r="D285" s="518"/>
      <c r="E285" s="518"/>
      <c r="F285" s="518"/>
      <c r="G285" s="518"/>
      <c r="H285" s="519"/>
      <c r="I285" s="462" t="e">
        <f>I277</f>
        <v>#REF!</v>
      </c>
    </row>
    <row r="286" spans="2:9" x14ac:dyDescent="0.3">
      <c r="B286" s="463">
        <v>45537</v>
      </c>
      <c r="C286" s="464" t="e">
        <f>SUMIF('[1]Receitas KIM '!$B$3:$B$569,'[1]Fluxo caixa KIM-BIG'!B250,'[1]Receitas KIM '!$H$3:$H$569)</f>
        <v>#VALUE!</v>
      </c>
      <c r="D286" s="464"/>
      <c r="E286" s="465"/>
      <c r="F286" s="466" t="e">
        <f>-SUMIFS([1]!Tabela4[Realizado],[1]!Tabela4[Vencimento],'[1]Fluxo caixa KIM-BIG'!B250,[1]!Tabela4[KIM/TACOM],'[1]Fluxo caixa KIM-BIG'!$H$2)</f>
        <v>#REF!</v>
      </c>
      <c r="G286" s="466"/>
      <c r="H286" s="467"/>
      <c r="I286" s="462" t="e">
        <f t="shared" ref="I286:I308" si="8">+I285+C286+E286+G286+H286+F286+D286</f>
        <v>#REF!</v>
      </c>
    </row>
    <row r="287" spans="2:9" x14ac:dyDescent="0.3">
      <c r="B287" s="463">
        <v>45538</v>
      </c>
      <c r="C287" s="464" t="e">
        <f>SUMIF('[1]Receitas KIM '!$B$3:$B$569,'[1]Fluxo caixa KIM-BIG'!B251,'[1]Receitas KIM '!$H$3:$H$569)</f>
        <v>#VALUE!</v>
      </c>
      <c r="D287" s="464"/>
      <c r="E287" s="467"/>
      <c r="F287" s="466" t="e">
        <f>-SUMIFS([1]!Tabela4[Realizado],[1]!Tabela4[Vencimento],'[1]Fluxo caixa KIM-BIG'!B251,[1]!Tabela4[KIM/TACOM],'[1]Fluxo caixa KIM-BIG'!$H$2)</f>
        <v>#REF!</v>
      </c>
      <c r="G287" s="466">
        <v>-13499.82</v>
      </c>
      <c r="H287" s="467"/>
      <c r="I287" s="462" t="e">
        <f t="shared" si="8"/>
        <v>#REF!</v>
      </c>
    </row>
    <row r="288" spans="2:9" x14ac:dyDescent="0.3">
      <c r="B288" s="463">
        <v>45539</v>
      </c>
      <c r="C288" s="464" t="e">
        <f>SUMIF('[1]Receitas KIM '!$B$3:$B$569,'[1]Fluxo caixa KIM-BIG'!B252,'[1]Receitas KIM '!$H$3:$H$569)</f>
        <v>#VALUE!</v>
      </c>
      <c r="D288" s="464"/>
      <c r="E288" s="467"/>
      <c r="F288" s="466" t="e">
        <f>-SUMIFS([1]!Tabela4[Realizado],[1]!Tabela4[Vencimento],'[1]Fluxo caixa KIM-BIG'!B252,[1]!Tabela4[KIM/TACOM],'[1]Fluxo caixa KIM-BIG'!$H$2)</f>
        <v>#REF!</v>
      </c>
      <c r="G288" s="466"/>
      <c r="H288" s="467"/>
      <c r="I288" s="462" t="e">
        <f t="shared" si="8"/>
        <v>#REF!</v>
      </c>
    </row>
    <row r="289" spans="2:9" x14ac:dyDescent="0.3">
      <c r="B289" s="463">
        <v>45540</v>
      </c>
      <c r="C289" s="464" t="e">
        <f>SUMIF('[1]Receitas KIM '!$B$3:$B$569,'[1]Fluxo caixa KIM-BIG'!B253,'[1]Receitas KIM '!$H$3:$H$569)</f>
        <v>#VALUE!</v>
      </c>
      <c r="D289" s="464">
        <v>1003.29</v>
      </c>
      <c r="E289" s="467"/>
      <c r="F289" s="466" t="e">
        <f>-SUMIFS([1]!Tabela4[Realizado],[1]!Tabela4[Vencimento],'[1]Fluxo caixa KIM-BIG'!B253,[1]!Tabela4[KIM/TACOM],'[1]Fluxo caixa KIM-BIG'!$H$2)</f>
        <v>#REF!</v>
      </c>
      <c r="G289" s="466">
        <v>-2489.77</v>
      </c>
      <c r="H289" s="467"/>
      <c r="I289" s="462" t="e">
        <f t="shared" si="8"/>
        <v>#REF!</v>
      </c>
    </row>
    <row r="290" spans="2:9" x14ac:dyDescent="0.3">
      <c r="B290" s="463">
        <v>45541</v>
      </c>
      <c r="C290" s="464" t="e">
        <f>SUMIF('[1]Receitas KIM '!$B$3:$B$569,'[1]Fluxo caixa KIM-BIG'!B254,'[1]Receitas KIM '!$H$3:$H$569)</f>
        <v>#VALUE!</v>
      </c>
      <c r="D290" s="464">
        <v>87959.679999999993</v>
      </c>
      <c r="E290" s="467"/>
      <c r="F290" s="466" t="e">
        <f>-SUMIFS([1]!Tabela4[Realizado],[1]!Tabela4[Vencimento],'[1]Fluxo caixa KIM-BIG'!B254,[1]!Tabela4[KIM/TACOM],'[1]Fluxo caixa KIM-BIG'!$H$2)</f>
        <v>#REF!</v>
      </c>
      <c r="G290" s="466"/>
      <c r="H290" s="467"/>
      <c r="I290" s="462" t="e">
        <f t="shared" si="8"/>
        <v>#REF!</v>
      </c>
    </row>
    <row r="291" spans="2:9" x14ac:dyDescent="0.3">
      <c r="B291" s="463">
        <v>45544</v>
      </c>
      <c r="C291" s="464" t="e">
        <f>SUMIF('[1]Receitas KIM '!$B$3:$B$569,'[1]Fluxo caixa KIM-BIG'!B255,'[1]Receitas KIM '!$H$3:$H$569)</f>
        <v>#VALUE!</v>
      </c>
      <c r="D291" s="464">
        <v>13119.92</v>
      </c>
      <c r="E291" s="467"/>
      <c r="F291" s="466" t="e">
        <f>-SUMIFS([1]!Tabela4[Realizado],[1]!Tabela4[Vencimento],'[1]Fluxo caixa KIM-BIG'!B255,[1]!Tabela4[KIM/TACOM],'[1]Fluxo caixa KIM-BIG'!$H$2)</f>
        <v>#REF!</v>
      </c>
      <c r="G291" s="466"/>
      <c r="H291" s="467"/>
      <c r="I291" s="462" t="e">
        <f t="shared" si="8"/>
        <v>#REF!</v>
      </c>
    </row>
    <row r="292" spans="2:9" x14ac:dyDescent="0.3">
      <c r="B292" s="463">
        <v>45545</v>
      </c>
      <c r="C292" s="464" t="e">
        <f>SUMIF('[1]Receitas KIM '!$B$3:$B$569,'[1]Fluxo caixa KIM-BIG'!B256,'[1]Receitas KIM '!$H$3:$H$569)</f>
        <v>#VALUE!</v>
      </c>
      <c r="D292" s="464">
        <v>546369.46</v>
      </c>
      <c r="E292" s="467">
        <v>400000</v>
      </c>
      <c r="F292" s="466" t="e">
        <f>-SUMIFS([1]!Tabela4[Realizado],[1]!Tabela4[Vencimento],'[1]Fluxo caixa KIM-BIG'!B256,[1]!Tabela4[KIM/TACOM],'[1]Fluxo caixa KIM-BIG'!$H$2)</f>
        <v>#REF!</v>
      </c>
      <c r="G292" s="466">
        <v>-373951.33</v>
      </c>
      <c r="H292" s="467"/>
      <c r="I292" s="462" t="e">
        <f t="shared" si="8"/>
        <v>#REF!</v>
      </c>
    </row>
    <row r="293" spans="2:9" x14ac:dyDescent="0.3">
      <c r="B293" s="463">
        <v>45546</v>
      </c>
      <c r="C293" s="464" t="e">
        <f>SUMIF('[1]Receitas KIM '!$B$3:$B$569,'[1]Fluxo caixa KIM-BIG'!B257,'[1]Receitas KIM '!$H$3:$H$569)</f>
        <v>#VALUE!</v>
      </c>
      <c r="D293" s="464"/>
      <c r="E293" s="467"/>
      <c r="F293" s="466" t="e">
        <f>-SUMIFS([1]!Tabela4[Realizado],[1]!Tabela4[Vencimento],'[1]Fluxo caixa KIM-BIG'!B257,[1]!Tabela4[KIM/TACOM],'[1]Fluxo caixa KIM-BIG'!$H$2)</f>
        <v>#REF!</v>
      </c>
      <c r="G293" s="466">
        <v>-261993.94</v>
      </c>
      <c r="H293" s="467"/>
      <c r="I293" s="462" t="e">
        <f t="shared" si="8"/>
        <v>#REF!</v>
      </c>
    </row>
    <row r="294" spans="2:9" x14ac:dyDescent="0.3">
      <c r="B294" s="463">
        <v>45547</v>
      </c>
      <c r="C294" s="464" t="e">
        <f>SUMIF('[1]Receitas KIM '!$B$3:$B$569,'[1]Fluxo caixa KIM-BIG'!B258,'[1]Receitas KIM '!$H$3:$H$569)</f>
        <v>#VALUE!</v>
      </c>
      <c r="D294" s="464"/>
      <c r="E294" s="467"/>
      <c r="F294" s="466" t="e">
        <f>-SUMIFS([1]!Tabela4[Realizado],[1]!Tabela4[Vencimento],'[1]Fluxo caixa KIM-BIG'!B258,[1]!Tabela4[KIM/TACOM],'[1]Fluxo caixa KIM-BIG'!$H$2)</f>
        <v>#REF!</v>
      </c>
      <c r="G294" s="466"/>
      <c r="H294" s="467"/>
      <c r="I294" s="462" t="e">
        <f t="shared" si="8"/>
        <v>#REF!</v>
      </c>
    </row>
    <row r="295" spans="2:9" x14ac:dyDescent="0.3">
      <c r="B295" s="463">
        <v>45548</v>
      </c>
      <c r="C295" s="464" t="e">
        <f>SUMIF('[1]Receitas KIM '!$B$3:$B$569,'[1]Fluxo caixa KIM-BIG'!B259,'[1]Receitas KIM '!$H$3:$H$569)</f>
        <v>#VALUE!</v>
      </c>
      <c r="D295" s="464"/>
      <c r="E295" s="467"/>
      <c r="F295" s="466" t="e">
        <f>-SUMIFS([1]!Tabela4[Realizado],[1]!Tabela4[Vencimento],'[1]Fluxo caixa KIM-BIG'!B259,[1]!Tabela4[KIM/TACOM],'[1]Fluxo caixa KIM-BIG'!$H$2)</f>
        <v>#REF!</v>
      </c>
      <c r="G295" s="466">
        <v>-216989.11</v>
      </c>
      <c r="H295" s="465"/>
      <c r="I295" s="462" t="e">
        <f t="shared" si="8"/>
        <v>#REF!</v>
      </c>
    </row>
    <row r="296" spans="2:9" x14ac:dyDescent="0.3">
      <c r="B296" s="463">
        <v>45551</v>
      </c>
      <c r="C296" s="464" t="e">
        <f>SUMIF('[1]Receitas KIM '!$B$3:$B$569,'[1]Fluxo caixa KIM-BIG'!B260,'[1]Receitas KIM '!$H$3:$H$569)</f>
        <v>#VALUE!</v>
      </c>
      <c r="D296" s="464">
        <v>10155.49</v>
      </c>
      <c r="E296" s="467"/>
      <c r="F296" s="466" t="e">
        <f>-SUMIFS([1]!Tabela4[Realizado],[1]!Tabela4[Vencimento],'[1]Fluxo caixa KIM-BIG'!B260,[1]!Tabela4[KIM/TACOM],'[1]Fluxo caixa KIM-BIG'!$H$2)</f>
        <v>#REF!</v>
      </c>
      <c r="G296" s="466"/>
      <c r="H296" s="465"/>
      <c r="I296" s="462" t="e">
        <f t="shared" si="8"/>
        <v>#REF!</v>
      </c>
    </row>
    <row r="297" spans="2:9" x14ac:dyDescent="0.3">
      <c r="B297" s="463">
        <v>45552</v>
      </c>
      <c r="C297" s="464" t="e">
        <f>SUMIF('[1]Receitas KIM '!$B$3:$B$569,'[1]Fluxo caixa KIM-BIG'!B261,'[1]Receitas KIM '!$H$3:$H$569)</f>
        <v>#VALUE!</v>
      </c>
      <c r="D297" s="464"/>
      <c r="E297" s="467"/>
      <c r="F297" s="466" t="e">
        <f>-SUMIFS([1]!Tabela4[Realizado],[1]!Tabela4[Vencimento],'[1]Fluxo caixa KIM-BIG'!B261,[1]!Tabela4[KIM/TACOM],'[1]Fluxo caixa KIM-BIG'!$H$2)</f>
        <v>#REF!</v>
      </c>
      <c r="G297" s="466"/>
      <c r="H297" s="465"/>
      <c r="I297" s="462" t="e">
        <f t="shared" si="8"/>
        <v>#REF!</v>
      </c>
    </row>
    <row r="298" spans="2:9" x14ac:dyDescent="0.3">
      <c r="B298" s="463">
        <v>45553</v>
      </c>
      <c r="C298" s="464" t="e">
        <f>SUMIF('[1]Receitas KIM '!$B$3:$B$569,'[1]Fluxo caixa KIM-BIG'!B262,'[1]Receitas KIM '!$H$3:$H$569)</f>
        <v>#VALUE!</v>
      </c>
      <c r="D298" s="464"/>
      <c r="E298" s="467"/>
      <c r="F298" s="466" t="e">
        <f>-SUMIFS([1]!Tabela4[Realizado],[1]!Tabela4[Vencimento],'[1]Fluxo caixa KIM-BIG'!B262,[1]!Tabela4[KIM/TACOM],'[1]Fluxo caixa KIM-BIG'!$H$2)</f>
        <v>#REF!</v>
      </c>
      <c r="G298" s="466"/>
      <c r="H298" s="465"/>
      <c r="I298" s="462" t="e">
        <f t="shared" si="8"/>
        <v>#REF!</v>
      </c>
    </row>
    <row r="299" spans="2:9" x14ac:dyDescent="0.3">
      <c r="B299" s="463">
        <v>45554</v>
      </c>
      <c r="C299" s="464" t="e">
        <f>SUMIF('[1]Receitas KIM '!$B$3:$B$569,'[1]Fluxo caixa KIM-BIG'!B263,'[1]Receitas KIM '!$H$3:$H$569)</f>
        <v>#VALUE!</v>
      </c>
      <c r="D299" s="464"/>
      <c r="E299" s="467"/>
      <c r="F299" s="466" t="e">
        <f>-SUMIFS([1]!Tabela4[Realizado],[1]!Tabela4[Vencimento],'[1]Fluxo caixa KIM-BIG'!B263,[1]!Tabela4[KIM/TACOM],'[1]Fluxo caixa KIM-BIG'!$H$2)</f>
        <v>#REF!</v>
      </c>
      <c r="G299" s="466">
        <v>-3369.56</v>
      </c>
      <c r="H299" s="468"/>
      <c r="I299" s="462" t="e">
        <f t="shared" si="8"/>
        <v>#REF!</v>
      </c>
    </row>
    <row r="300" spans="2:9" x14ac:dyDescent="0.3">
      <c r="B300" s="463">
        <v>45555</v>
      </c>
      <c r="C300" s="464" t="e">
        <f>SUMIF('[1]Receitas KIM '!$B$3:$B$569,'[1]Fluxo caixa KIM-BIG'!B264,'[1]Receitas KIM '!$H$3:$H$569)</f>
        <v>#VALUE!</v>
      </c>
      <c r="D300" s="464">
        <v>132871.88</v>
      </c>
      <c r="E300" s="465"/>
      <c r="F300" s="466" t="e">
        <f>-SUMIFS([1]!Tabela4[Realizado],[1]!Tabela4[Vencimento],'[1]Fluxo caixa KIM-BIG'!B264,[1]!Tabela4[KIM/TACOM],'[1]Fluxo caixa KIM-BIG'!$H$2)</f>
        <v>#REF!</v>
      </c>
      <c r="G300" s="466">
        <v>-172977.59</v>
      </c>
      <c r="H300" s="465"/>
      <c r="I300" s="462" t="e">
        <f t="shared" si="8"/>
        <v>#REF!</v>
      </c>
    </row>
    <row r="301" spans="2:9" x14ac:dyDescent="0.3">
      <c r="B301" s="463">
        <v>45558</v>
      </c>
      <c r="C301" s="464" t="e">
        <f>SUMIF('[1]Receitas KIM '!$B$3:$B$569,'[1]Fluxo caixa KIM-BIG'!B265,'[1]Receitas KIM '!$H$3:$H$569)</f>
        <v>#VALUE!</v>
      </c>
      <c r="D301" s="464"/>
      <c r="E301" s="465"/>
      <c r="F301" s="466" t="e">
        <f>-SUMIFS([1]!Tabela4[Realizado],[1]!Tabela4[Vencimento],'[1]Fluxo caixa KIM-BIG'!B265,[1]!Tabela4[KIM/TACOM],'[1]Fluxo caixa KIM-BIG'!$H$2)</f>
        <v>#REF!</v>
      </c>
      <c r="G301" s="466">
        <v>-3473.24</v>
      </c>
      <c r="H301" s="465"/>
      <c r="I301" s="462" t="e">
        <f t="shared" si="8"/>
        <v>#REF!</v>
      </c>
    </row>
    <row r="302" spans="2:9" x14ac:dyDescent="0.3">
      <c r="B302" s="463">
        <v>45559</v>
      </c>
      <c r="C302" s="464" t="e">
        <f>SUMIF('[1]Receitas KIM '!$B$3:$B$569,'[1]Fluxo caixa KIM-BIG'!B266,'[1]Receitas KIM '!$H$3:$H$569)</f>
        <v>#VALUE!</v>
      </c>
      <c r="D302" s="464"/>
      <c r="E302" s="467"/>
      <c r="F302" s="466" t="e">
        <f>-SUMIFS([1]!Tabela4[Realizado],[1]!Tabela4[Vencimento],'[1]Fluxo caixa KIM-BIG'!B266,[1]!Tabela4[KIM/TACOM],'[1]Fluxo caixa KIM-BIG'!$H$2)</f>
        <v>#REF!</v>
      </c>
      <c r="G302" s="466"/>
      <c r="H302" s="465"/>
      <c r="I302" s="462" t="e">
        <f t="shared" si="8"/>
        <v>#REF!</v>
      </c>
    </row>
    <row r="303" spans="2:9" x14ac:dyDescent="0.3">
      <c r="B303" s="463">
        <v>45560</v>
      </c>
      <c r="C303" s="464" t="e">
        <f>SUMIF('[1]Receitas KIM '!$B$3:$B$569,'[1]Fluxo caixa KIM-BIG'!B267,'[1]Receitas KIM '!$H$3:$H$569)</f>
        <v>#VALUE!</v>
      </c>
      <c r="D303" s="464">
        <v>16711.759999999998</v>
      </c>
      <c r="E303" s="467"/>
      <c r="F303" s="466" t="e">
        <f>-SUMIFS([1]!Tabela4[Realizado],[1]!Tabela4[Vencimento],'[1]Fluxo caixa KIM-BIG'!B267,[1]!Tabela4[KIM/TACOM],'[1]Fluxo caixa KIM-BIG'!$H$2)</f>
        <v>#REF!</v>
      </c>
      <c r="G303" s="466"/>
      <c r="H303" s="465"/>
      <c r="I303" s="462" t="e">
        <f t="shared" si="8"/>
        <v>#REF!</v>
      </c>
    </row>
    <row r="304" spans="2:9" x14ac:dyDescent="0.3">
      <c r="B304" s="463">
        <v>45561</v>
      </c>
      <c r="C304" s="464" t="e">
        <f>SUMIF('[1]Receitas KIM '!$B$3:$B$569,'[1]Fluxo caixa KIM-BIG'!B268,'[1]Receitas KIM '!$H$3:$H$569)</f>
        <v>#VALUE!</v>
      </c>
      <c r="D304" s="464"/>
      <c r="E304" s="467"/>
      <c r="F304" s="466" t="e">
        <f>-SUMIFS([1]!Tabela4[Realizado],[1]!Tabela4[Vencimento],'[1]Fluxo caixa KIM-BIG'!B268,[1]!Tabela4[KIM/TACOM],'[1]Fluxo caixa KIM-BIG'!$H$2)</f>
        <v>#REF!</v>
      </c>
      <c r="G304" s="466"/>
      <c r="H304" s="465"/>
      <c r="I304" s="462" t="e">
        <f t="shared" si="8"/>
        <v>#REF!</v>
      </c>
    </row>
    <row r="305" spans="2:9" x14ac:dyDescent="0.3">
      <c r="B305" s="463">
        <v>45562</v>
      </c>
      <c r="C305" s="464" t="e">
        <f>SUMIF('[1]Receitas KIM '!$B$3:$B$569,'[1]Fluxo caixa KIM-BIG'!B269,'[1]Receitas KIM '!$H$3:$H$569)</f>
        <v>#VALUE!</v>
      </c>
      <c r="D305" s="464">
        <v>3476.57</v>
      </c>
      <c r="E305" s="467"/>
      <c r="F305" s="466" t="e">
        <f>-SUMIFS([1]!Tabela4[Realizado],[1]!Tabela4[Vencimento],'[1]Fluxo caixa KIM-BIG'!B269,[1]!Tabela4[KIM/TACOM],'[1]Fluxo caixa KIM-BIG'!$H$2)</f>
        <v>#REF!</v>
      </c>
      <c r="G305" s="466"/>
      <c r="H305" s="465"/>
      <c r="I305" s="462" t="e">
        <f t="shared" si="8"/>
        <v>#REF!</v>
      </c>
    </row>
    <row r="306" spans="2:9" x14ac:dyDescent="0.3">
      <c r="B306" s="463">
        <v>45565</v>
      </c>
      <c r="C306" s="464" t="e">
        <f>SUMIF('[1]Receitas KIM '!$B$3:$B$569,'[1]Fluxo caixa KIM-BIG'!B270,'[1]Receitas KIM '!$H$3:$H$569)</f>
        <v>#VALUE!</v>
      </c>
      <c r="D306" s="464">
        <f>153422.64+61805.33+262803.41+125069.69</f>
        <v>603101.07000000007</v>
      </c>
      <c r="E306" s="467">
        <v>200000</v>
      </c>
      <c r="F306" s="466" t="e">
        <f>-SUMIFS([1]!Tabela4[Realizado],[1]!Tabela4[Vencimento],'[1]Fluxo caixa KIM-BIG'!B270,[1]!Tabela4[KIM/TACOM],'[1]Fluxo caixa KIM-BIG'!$H$2)</f>
        <v>#REF!</v>
      </c>
      <c r="G306" s="466">
        <v>-212998.16</v>
      </c>
      <c r="H306" s="465"/>
      <c r="I306" s="462" t="e">
        <f t="shared" si="8"/>
        <v>#REF!</v>
      </c>
    </row>
    <row r="307" spans="2:9" x14ac:dyDescent="0.3">
      <c r="B307" s="463"/>
      <c r="C307" s="464" t="e">
        <f>SUMIF('[1]Receitas KIM '!$B$3:$B$569,'[1]Fluxo caixa KIM-BIG'!B271,'[1]Receitas KIM '!$H$3:$H$569)</f>
        <v>#VALUE!</v>
      </c>
      <c r="D307" s="464"/>
      <c r="E307" s="467"/>
      <c r="F307" s="466" t="e">
        <f>SUMIFS([1]!Tabela4[Realizado],[1]!Tabela4[Vencimento],'[1]Fluxo caixa KIM-BIG'!B271,[1]!Tabela4[KIM/TACOM],'[1]Fluxo caixa KIM-BIG'!$H$2)</f>
        <v>#REF!</v>
      </c>
      <c r="G307" s="466"/>
      <c r="H307" s="465"/>
      <c r="I307" s="462" t="e">
        <f t="shared" si="8"/>
        <v>#REF!</v>
      </c>
    </row>
    <row r="308" spans="2:9" ht="15" thickBot="1" x14ac:dyDescent="0.35">
      <c r="B308" s="463"/>
      <c r="C308" s="464" t="e">
        <f>SUMIF('[1]Receitas KIM '!$B$3:$B$569,'[1]Fluxo caixa KIM-BIG'!B272,'[1]Receitas KIM '!$H$3:$H$569)</f>
        <v>#VALUE!</v>
      </c>
      <c r="D308" s="464"/>
      <c r="E308" s="467"/>
      <c r="F308" s="466" t="e">
        <f>SUMIFS([1]!Tabela4[Realizado],[1]!Tabela4[Vencimento],'[1]Fluxo caixa KIM-BIG'!B272,[1]!Tabela4[KIM/TACOM],'[1]Fluxo caixa KIM-BIG'!$H$2)</f>
        <v>#REF!</v>
      </c>
      <c r="G308" s="466"/>
      <c r="H308" s="465"/>
      <c r="I308" s="462" t="e">
        <f t="shared" si="8"/>
        <v>#REF!</v>
      </c>
    </row>
    <row r="309" spans="2:9" ht="15" thickBot="1" x14ac:dyDescent="0.35">
      <c r="B309" s="469" t="s">
        <v>79</v>
      </c>
      <c r="C309" s="470"/>
      <c r="D309" s="470"/>
      <c r="E309" s="471">
        <f>SUM(E286:E308)</f>
        <v>600000</v>
      </c>
      <c r="F309" s="472" t="e">
        <f>SUM(F286:F308)</f>
        <v>#REF!</v>
      </c>
      <c r="G309" s="472"/>
      <c r="H309" s="471">
        <f>SUM(H286:H305)</f>
        <v>0</v>
      </c>
      <c r="I309" s="473"/>
    </row>
    <row r="310" spans="2:9" x14ac:dyDescent="0.3">
      <c r="C310" s="475"/>
      <c r="D310" s="475"/>
      <c r="E310" s="476"/>
      <c r="F310" s="477"/>
      <c r="G310" s="477"/>
      <c r="H310" s="476"/>
      <c r="I310" s="478" t="e">
        <f>#REF!+#REF!</f>
        <v>#REF!</v>
      </c>
    </row>
    <row r="311" spans="2:9" ht="15" thickBot="1" x14ac:dyDescent="0.35"/>
    <row r="312" spans="2:9" ht="26.4" thickBot="1" x14ac:dyDescent="0.55000000000000004">
      <c r="B312" s="452" t="s">
        <v>732</v>
      </c>
      <c r="C312" s="453"/>
      <c r="D312" s="453"/>
      <c r="E312" s="453"/>
      <c r="F312" s="453"/>
      <c r="G312" s="453"/>
      <c r="H312" s="453"/>
      <c r="I312" s="453"/>
    </row>
    <row r="313" spans="2:9" ht="15" thickBot="1" x14ac:dyDescent="0.35">
      <c r="B313" s="516" t="s">
        <v>716</v>
      </c>
      <c r="C313" s="454"/>
      <c r="D313" s="454"/>
      <c r="E313" s="454"/>
      <c r="F313" s="454"/>
      <c r="G313" s="454"/>
      <c r="H313" s="454"/>
      <c r="I313" s="455"/>
    </row>
    <row r="314" spans="2:9" ht="15" thickBot="1" x14ac:dyDescent="0.35">
      <c r="B314" s="517"/>
      <c r="C314" s="456" t="s">
        <v>717</v>
      </c>
      <c r="D314" s="456" t="s">
        <v>718</v>
      </c>
      <c r="E314" s="457" t="s">
        <v>735</v>
      </c>
      <c r="F314" s="458" t="s">
        <v>719</v>
      </c>
      <c r="G314" s="458" t="s">
        <v>720</v>
      </c>
      <c r="H314" s="484" t="s">
        <v>736</v>
      </c>
      <c r="I314" s="459" t="s">
        <v>721</v>
      </c>
    </row>
    <row r="315" spans="2:9" x14ac:dyDescent="0.3">
      <c r="B315" s="461"/>
      <c r="C315" s="518"/>
      <c r="D315" s="518"/>
      <c r="E315" s="518"/>
      <c r="F315" s="518"/>
      <c r="G315" s="518"/>
      <c r="H315" s="519"/>
      <c r="I315" s="462" t="e">
        <f>I307</f>
        <v>#REF!</v>
      </c>
    </row>
    <row r="316" spans="2:9" x14ac:dyDescent="0.3">
      <c r="B316" s="463">
        <v>45566</v>
      </c>
      <c r="C316" s="464" t="e">
        <f>SUMIF('[1]Receitas KIM '!$B$3:$B$569,'[1]Fluxo caixa KIM-BIG'!B280,'[1]Receitas KIM '!$H$3:$H$569)</f>
        <v>#VALUE!</v>
      </c>
      <c r="D316" s="464">
        <v>21036.75</v>
      </c>
      <c r="E316" s="465"/>
      <c r="F316" s="466" t="e">
        <f>-SUMIFS([1]!Tabela4[Realizado],[1]!Tabela4[Vencimento],'[1]Fluxo caixa KIM-BIG'!B280,[1]!Tabela4[KIM/TACOM],'[1]Fluxo caixa KIM-BIG'!$H$2)</f>
        <v>#REF!</v>
      </c>
      <c r="G316" s="466">
        <v>-2989.4</v>
      </c>
      <c r="H316" s="467"/>
      <c r="I316" s="462" t="e">
        <f t="shared" ref="I316:I338" si="9">+I315+C316+E316+G316+H316+F316+D316</f>
        <v>#REF!</v>
      </c>
    </row>
    <row r="317" spans="2:9" x14ac:dyDescent="0.3">
      <c r="B317" s="463">
        <v>45567</v>
      </c>
      <c r="C317" s="464" t="e">
        <f>SUMIF('[1]Receitas KIM '!$B$3:$B$569,'[1]Fluxo caixa KIM-BIG'!B281,'[1]Receitas KIM '!$H$3:$H$569)</f>
        <v>#VALUE!</v>
      </c>
      <c r="D317" s="464"/>
      <c r="E317" s="467"/>
      <c r="F317" s="466" t="e">
        <f>-SUMIFS([1]!Tabela4[Realizado],[1]!Tabela4[Vencimento],'[1]Fluxo caixa KIM-BIG'!B281,[1]!Tabela4[KIM/TACOM],'[1]Fluxo caixa KIM-BIG'!$H$2)</f>
        <v>#REF!</v>
      </c>
      <c r="G317" s="466">
        <v>-5979.75</v>
      </c>
      <c r="H317" s="467"/>
      <c r="I317" s="462" t="e">
        <f t="shared" si="9"/>
        <v>#REF!</v>
      </c>
    </row>
    <row r="318" spans="2:9" x14ac:dyDescent="0.3">
      <c r="B318" s="463">
        <v>45568</v>
      </c>
      <c r="C318" s="464" t="e">
        <f>SUMIF('[1]Receitas KIM '!$B$3:$B$569,'[1]Fluxo caixa KIM-BIG'!B282,'[1]Receitas KIM '!$H$3:$H$569)</f>
        <v>#VALUE!</v>
      </c>
      <c r="D318" s="464"/>
      <c r="E318" s="467"/>
      <c r="F318" s="466" t="e">
        <f>-SUMIFS([1]!Tabela4[Realizado],[1]!Tabela4[Vencimento],'[1]Fluxo caixa KIM-BIG'!B282,[1]!Tabela4[KIM/TACOM],'[1]Fluxo caixa KIM-BIG'!$H$2)</f>
        <v>#REF!</v>
      </c>
      <c r="G318" s="466"/>
      <c r="H318" s="467"/>
      <c r="I318" s="462" t="e">
        <f t="shared" si="9"/>
        <v>#REF!</v>
      </c>
    </row>
    <row r="319" spans="2:9" x14ac:dyDescent="0.3">
      <c r="B319" s="463">
        <v>45569</v>
      </c>
      <c r="C319" s="464" t="e">
        <f>SUMIF('[1]Receitas KIM '!$B$3:$B$569,'[1]Fluxo caixa KIM-BIG'!B283,'[1]Receitas KIM '!$H$3:$H$569)</f>
        <v>#VALUE!</v>
      </c>
      <c r="D319" s="464">
        <v>27522.76</v>
      </c>
      <c r="E319" s="467"/>
      <c r="F319" s="466" t="e">
        <f>-SUMIFS([1]!Tabela4[Realizado],[1]!Tabela4[Vencimento],'[1]Fluxo caixa KIM-BIG'!B283,[1]!Tabela4[KIM/TACOM],'[1]Fluxo caixa KIM-BIG'!$H$2)</f>
        <v>#REF!</v>
      </c>
      <c r="G319" s="466"/>
      <c r="H319" s="467"/>
      <c r="I319" s="462" t="e">
        <f t="shared" si="9"/>
        <v>#REF!</v>
      </c>
    </row>
    <row r="320" spans="2:9" x14ac:dyDescent="0.3">
      <c r="B320" s="463">
        <v>45572</v>
      </c>
      <c r="C320" s="464" t="e">
        <f>SUMIF('[1]Receitas KIM '!$B$3:$B$569,'[1]Fluxo caixa KIM-BIG'!B284,'[1]Receitas KIM '!$H$3:$H$569)</f>
        <v>#VALUE!</v>
      </c>
      <c r="D320" s="464"/>
      <c r="E320" s="467"/>
      <c r="F320" s="466" t="e">
        <f>-SUMIFS([1]!Tabela4[Realizado],[1]!Tabela4[Vencimento],'[1]Fluxo caixa KIM-BIG'!B284,[1]!Tabela4[KIM/TACOM],'[1]Fluxo caixa KIM-BIG'!$H$2)</f>
        <v>#REF!</v>
      </c>
      <c r="G320" s="466"/>
      <c r="H320" s="467"/>
      <c r="I320" s="462" t="e">
        <f t="shared" si="9"/>
        <v>#REF!</v>
      </c>
    </row>
    <row r="321" spans="2:9" x14ac:dyDescent="0.3">
      <c r="B321" s="463">
        <v>45573</v>
      </c>
      <c r="C321" s="464" t="e">
        <f>SUMIF('[1]Receitas KIM '!$B$3:$B$569,'[1]Fluxo caixa KIM-BIG'!B285,'[1]Receitas KIM '!$H$3:$H$569)</f>
        <v>#VALUE!</v>
      </c>
      <c r="D321" s="464">
        <v>10531</v>
      </c>
      <c r="E321" s="467"/>
      <c r="F321" s="466" t="e">
        <f>-SUMIFS([1]!Tabela4[Realizado],[1]!Tabela4[Vencimento],'[1]Fluxo caixa KIM-BIG'!B285,[1]!Tabela4[KIM/TACOM],'[1]Fluxo caixa KIM-BIG'!$H$2)</f>
        <v>#REF!</v>
      </c>
      <c r="G321" s="466"/>
      <c r="H321" s="467"/>
      <c r="I321" s="462" t="e">
        <f t="shared" si="9"/>
        <v>#REF!</v>
      </c>
    </row>
    <row r="322" spans="2:9" x14ac:dyDescent="0.3">
      <c r="B322" s="463">
        <v>45574</v>
      </c>
      <c r="C322" s="464" t="e">
        <f>SUMIF('[1]Receitas KIM '!$B$3:$B$569,'[1]Fluxo caixa KIM-BIG'!B286,'[1]Receitas KIM '!$H$3:$H$569)</f>
        <v>#VALUE!</v>
      </c>
      <c r="D322" s="464">
        <v>124903.26</v>
      </c>
      <c r="E322" s="467"/>
      <c r="F322" s="466" t="e">
        <f>-SUMIFS([1]!Tabela4[Realizado],[1]!Tabela4[Vencimento],'[1]Fluxo caixa KIM-BIG'!B286,[1]!Tabela4[KIM/TACOM],'[1]Fluxo caixa KIM-BIG'!$H$2)</f>
        <v>#REF!</v>
      </c>
      <c r="G322" s="466"/>
      <c r="H322" s="467"/>
      <c r="I322" s="462" t="e">
        <f t="shared" si="9"/>
        <v>#REF!</v>
      </c>
    </row>
    <row r="323" spans="2:9" x14ac:dyDescent="0.3">
      <c r="B323" s="463">
        <v>45575</v>
      </c>
      <c r="C323" s="464" t="e">
        <f>SUMIF('[1]Receitas KIM '!$B$3:$B$569,'[1]Fluxo caixa KIM-BIG'!B287,'[1]Receitas KIM '!$H$3:$H$569)</f>
        <v>#VALUE!</v>
      </c>
      <c r="D323" s="464"/>
      <c r="E323" s="467">
        <v>550000</v>
      </c>
      <c r="F323" s="466" t="e">
        <f>-SUMIFS([1]!Tabela4[Realizado],[1]!Tabela4[Vencimento],'[1]Fluxo caixa KIM-BIG'!B287,[1]!Tabela4[KIM/TACOM],'[1]Fluxo caixa KIM-BIG'!$H$2)</f>
        <v>#REF!</v>
      </c>
      <c r="G323" s="466">
        <v>-13199.49</v>
      </c>
      <c r="H323" s="467"/>
      <c r="I323" s="462" t="e">
        <f t="shared" si="9"/>
        <v>#REF!</v>
      </c>
    </row>
    <row r="324" spans="2:9" x14ac:dyDescent="0.3">
      <c r="B324" s="463">
        <v>45576</v>
      </c>
      <c r="C324" s="464" t="e">
        <f>SUMIF('[1]Receitas KIM '!$B$3:$B$569,'[1]Fluxo caixa KIM-BIG'!B288,'[1]Receitas KIM '!$H$3:$H$569)</f>
        <v>#VALUE!</v>
      </c>
      <c r="D324" s="464"/>
      <c r="E324" s="467"/>
      <c r="F324" s="466" t="e">
        <f>-SUMIFS([1]!Tabela4[Realizado],[1]!Tabela4[Vencimento],'[1]Fluxo caixa KIM-BIG'!B288,[1]!Tabela4[KIM/TACOM],'[1]Fluxo caixa KIM-BIG'!$H$2)</f>
        <v>#REF!</v>
      </c>
      <c r="G324" s="466">
        <v>-263969.24</v>
      </c>
      <c r="H324" s="467"/>
      <c r="I324" s="462" t="e">
        <f t="shared" si="9"/>
        <v>#REF!</v>
      </c>
    </row>
    <row r="325" spans="2:9" x14ac:dyDescent="0.3">
      <c r="B325" s="463">
        <v>45579</v>
      </c>
      <c r="C325" s="464" t="e">
        <f>SUMIF('[1]Receitas KIM '!$B$3:$B$569,'[1]Fluxo caixa KIM-BIG'!B289,'[1]Receitas KIM '!$H$3:$H$569)</f>
        <v>#VALUE!</v>
      </c>
      <c r="D325" s="464"/>
      <c r="E325" s="467"/>
      <c r="F325" s="466" t="e">
        <f>-SUMIFS([1]!Tabela4[Realizado],[1]!Tabela4[Vencimento],'[1]Fluxo caixa KIM-BIG'!B289,[1]!Tabela4[KIM/TACOM],'[1]Fluxo caixa KIM-BIG'!$H$2)</f>
        <v>#REF!</v>
      </c>
      <c r="G325" s="466"/>
      <c r="H325" s="465"/>
      <c r="I325" s="462" t="e">
        <f t="shared" si="9"/>
        <v>#REF!</v>
      </c>
    </row>
    <row r="326" spans="2:9" x14ac:dyDescent="0.3">
      <c r="B326" s="463">
        <v>45580</v>
      </c>
      <c r="C326" s="464" t="e">
        <f>SUMIF('[1]Receitas KIM '!$B$3:$B$569,'[1]Fluxo caixa KIM-BIG'!B290,'[1]Receitas KIM '!$H$3:$H$569)</f>
        <v>#VALUE!</v>
      </c>
      <c r="D326" s="464">
        <v>3372.51</v>
      </c>
      <c r="E326" s="467"/>
      <c r="F326" s="466" t="e">
        <f>-SUMIFS([1]!Tabela4[Realizado],[1]!Tabela4[Vencimento],'[1]Fluxo caixa KIM-BIG'!B290,[1]!Tabela4[KIM/TACOM],'[1]Fluxo caixa KIM-BIG'!$H$2)</f>
        <v>#REF!</v>
      </c>
      <c r="G326" s="466"/>
      <c r="H326" s="465"/>
      <c r="I326" s="462" t="e">
        <f t="shared" si="9"/>
        <v>#REF!</v>
      </c>
    </row>
    <row r="327" spans="2:9" x14ac:dyDescent="0.3">
      <c r="B327" s="463">
        <v>45581</v>
      </c>
      <c r="C327" s="464" t="e">
        <f>SUMIF('[1]Receitas KIM '!$B$3:$B$569,'[1]Fluxo caixa KIM-BIG'!B291,'[1]Receitas KIM '!$H$3:$H$569)</f>
        <v>#VALUE!</v>
      </c>
      <c r="D327" s="464"/>
      <c r="E327" s="467"/>
      <c r="F327" s="466" t="e">
        <f>-SUMIFS([1]!Tabela4[Realizado],[1]!Tabela4[Vencimento],'[1]Fluxo caixa KIM-BIG'!B291,[1]!Tabela4[KIM/TACOM],'[1]Fluxo caixa KIM-BIG'!$H$2)</f>
        <v>#REF!</v>
      </c>
      <c r="G327" s="466"/>
      <c r="H327" s="465"/>
      <c r="I327" s="462" t="e">
        <f t="shared" si="9"/>
        <v>#REF!</v>
      </c>
    </row>
    <row r="328" spans="2:9" x14ac:dyDescent="0.3">
      <c r="B328" s="463">
        <v>45582</v>
      </c>
      <c r="C328" s="464" t="e">
        <f>SUMIF('[1]Receitas KIM '!$B$3:$B$569,'[1]Fluxo caixa KIM-BIG'!B292,'[1]Receitas KIM '!$H$3:$H$569)</f>
        <v>#VALUE!</v>
      </c>
      <c r="D328" s="464"/>
      <c r="E328" s="467"/>
      <c r="F328" s="466" t="e">
        <f>-SUMIFS([1]!Tabela4[Realizado],[1]!Tabela4[Vencimento],'[1]Fluxo caixa KIM-BIG'!B292,[1]!Tabela4[KIM/TACOM],'[1]Fluxo caixa KIM-BIG'!$H$2)</f>
        <v>#REF!</v>
      </c>
      <c r="G328" s="466"/>
      <c r="H328" s="465"/>
      <c r="I328" s="462" t="e">
        <f t="shared" si="9"/>
        <v>#REF!</v>
      </c>
    </row>
    <row r="329" spans="2:9" x14ac:dyDescent="0.3">
      <c r="B329" s="463">
        <v>45583</v>
      </c>
      <c r="C329" s="464" t="e">
        <f>SUMIF('[1]Receitas KIM '!$B$3:$B$569,'[1]Fluxo caixa KIM-BIG'!B293,'[1]Receitas KIM '!$H$3:$H$569)</f>
        <v>#VALUE!</v>
      </c>
      <c r="D329" s="464">
        <v>347956.1</v>
      </c>
      <c r="E329" s="467"/>
      <c r="F329" s="466" t="e">
        <f>-SUMIFS([1]!Tabela4[Realizado],[1]!Tabela4[Vencimento],'[1]Fluxo caixa KIM-BIG'!B293,[1]!Tabela4[KIM/TACOM],'[1]Fluxo caixa KIM-BIG'!$H$2)</f>
        <v>#REF!</v>
      </c>
      <c r="G329" s="482">
        <v>-5771.02</v>
      </c>
      <c r="H329" s="468"/>
      <c r="I329" s="462" t="e">
        <f t="shared" si="9"/>
        <v>#REF!</v>
      </c>
    </row>
    <row r="330" spans="2:9" x14ac:dyDescent="0.3">
      <c r="B330" s="463">
        <v>45586</v>
      </c>
      <c r="C330" s="464" t="e">
        <f>SUMIF('[1]Receitas KIM '!$B$3:$B$569,'[1]Fluxo caixa KIM-BIG'!B294,'[1]Receitas KIM '!$H$3:$H$569)</f>
        <v>#VALUE!</v>
      </c>
      <c r="D330" s="464">
        <v>58511.5</v>
      </c>
      <c r="E330" s="465">
        <v>100000</v>
      </c>
      <c r="F330" s="466" t="e">
        <f>-SUMIFS([1]!Tabela4[Realizado],[1]!Tabela4[Vencimento],'[1]Fluxo caixa KIM-BIG'!B294,[1]!Tabela4[KIM/TACOM],'[1]Fluxo caixa KIM-BIG'!$H$2)</f>
        <v>#REF!</v>
      </c>
      <c r="G330" s="466">
        <v>-257959.84</v>
      </c>
      <c r="H330" s="465"/>
      <c r="I330" s="462" t="e">
        <f t="shared" si="9"/>
        <v>#REF!</v>
      </c>
    </row>
    <row r="331" spans="2:9" x14ac:dyDescent="0.3">
      <c r="B331" s="463">
        <v>45587</v>
      </c>
      <c r="C331" s="464" t="e">
        <f>SUMIF('[1]Receitas KIM '!$B$3:$B$569,'[1]Fluxo caixa KIM-BIG'!B295,'[1]Receitas KIM '!$H$3:$H$569)</f>
        <v>#VALUE!</v>
      </c>
      <c r="D331" s="464"/>
      <c r="E331" s="465"/>
      <c r="F331" s="466" t="e">
        <f>-SUMIFS([1]!Tabela4[Realizado],[1]!Tabela4[Vencimento],'[1]Fluxo caixa KIM-BIG'!B295,[1]!Tabela4[KIM/TACOM],'[1]Fluxo caixa KIM-BIG'!$H$2)</f>
        <v>#REF!</v>
      </c>
      <c r="G331" s="466">
        <v>-297990.53999999998</v>
      </c>
      <c r="H331" s="465"/>
      <c r="I331" s="462" t="e">
        <f t="shared" si="9"/>
        <v>#REF!</v>
      </c>
    </row>
    <row r="332" spans="2:9" x14ac:dyDescent="0.3">
      <c r="B332" s="463">
        <v>45588</v>
      </c>
      <c r="C332" s="464" t="e">
        <f>SUMIF('[1]Receitas KIM '!$B$3:$B$569,'[1]Fluxo caixa KIM-BIG'!B296,'[1]Receitas KIM '!$H$3:$H$569)</f>
        <v>#VALUE!</v>
      </c>
      <c r="D332" s="464"/>
      <c r="E332" s="467"/>
      <c r="F332" s="466" t="e">
        <f>-SUMIFS([1]!Tabela4[Realizado],[1]!Tabela4[Vencimento],'[1]Fluxo caixa KIM-BIG'!B296,[1]!Tabela4[KIM/TACOM],'[1]Fluxo caixa KIM-BIG'!$H$2)</f>
        <v>#REF!</v>
      </c>
      <c r="G332" s="466">
        <v>-124974.26</v>
      </c>
      <c r="H332" s="465"/>
      <c r="I332" s="462" t="e">
        <f t="shared" si="9"/>
        <v>#REF!</v>
      </c>
    </row>
    <row r="333" spans="2:9" x14ac:dyDescent="0.3">
      <c r="B333" s="463">
        <v>45589</v>
      </c>
      <c r="C333" s="464" t="e">
        <f>SUMIF('[1]Receitas KIM '!$B$3:$B$569,'[1]Fluxo caixa KIM-BIG'!B297,'[1]Receitas KIM '!$H$3:$H$569)</f>
        <v>#VALUE!</v>
      </c>
      <c r="D333" s="464"/>
      <c r="E333" s="467"/>
      <c r="F333" s="466" t="e">
        <f>-SUMIFS([1]!Tabela4[Realizado],[1]!Tabela4[Vencimento],'[1]Fluxo caixa KIM-BIG'!B297,[1]!Tabela4[KIM/TACOM],'[1]Fluxo caixa KIM-BIG'!$H$2)</f>
        <v>#REF!</v>
      </c>
      <c r="G333" s="466"/>
      <c r="H333" s="465"/>
      <c r="I333" s="462" t="e">
        <f t="shared" si="9"/>
        <v>#REF!</v>
      </c>
    </row>
    <row r="334" spans="2:9" x14ac:dyDescent="0.3">
      <c r="B334" s="463">
        <v>45590</v>
      </c>
      <c r="C334" s="464" t="e">
        <f>SUMIF('[1]Receitas KIM '!$B$3:$B$569,'[1]Fluxo caixa KIM-BIG'!B298,'[1]Receitas KIM '!$H$3:$H$569)</f>
        <v>#VALUE!</v>
      </c>
      <c r="D334" s="464">
        <v>15580.42</v>
      </c>
      <c r="E334" s="467"/>
      <c r="F334" s="466" t="e">
        <f>-SUMIFS([1]!Tabela4[Realizado],[1]!Tabela4[Vencimento],'[1]Fluxo caixa KIM-BIG'!B298,[1]!Tabela4[KIM/TACOM],'[1]Fluxo caixa KIM-BIG'!$H$2)</f>
        <v>#REF!</v>
      </c>
      <c r="G334" s="466"/>
      <c r="H334" s="465"/>
      <c r="I334" s="462" t="e">
        <f t="shared" si="9"/>
        <v>#REF!</v>
      </c>
    </row>
    <row r="335" spans="2:9" x14ac:dyDescent="0.3">
      <c r="B335" s="463">
        <v>45593</v>
      </c>
      <c r="C335" s="464" t="e">
        <f>SUMIF('[1]Receitas KIM '!$B$3:$B$569,'[1]Fluxo caixa KIM-BIG'!B299,'[1]Receitas KIM '!$H$3:$H$569)</f>
        <v>#VALUE!</v>
      </c>
      <c r="D335" s="464"/>
      <c r="E335" s="467"/>
      <c r="F335" s="466" t="e">
        <f>-SUMIFS([1]!Tabela4[Realizado],[1]!Tabela4[Vencimento],'[1]Fluxo caixa KIM-BIG'!B299,[1]!Tabela4[KIM/TACOM],'[1]Fluxo caixa KIM-BIG'!$H$2)</f>
        <v>#REF!</v>
      </c>
      <c r="G335" s="466">
        <v>-1999.07</v>
      </c>
      <c r="H335" s="465"/>
      <c r="I335" s="462" t="e">
        <f t="shared" si="9"/>
        <v>#REF!</v>
      </c>
    </row>
    <row r="336" spans="2:9" x14ac:dyDescent="0.3">
      <c r="B336" s="463">
        <v>45594</v>
      </c>
      <c r="C336" s="464" t="e">
        <f>SUMIF('[1]Receitas KIM '!$B$3:$B$569,'[1]Fluxo caixa KIM-BIG'!B300,'[1]Receitas KIM '!$H$3:$H$569)</f>
        <v>#VALUE!</v>
      </c>
      <c r="D336" s="464"/>
      <c r="E336" s="467"/>
      <c r="F336" s="466" t="e">
        <f>-SUMIFS([1]!Tabela4[Realizado],[1]!Tabela4[Vencimento],'[1]Fluxo caixa KIM-BIG'!B300,[1]!Tabela4[KIM/TACOM],'[1]Fluxo caixa KIM-BIG'!$H$2)</f>
        <v>#REF!</v>
      </c>
      <c r="G336" s="466"/>
      <c r="H336" s="465"/>
      <c r="I336" s="462" t="e">
        <f t="shared" si="9"/>
        <v>#REF!</v>
      </c>
    </row>
    <row r="337" spans="2:9" x14ac:dyDescent="0.3">
      <c r="B337" s="463">
        <v>45595</v>
      </c>
      <c r="C337" s="464" t="e">
        <f>SUMIF('[1]Receitas KIM '!$B$3:$B$569,'[1]Fluxo caixa KIM-BIG'!B301,'[1]Receitas KIM '!$H$3:$H$569)</f>
        <v>#VALUE!</v>
      </c>
      <c r="D337" s="464">
        <v>662935.49</v>
      </c>
      <c r="E337" s="467"/>
      <c r="F337" s="466" t="e">
        <f>-SUMIFS([1]!Tabela4[Realizado],[1]!Tabela4[Vencimento],'[1]Fluxo caixa KIM-BIG'!B301,[1]!Tabela4[KIM/TACOM],'[1]Fluxo caixa KIM-BIG'!$H$2)</f>
        <v>#REF!</v>
      </c>
      <c r="G337" s="466"/>
      <c r="H337" s="465"/>
      <c r="I337" s="462" t="e">
        <f t="shared" si="9"/>
        <v>#REF!</v>
      </c>
    </row>
    <row r="338" spans="2:9" ht="15" thickBot="1" x14ac:dyDescent="0.35">
      <c r="B338" s="463">
        <v>45596</v>
      </c>
      <c r="C338" s="464" t="e">
        <f>SUMIF('[1]Receitas KIM '!$B$3:$B$569,'[1]Fluxo caixa KIM-BIG'!B302,'[1]Receitas KIM '!$H$3:$H$569)</f>
        <v>#VALUE!</v>
      </c>
      <c r="D338" s="464">
        <v>71096.56</v>
      </c>
      <c r="E338" s="467">
        <v>150000</v>
      </c>
      <c r="F338" s="466" t="e">
        <f>-SUMIFS([1]!Tabela4[Realizado],[1]!Tabela4[Vencimento],'[1]Fluxo caixa KIM-BIG'!B302,[1]!Tabela4[KIM/TACOM],'[1]Fluxo caixa KIM-BIG'!$H$2)</f>
        <v>#REF!</v>
      </c>
      <c r="G338" s="466">
        <v>-163988.71</v>
      </c>
      <c r="H338" s="465"/>
      <c r="I338" s="462" t="e">
        <f t="shared" si="9"/>
        <v>#REF!</v>
      </c>
    </row>
    <row r="339" spans="2:9" ht="15" thickBot="1" x14ac:dyDescent="0.35">
      <c r="B339" s="469" t="s">
        <v>79</v>
      </c>
      <c r="C339" s="470"/>
      <c r="D339" s="470"/>
      <c r="E339" s="471">
        <f>SUM(E316:E338)</f>
        <v>800000</v>
      </c>
      <c r="F339" s="472" t="e">
        <f>SUM(F316:F338)</f>
        <v>#REF!</v>
      </c>
      <c r="G339" s="472"/>
      <c r="H339" s="471">
        <f>SUM(H316:H335)</f>
        <v>0</v>
      </c>
      <c r="I339" s="473"/>
    </row>
    <row r="340" spans="2:9" x14ac:dyDescent="0.3">
      <c r="C340" s="475"/>
      <c r="D340" s="475"/>
      <c r="E340" s="476"/>
      <c r="F340" s="477"/>
      <c r="G340" s="477"/>
      <c r="H340" s="476"/>
      <c r="I340" s="478" t="e">
        <f>#REF!+#REF!</f>
        <v>#REF!</v>
      </c>
    </row>
    <row r="341" spans="2:9" ht="15" thickBot="1" x14ac:dyDescent="0.35"/>
    <row r="342" spans="2:9" ht="26.4" thickBot="1" x14ac:dyDescent="0.55000000000000004">
      <c r="B342" s="452" t="s">
        <v>733</v>
      </c>
      <c r="C342" s="453"/>
      <c r="D342" s="453"/>
      <c r="E342" s="453"/>
      <c r="F342" s="453"/>
      <c r="G342" s="453"/>
      <c r="H342" s="453"/>
      <c r="I342" s="453"/>
    </row>
    <row r="343" spans="2:9" ht="15" thickBot="1" x14ac:dyDescent="0.35">
      <c r="B343" s="516" t="s">
        <v>716</v>
      </c>
      <c r="C343" s="454"/>
      <c r="D343" s="454"/>
      <c r="E343" s="454"/>
      <c r="F343" s="454"/>
      <c r="G343" s="454"/>
      <c r="H343" s="454"/>
      <c r="I343" s="455"/>
    </row>
    <row r="344" spans="2:9" ht="15" thickBot="1" x14ac:dyDescent="0.35">
      <c r="B344" s="517"/>
      <c r="C344" s="456" t="s">
        <v>717</v>
      </c>
      <c r="D344" s="456" t="s">
        <v>718</v>
      </c>
      <c r="E344" s="457" t="s">
        <v>735</v>
      </c>
      <c r="F344" s="458" t="s">
        <v>719</v>
      </c>
      <c r="G344" s="458" t="s">
        <v>720</v>
      </c>
      <c r="H344" s="484" t="s">
        <v>736</v>
      </c>
      <c r="I344" s="459" t="s">
        <v>721</v>
      </c>
    </row>
    <row r="345" spans="2:9" x14ac:dyDescent="0.3">
      <c r="B345" s="461"/>
      <c r="C345" s="518"/>
      <c r="D345" s="518"/>
      <c r="E345" s="518"/>
      <c r="F345" s="518"/>
      <c r="G345" s="518"/>
      <c r="H345" s="519"/>
      <c r="I345" s="462" t="e">
        <f>I338</f>
        <v>#REF!</v>
      </c>
    </row>
    <row r="346" spans="2:9" x14ac:dyDescent="0.3">
      <c r="B346" s="463">
        <v>45597</v>
      </c>
      <c r="C346" s="464" t="e">
        <f>SUMIF('[1]Receitas KIM '!$B$3:$B$569,'[1]Fluxo caixa KIM-BIG'!B310,'[1]Receitas KIM '!$H$3:$H$569)</f>
        <v>#VALUE!</v>
      </c>
      <c r="D346" s="464">
        <v>26634.92</v>
      </c>
      <c r="E346" s="465"/>
      <c r="F346" s="466" t="e">
        <f>-SUMIFS([1]!Tabela4[Realizado],[1]!Tabela4[Vencimento],'[1]Fluxo caixa KIM-BIG'!B310,[1]!Tabela4[KIM/TACOM],'[1]Fluxo caixa KIM-BIG'!$H$2)</f>
        <v>#REF!</v>
      </c>
      <c r="G346" s="466">
        <v>-8999.76</v>
      </c>
      <c r="H346" s="467"/>
      <c r="I346" s="462" t="e">
        <f t="shared" ref="I346:I368" si="10">+I345+C346+E346+G346+H346+F346+D346</f>
        <v>#REF!</v>
      </c>
    </row>
    <row r="347" spans="2:9" x14ac:dyDescent="0.3">
      <c r="B347" s="463">
        <v>45600</v>
      </c>
      <c r="C347" s="464" t="e">
        <f>SUMIF('[1]Receitas KIM '!$B$3:$B$569,'[1]Fluxo caixa KIM-BIG'!B311,'[1]Receitas KIM '!$H$3:$H$569)</f>
        <v>#VALUE!</v>
      </c>
      <c r="D347" s="464">
        <v>3997.16</v>
      </c>
      <c r="E347" s="467"/>
      <c r="F347" s="466" t="e">
        <f>-SUMIFS([1]!Tabela4[Realizado],[1]!Tabela4[Vencimento],'[1]Fluxo caixa KIM-BIG'!B311,[1]!Tabela4[KIM/TACOM],'[1]Fluxo caixa KIM-BIG'!$H$2)</f>
        <v>#REF!</v>
      </c>
      <c r="G347" s="466"/>
      <c r="H347" s="467"/>
      <c r="I347" s="462" t="e">
        <f t="shared" si="10"/>
        <v>#REF!</v>
      </c>
    </row>
    <row r="348" spans="2:9" x14ac:dyDescent="0.3">
      <c r="B348" s="463">
        <v>45601</v>
      </c>
      <c r="C348" s="464" t="e">
        <f>SUMIF('[1]Receitas KIM '!$B$3:$B$569,'[1]Fluxo caixa KIM-BIG'!B312,'[1]Receitas KIM '!$H$3:$H$569)</f>
        <v>#VALUE!</v>
      </c>
      <c r="D348" s="464"/>
      <c r="E348" s="467"/>
      <c r="F348" s="466" t="e">
        <f>-SUMIFS([1]!Tabela4[Realizado],[1]!Tabela4[Vencimento],'[1]Fluxo caixa KIM-BIG'!B312,[1]!Tabela4[KIM/TACOM],'[1]Fluxo caixa KIM-BIG'!$H$2)</f>
        <v>#REF!</v>
      </c>
      <c r="G348" s="466">
        <v>-394247.58</v>
      </c>
      <c r="H348" s="467"/>
      <c r="I348" s="462" t="e">
        <f t="shared" si="10"/>
        <v>#REF!</v>
      </c>
    </row>
    <row r="349" spans="2:9" x14ac:dyDescent="0.3">
      <c r="B349" s="463">
        <v>45602</v>
      </c>
      <c r="C349" s="464" t="e">
        <f>SUMIF('[1]Receitas KIM '!$B$3:$B$569,'[1]Fluxo caixa KIM-BIG'!B313,'[1]Receitas KIM '!$H$3:$H$569)</f>
        <v>#VALUE!</v>
      </c>
      <c r="D349" s="464"/>
      <c r="E349" s="467"/>
      <c r="F349" s="466" t="e">
        <f>-SUMIFS([1]!Tabela4[Realizado],[1]!Tabela4[Vencimento],'[1]Fluxo caixa KIM-BIG'!B313,[1]!Tabela4[KIM/TACOM],'[1]Fluxo caixa KIM-BIG'!$H$2)</f>
        <v>#REF!</v>
      </c>
      <c r="G349" s="466">
        <v>-201973.66</v>
      </c>
      <c r="H349" s="467"/>
      <c r="I349" s="462" t="e">
        <f t="shared" si="10"/>
        <v>#REF!</v>
      </c>
    </row>
    <row r="350" spans="2:9" x14ac:dyDescent="0.3">
      <c r="B350" s="463">
        <v>45603</v>
      </c>
      <c r="C350" s="464" t="e">
        <f>SUMIF('[1]Receitas KIM '!$B$3:$B$569,'[1]Fluxo caixa KIM-BIG'!B314,'[1]Receitas KIM '!$H$3:$H$569)</f>
        <v>#VALUE!</v>
      </c>
      <c r="D350" s="464">
        <v>132873.71</v>
      </c>
      <c r="E350" s="467"/>
      <c r="F350" s="466" t="e">
        <f>-SUMIFS([1]!Tabela4[Realizado],[1]!Tabela4[Vencimento],'[1]Fluxo caixa KIM-BIG'!B314,[1]!Tabela4[KIM/TACOM],'[1]Fluxo caixa KIM-BIG'!$H$2)</f>
        <v>#REF!</v>
      </c>
      <c r="G350" s="466"/>
      <c r="H350" s="467"/>
      <c r="I350" s="462" t="e">
        <f t="shared" si="10"/>
        <v>#REF!</v>
      </c>
    </row>
    <row r="351" spans="2:9" x14ac:dyDescent="0.3">
      <c r="B351" s="463">
        <v>45604</v>
      </c>
      <c r="C351" s="464" t="e">
        <f>SUMIF('[1]Receitas KIM '!$B$3:$B$569,'[1]Fluxo caixa KIM-BIG'!B315,'[1]Receitas KIM '!$H$3:$H$569)</f>
        <v>#VALUE!</v>
      </c>
      <c r="D351" s="464">
        <v>10666.86</v>
      </c>
      <c r="E351" s="467"/>
      <c r="F351" s="466" t="e">
        <f>-SUMIFS([1]!Tabela4[Realizado],[1]!Tabela4[Vencimento],'[1]Fluxo caixa KIM-BIG'!B315,[1]!Tabela4[KIM/TACOM],'[1]Fluxo caixa KIM-BIG'!$H$2)</f>
        <v>#REF!</v>
      </c>
      <c r="G351" s="466">
        <v>-1199.8699999999999</v>
      </c>
      <c r="H351" s="467"/>
      <c r="I351" s="462" t="e">
        <f t="shared" si="10"/>
        <v>#REF!</v>
      </c>
    </row>
    <row r="352" spans="2:9" x14ac:dyDescent="0.3">
      <c r="B352" s="463">
        <v>45607</v>
      </c>
      <c r="C352" s="464" t="e">
        <f>SUMIF('[1]Receitas KIM '!$B$3:$B$569,'[1]Fluxo caixa KIM-BIG'!B316,'[1]Receitas KIM '!$H$3:$H$569)</f>
        <v>#VALUE!</v>
      </c>
      <c r="D352" s="464">
        <v>497117.36</v>
      </c>
      <c r="E352" s="467">
        <v>300000</v>
      </c>
      <c r="F352" s="466" t="e">
        <f>-SUMIFS([1]!Tabela4[Realizado],[1]!Tabela4[Vencimento],'[1]Fluxo caixa KIM-BIG'!B316,[1]!Tabela4[KIM/TACOM],'[1]Fluxo caixa KIM-BIG'!$H$2)</f>
        <v>#REF!</v>
      </c>
      <c r="G352" s="466">
        <v>-369980.94</v>
      </c>
      <c r="H352" s="467"/>
      <c r="I352" s="462" t="e">
        <f t="shared" si="10"/>
        <v>#REF!</v>
      </c>
    </row>
    <row r="353" spans="2:10" x14ac:dyDescent="0.3">
      <c r="B353" s="463">
        <v>45608</v>
      </c>
      <c r="C353" s="464" t="e">
        <f>SUMIF('[1]Receitas KIM '!$B$3:$B$569,'[1]Fluxo caixa KIM-BIG'!B317,'[1]Receitas KIM '!$H$3:$H$569)</f>
        <v>#VALUE!</v>
      </c>
      <c r="D353" s="464"/>
      <c r="E353" s="467"/>
      <c r="F353" s="466" t="e">
        <f>-SUMIFS([1]!Tabela4[Realizado],[1]!Tabela4[Vencimento],'[1]Fluxo caixa KIM-BIG'!B317,[1]!Tabela4[KIM/TACOM],'[1]Fluxo caixa KIM-BIG'!$H$2)</f>
        <v>#REF!</v>
      </c>
      <c r="G353" s="466">
        <v>-211759.63</v>
      </c>
      <c r="H353" s="467"/>
      <c r="I353" s="462" t="e">
        <f t="shared" si="10"/>
        <v>#REF!</v>
      </c>
    </row>
    <row r="354" spans="2:10" x14ac:dyDescent="0.3">
      <c r="B354" s="463">
        <v>45609</v>
      </c>
      <c r="C354" s="464" t="e">
        <f>SUMIF('[1]Receitas KIM '!$B$3:$B$569,'[1]Fluxo caixa KIM-BIG'!B318,'[1]Receitas KIM '!$H$3:$H$569)</f>
        <v>#VALUE!</v>
      </c>
      <c r="D354" s="464"/>
      <c r="E354" s="467"/>
      <c r="F354" s="466" t="e">
        <f>-SUMIFS([1]!Tabela4[Realizado],[1]!Tabela4[Vencimento],'[1]Fluxo caixa KIM-BIG'!B318,[1]!Tabela4[KIM/TACOM],'[1]Fluxo caixa KIM-BIG'!$H$2)</f>
        <v>#REF!</v>
      </c>
      <c r="G354" s="466"/>
      <c r="H354" s="467"/>
      <c r="I354" s="462" t="e">
        <f t="shared" si="10"/>
        <v>#REF!</v>
      </c>
    </row>
    <row r="355" spans="2:10" x14ac:dyDescent="0.3">
      <c r="B355" s="463">
        <v>45610</v>
      </c>
      <c r="C355" s="464" t="e">
        <f>SUMIF('[1]Receitas KIM '!$B$3:$B$569,'[1]Fluxo caixa KIM-BIG'!B319,'[1]Receitas KIM '!$H$3:$H$569)</f>
        <v>#VALUE!</v>
      </c>
      <c r="D355" s="464">
        <f>2471.41+25208.35</f>
        <v>27679.759999999998</v>
      </c>
      <c r="E355" s="467"/>
      <c r="F355" s="466" t="e">
        <f>-SUMIFS([1]!Tabela4[Realizado],[1]!Tabela4[Vencimento],'[1]Fluxo caixa KIM-BIG'!B319,[1]!Tabela4[KIM/TACOM],'[1]Fluxo caixa KIM-BIG'!$H$2)</f>
        <v>#REF!</v>
      </c>
      <c r="G355" s="466"/>
      <c r="H355" s="465"/>
      <c r="I355" s="462" t="e">
        <f t="shared" si="10"/>
        <v>#REF!</v>
      </c>
    </row>
    <row r="356" spans="2:10" x14ac:dyDescent="0.3">
      <c r="B356" s="463">
        <v>45611</v>
      </c>
      <c r="C356" s="464" t="e">
        <f>SUMIF('[1]Receitas KIM '!$B$3:$B$569,'[1]Fluxo caixa KIM-BIG'!B320,'[1]Receitas KIM '!$H$3:$H$569)</f>
        <v>#VALUE!</v>
      </c>
      <c r="D356" s="464"/>
      <c r="E356" s="467"/>
      <c r="F356" s="466" t="e">
        <f>-SUMIFS([1]!Tabela4[Realizado],[1]!Tabela4[Vencimento],'[1]Fluxo caixa KIM-BIG'!B320,[1]!Tabela4[KIM/TACOM],'[1]Fluxo caixa KIM-BIG'!$H$2)</f>
        <v>#REF!</v>
      </c>
      <c r="G356" s="466"/>
      <c r="H356" s="465"/>
      <c r="I356" s="462" t="e">
        <f t="shared" si="10"/>
        <v>#REF!</v>
      </c>
    </row>
    <row r="357" spans="2:10" x14ac:dyDescent="0.3">
      <c r="B357" s="463">
        <v>45614</v>
      </c>
      <c r="C357" s="464" t="e">
        <f>SUMIF('[1]Receitas KIM '!$B$3:$B$569,'[1]Fluxo caixa KIM-BIG'!B321,'[1]Receitas KIM '!$H$3:$H$569)</f>
        <v>#VALUE!</v>
      </c>
      <c r="D357" s="464">
        <v>152119.88</v>
      </c>
      <c r="E357" s="467"/>
      <c r="F357" s="466" t="e">
        <f>-SUMIFS([1]!Tabela4[Realizado],[1]!Tabela4[Vencimento],'[1]Fluxo caixa KIM-BIG'!B321,[1]!Tabela4[KIM/TACOM],'[1]Fluxo caixa KIM-BIG'!$H$2)</f>
        <v>#REF!</v>
      </c>
      <c r="G357" s="466"/>
      <c r="H357" s="465"/>
      <c r="I357" s="462" t="e">
        <f t="shared" si="10"/>
        <v>#REF!</v>
      </c>
    </row>
    <row r="358" spans="2:10" x14ac:dyDescent="0.3">
      <c r="B358" s="463">
        <v>45615</v>
      </c>
      <c r="C358" s="464" t="e">
        <f>SUMIF('[1]Receitas KIM '!$B$3:$B$569,'[1]Fluxo caixa KIM-BIG'!B322,'[1]Receitas KIM '!$H$3:$H$569)</f>
        <v>#VALUE!</v>
      </c>
      <c r="D358" s="464">
        <v>15330.4</v>
      </c>
      <c r="E358" s="467"/>
      <c r="F358" s="466" t="e">
        <f>-SUMIFS([1]!Tabela4[Realizado],[1]!Tabela4[Vencimento],'[1]Fluxo caixa KIM-BIG'!B322,[1]!Tabela4[KIM/TACOM],'[1]Fluxo caixa KIM-BIG'!$H$2)</f>
        <v>#REF!</v>
      </c>
      <c r="G358" s="466"/>
      <c r="H358" s="465"/>
      <c r="I358" s="462" t="e">
        <f t="shared" si="10"/>
        <v>#REF!</v>
      </c>
    </row>
    <row r="359" spans="2:10" x14ac:dyDescent="0.3">
      <c r="B359" s="463">
        <v>45616</v>
      </c>
      <c r="C359" s="464" t="e">
        <f>SUMIF('[1]Receitas KIM '!$B$3:$B$569,'[1]Fluxo caixa KIM-BIG'!B323,'[1]Receitas KIM '!$H$3:$H$569)</f>
        <v>#VALUE!</v>
      </c>
      <c r="D359" s="464"/>
      <c r="E359" s="467"/>
      <c r="F359" s="466" t="e">
        <f>-SUMIFS([1]!Tabela4[Realizado],[1]!Tabela4[Vencimento],'[1]Fluxo caixa KIM-BIG'!B323,[1]!Tabela4[KIM/TACOM],'[1]Fluxo caixa KIM-BIG'!$H$2)</f>
        <v>#REF!</v>
      </c>
      <c r="G359" s="482"/>
      <c r="H359" s="468"/>
      <c r="I359" s="462" t="e">
        <f t="shared" si="10"/>
        <v>#REF!</v>
      </c>
    </row>
    <row r="360" spans="2:10" x14ac:dyDescent="0.3">
      <c r="B360" s="463">
        <v>45617</v>
      </c>
      <c r="C360" s="464" t="e">
        <f>SUMIF('[1]Receitas KIM '!$B$3:$B$569,'[1]Fluxo caixa KIM-BIG'!B324,'[1]Receitas KIM '!$H$3:$H$569)</f>
        <v>#VALUE!</v>
      </c>
      <c r="D360" s="464">
        <f>40561.54+14072.48</f>
        <v>54634.020000000004</v>
      </c>
      <c r="E360" s="465"/>
      <c r="F360" s="466" t="e">
        <f>-SUMIFS([1]!Tabela4[Realizado],[1]!Tabela4[Vencimento],'[1]Fluxo caixa KIM-BIG'!B324,[1]!Tabela4[KIM/TACOM],'[1]Fluxo caixa KIM-BIG'!$H$2)</f>
        <v>#REF!</v>
      </c>
      <c r="G360" s="466">
        <v>-4775.07</v>
      </c>
      <c r="H360" s="465"/>
      <c r="I360" s="462" t="e">
        <f t="shared" si="10"/>
        <v>#REF!</v>
      </c>
    </row>
    <row r="361" spans="2:10" x14ac:dyDescent="0.3">
      <c r="B361" s="463">
        <v>45618</v>
      </c>
      <c r="C361" s="464" t="e">
        <f>SUMIF('[1]Receitas KIM '!$B$3:$B$569,'[1]Fluxo caixa KIM-BIG'!B325,'[1]Receitas KIM '!$H$3:$H$569)</f>
        <v>#VALUE!</v>
      </c>
      <c r="D361" s="464">
        <v>4093.94</v>
      </c>
      <c r="E361" s="465"/>
      <c r="F361" s="466" t="e">
        <f>-SUMIFS([1]!Tabela4[Realizado],[1]!Tabela4[Vencimento],'[1]Fluxo caixa KIM-BIG'!B325,[1]!Tabela4[KIM/TACOM],'[1]Fluxo caixa KIM-BIG'!$H$2)</f>
        <v>#REF!</v>
      </c>
      <c r="G361" s="466">
        <v>-6989.62</v>
      </c>
      <c r="H361" s="465"/>
      <c r="I361" s="462" t="e">
        <f t="shared" si="10"/>
        <v>#REF!</v>
      </c>
    </row>
    <row r="362" spans="2:10" x14ac:dyDescent="0.3">
      <c r="B362" s="463">
        <v>45621</v>
      </c>
      <c r="C362" s="464" t="e">
        <f>SUMIF('[1]Receitas KIM '!$B$3:$B$569,'[1]Fluxo caixa KIM-BIG'!B326,'[1]Receitas KIM '!$H$3:$H$569)</f>
        <v>#VALUE!</v>
      </c>
      <c r="D362" s="464">
        <f>100722.8+39905.86+17328.65</f>
        <v>157957.31</v>
      </c>
      <c r="E362" s="467"/>
      <c r="F362" s="466" t="e">
        <f>-SUMIFS([1]!Tabela4[Realizado],[1]!Tabela4[Vencimento],'[1]Fluxo caixa KIM-BIG'!B326,[1]!Tabela4[KIM/TACOM],'[1]Fluxo caixa KIM-BIG'!$H$2)</f>
        <v>#REF!</v>
      </c>
      <c r="G362" s="466"/>
      <c r="H362" s="465"/>
      <c r="I362" s="462" t="e">
        <f t="shared" si="10"/>
        <v>#REF!</v>
      </c>
    </row>
    <row r="363" spans="2:10" x14ac:dyDescent="0.3">
      <c r="B363" s="463">
        <v>45622</v>
      </c>
      <c r="C363" s="464" t="e">
        <f>SUMIF('[1]Receitas KIM '!$B$3:$B$569,'[1]Fluxo caixa KIM-BIG'!B327,'[1]Receitas KIM '!$H$3:$H$569)</f>
        <v>#VALUE!</v>
      </c>
      <c r="D363" s="464"/>
      <c r="E363" s="467"/>
      <c r="F363" s="466" t="e">
        <f>-SUMIFS([1]!Tabela4[Realizado],[1]!Tabela4[Vencimento],'[1]Fluxo caixa KIM-BIG'!B327,[1]!Tabela4[KIM/TACOM],'[1]Fluxo caixa KIM-BIG'!$H$2)</f>
        <v>#REF!</v>
      </c>
      <c r="G363" s="466"/>
      <c r="H363" s="465"/>
      <c r="I363" s="462" t="e">
        <f t="shared" si="10"/>
        <v>#REF!</v>
      </c>
    </row>
    <row r="364" spans="2:10" x14ac:dyDescent="0.3">
      <c r="B364" s="463">
        <v>45623</v>
      </c>
      <c r="C364" s="464" t="e">
        <f>SUMIF('[1]Receitas KIM '!$B$3:$B$569,'[1]Fluxo caixa KIM-BIG'!B328,'[1]Receitas KIM '!$H$3:$H$569)</f>
        <v>#VALUE!</v>
      </c>
      <c r="D364" s="464"/>
      <c r="E364" s="467"/>
      <c r="F364" s="466" t="e">
        <f>-SUMIFS([1]!Tabela4[Realizado],[1]!Tabela4[Vencimento],'[1]Fluxo caixa KIM-BIG'!B328,[1]!Tabela4[KIM/TACOM],'[1]Fluxo caixa KIM-BIG'!$H$2)</f>
        <v>#REF!</v>
      </c>
      <c r="G364" s="466"/>
      <c r="H364" s="465"/>
      <c r="I364" s="462" t="e">
        <f t="shared" si="10"/>
        <v>#REF!</v>
      </c>
    </row>
    <row r="365" spans="2:10" x14ac:dyDescent="0.3">
      <c r="B365" s="463">
        <v>45624</v>
      </c>
      <c r="C365" s="464" t="e">
        <f>SUMIF('[1]Receitas KIM '!$B$3:$B$569,'[1]Fluxo caixa KIM-BIG'!B329,'[1]Receitas KIM '!$H$3:$H$569)</f>
        <v>#VALUE!</v>
      </c>
      <c r="D365" s="464"/>
      <c r="E365" s="467"/>
      <c r="F365" s="466" t="e">
        <f>-SUMIFS([1]!Tabela4[Realizado],[1]!Tabela4[Vencimento],'[1]Fluxo caixa KIM-BIG'!B329,[1]!Tabela4[KIM/TACOM],'[1]Fluxo caixa KIM-BIG'!$H$2)</f>
        <v>#REF!</v>
      </c>
      <c r="G365" s="466"/>
      <c r="H365" s="465"/>
      <c r="I365" s="462" t="e">
        <f t="shared" si="10"/>
        <v>#REF!</v>
      </c>
    </row>
    <row r="366" spans="2:10" x14ac:dyDescent="0.3">
      <c r="B366" s="463">
        <v>45625</v>
      </c>
      <c r="C366" s="464" t="e">
        <f>SUMIF('[1]Receitas KIM '!$B$3:$B$569,'[1]Fluxo caixa KIM-BIG'!B330,'[1]Receitas KIM '!$H$3:$H$569)</f>
        <v>#VALUE!</v>
      </c>
      <c r="D366" s="464"/>
      <c r="E366" s="467">
        <v>200000</v>
      </c>
      <c r="F366" s="466" t="e">
        <f>-SUMIFS([1]!Tabela4[Realizado],[1]!Tabela4[Vencimento],'[1]Fluxo caixa KIM-BIG'!B330,[1]!Tabela4[KIM/TACOM],'[1]Fluxo caixa KIM-BIG'!$H$2)</f>
        <v>#REF!</v>
      </c>
      <c r="G366" s="466"/>
      <c r="H366" s="465"/>
      <c r="I366" s="462" t="e">
        <f t="shared" si="10"/>
        <v>#REF!</v>
      </c>
      <c r="J366" s="483" t="s">
        <v>722</v>
      </c>
    </row>
    <row r="367" spans="2:10" x14ac:dyDescent="0.3">
      <c r="B367" s="463"/>
      <c r="C367" s="464" t="e">
        <f>SUMIF('[1]Receitas KIM '!$B$3:$B$569,'[1]Fluxo caixa KIM-BIG'!B331,'[1]Receitas KIM '!$H$3:$H$569)</f>
        <v>#VALUE!</v>
      </c>
      <c r="D367" s="464"/>
      <c r="E367" s="467"/>
      <c r="F367" s="466" t="e">
        <f>-SUMIFS([1]!Tabela4[Realizado],[1]!Tabela4[Vencimento],'[1]Fluxo caixa KIM-BIG'!B331,[1]!Tabela4[KIM/TACOM],'[1]Fluxo caixa KIM-BIG'!$H$2)</f>
        <v>#REF!</v>
      </c>
      <c r="G367" s="466"/>
      <c r="H367" s="465"/>
      <c r="I367" s="462" t="e">
        <f t="shared" si="10"/>
        <v>#REF!</v>
      </c>
    </row>
    <row r="368" spans="2:10" ht="15" thickBot="1" x14ac:dyDescent="0.35">
      <c r="B368" s="463"/>
      <c r="C368" s="464" t="e">
        <f>SUMIF('[1]Receitas KIM '!$B$3:$B$569,'[1]Fluxo caixa KIM-BIG'!B332,'[1]Receitas KIM '!$H$3:$H$569)</f>
        <v>#VALUE!</v>
      </c>
      <c r="D368" s="464"/>
      <c r="E368" s="467"/>
      <c r="F368" s="466" t="e">
        <f>-SUMIFS([1]!Tabela4[Realizado],[1]!Tabela4[Vencimento],'[1]Fluxo caixa KIM-BIG'!B332,[1]!Tabela4[KIM/TACOM],'[1]Fluxo caixa KIM-BIG'!$H$2)</f>
        <v>#REF!</v>
      </c>
      <c r="G368" s="466"/>
      <c r="H368" s="465"/>
      <c r="I368" s="462" t="e">
        <f t="shared" si="10"/>
        <v>#REF!</v>
      </c>
    </row>
    <row r="369" spans="2:9" ht="15" thickBot="1" x14ac:dyDescent="0.35">
      <c r="B369" s="469" t="s">
        <v>79</v>
      </c>
      <c r="C369" s="470"/>
      <c r="D369" s="470"/>
      <c r="E369" s="471">
        <f>SUM(E346:E368)</f>
        <v>500000</v>
      </c>
      <c r="F369" s="472"/>
      <c r="G369" s="472"/>
      <c r="H369" s="471">
        <f>SUM(H346:H365)</f>
        <v>0</v>
      </c>
      <c r="I369" s="473"/>
    </row>
    <row r="370" spans="2:9" x14ac:dyDescent="0.3">
      <c r="C370" s="475"/>
      <c r="D370" s="475"/>
      <c r="E370" s="476"/>
      <c r="F370" s="477"/>
      <c r="G370" s="477"/>
      <c r="H370" s="476"/>
      <c r="I370" s="478" t="e">
        <f>#REF!+#REF!</f>
        <v>#REF!</v>
      </c>
    </row>
    <row r="371" spans="2:9" ht="15" thickBot="1" x14ac:dyDescent="0.35"/>
    <row r="372" spans="2:9" ht="26.4" thickBot="1" x14ac:dyDescent="0.55000000000000004">
      <c r="B372" s="452" t="s">
        <v>734</v>
      </c>
      <c r="C372" s="453"/>
      <c r="D372" s="453"/>
      <c r="E372" s="453"/>
      <c r="F372" s="453"/>
      <c r="G372" s="453"/>
      <c r="H372" s="453"/>
      <c r="I372" s="453"/>
    </row>
    <row r="373" spans="2:9" ht="15" thickBot="1" x14ac:dyDescent="0.35">
      <c r="B373" s="516" t="s">
        <v>716</v>
      </c>
      <c r="C373" s="454"/>
      <c r="D373" s="454"/>
      <c r="E373" s="454"/>
      <c r="F373" s="454"/>
      <c r="G373" s="454"/>
      <c r="H373" s="454"/>
      <c r="I373" s="455"/>
    </row>
    <row r="374" spans="2:9" ht="15" thickBot="1" x14ac:dyDescent="0.35">
      <c r="B374" s="517"/>
      <c r="C374" s="456" t="s">
        <v>717</v>
      </c>
      <c r="D374" s="456" t="s">
        <v>718</v>
      </c>
      <c r="E374" s="457" t="s">
        <v>735</v>
      </c>
      <c r="F374" s="458" t="s">
        <v>719</v>
      </c>
      <c r="G374" s="458" t="s">
        <v>720</v>
      </c>
      <c r="H374" s="484" t="s">
        <v>736</v>
      </c>
      <c r="I374" s="459" t="s">
        <v>721</v>
      </c>
    </row>
    <row r="375" spans="2:9" x14ac:dyDescent="0.3">
      <c r="B375" s="461"/>
      <c r="C375" s="518"/>
      <c r="D375" s="518"/>
      <c r="E375" s="518"/>
      <c r="F375" s="518"/>
      <c r="G375" s="518"/>
      <c r="H375" s="519"/>
      <c r="I375" s="462" t="e">
        <f>I367</f>
        <v>#REF!</v>
      </c>
    </row>
    <row r="376" spans="2:9" x14ac:dyDescent="0.3">
      <c r="B376" s="463">
        <v>45628</v>
      </c>
      <c r="C376" s="464"/>
      <c r="D376" s="464"/>
      <c r="E376" s="465"/>
      <c r="F376" s="466" t="e">
        <f>-SUMIFS([1]!Tabela4[Realizado],[1]!Tabela4[Vencimento],'[1]Fluxo caixa KIM-BIG'!B340,[1]!Tabela4[KIM/TACOM],'[1]Fluxo caixa KIM-BIG'!$H$2)</f>
        <v>#REF!</v>
      </c>
      <c r="G376" s="466"/>
      <c r="H376" s="467"/>
      <c r="I376" s="462" t="e">
        <f t="shared" ref="I376:I398" si="11">+I375+C376+E376+G376+H376+F376+D376</f>
        <v>#REF!</v>
      </c>
    </row>
    <row r="377" spans="2:9" x14ac:dyDescent="0.3">
      <c r="B377" s="463">
        <v>45629</v>
      </c>
      <c r="C377" s="464"/>
      <c r="D377" s="464"/>
      <c r="E377" s="467"/>
      <c r="F377" s="466" t="e">
        <f>-SUMIFS([1]!Tabela4[Realizado],[1]!Tabela4[Vencimento],'[1]Fluxo caixa KIM-BIG'!B341,[1]!Tabela4[KIM/TACOM],'[1]Fluxo caixa KIM-BIG'!$H$2)</f>
        <v>#REF!</v>
      </c>
      <c r="G377" s="466"/>
      <c r="H377" s="467"/>
      <c r="I377" s="462" t="e">
        <f t="shared" si="11"/>
        <v>#REF!</v>
      </c>
    </row>
    <row r="378" spans="2:9" x14ac:dyDescent="0.3">
      <c r="B378" s="463">
        <v>45630</v>
      </c>
      <c r="C378" s="464"/>
      <c r="D378" s="464"/>
      <c r="E378" s="467"/>
      <c r="F378" s="466" t="e">
        <f>-SUMIFS([1]!Tabela4[Realizado],[1]!Tabela4[Vencimento],'[1]Fluxo caixa KIM-BIG'!B342,[1]!Tabela4[KIM/TACOM],'[1]Fluxo caixa KIM-BIG'!$H$2)</f>
        <v>#REF!</v>
      </c>
      <c r="G378" s="466"/>
      <c r="H378" s="467"/>
      <c r="I378" s="462" t="e">
        <f t="shared" si="11"/>
        <v>#REF!</v>
      </c>
    </row>
    <row r="379" spans="2:9" x14ac:dyDescent="0.3">
      <c r="B379" s="463">
        <v>45631</v>
      </c>
      <c r="C379" s="464"/>
      <c r="D379" s="464"/>
      <c r="E379" s="467"/>
      <c r="F379" s="466" t="e">
        <f>-SUMIFS([1]!Tabela4[Realizado],[1]!Tabela4[Vencimento],'[1]Fluxo caixa KIM-BIG'!B343,[1]!Tabela4[KIM/TACOM],'[1]Fluxo caixa KIM-BIG'!$H$2)</f>
        <v>#REF!</v>
      </c>
      <c r="G379" s="466"/>
      <c r="H379" s="467"/>
      <c r="I379" s="462" t="e">
        <f t="shared" si="11"/>
        <v>#REF!</v>
      </c>
    </row>
    <row r="380" spans="2:9" x14ac:dyDescent="0.3">
      <c r="B380" s="463">
        <v>45632</v>
      </c>
      <c r="C380" s="464"/>
      <c r="D380" s="464"/>
      <c r="E380" s="467"/>
      <c r="F380" s="466" t="e">
        <f>-SUMIFS([1]!Tabela4[Realizado],[1]!Tabela4[Vencimento],'[1]Fluxo caixa KIM-BIG'!B344,[1]!Tabela4[KIM/TACOM],'[1]Fluxo caixa KIM-BIG'!$H$2)</f>
        <v>#REF!</v>
      </c>
      <c r="G380" s="466"/>
      <c r="H380" s="467"/>
      <c r="I380" s="462" t="e">
        <f t="shared" si="11"/>
        <v>#REF!</v>
      </c>
    </row>
    <row r="381" spans="2:9" x14ac:dyDescent="0.3">
      <c r="B381" s="463">
        <v>45635</v>
      </c>
      <c r="C381" s="464"/>
      <c r="D381" s="464"/>
      <c r="E381" s="467"/>
      <c r="F381" s="466" t="e">
        <f>-SUMIFS([1]!Tabela4[Realizado],[1]!Tabela4[Vencimento],'[1]Fluxo caixa KIM-BIG'!B345,[1]!Tabela4[KIM/TACOM],'[1]Fluxo caixa KIM-BIG'!$H$2)</f>
        <v>#REF!</v>
      </c>
      <c r="G381" s="466"/>
      <c r="H381" s="467"/>
      <c r="I381" s="462" t="e">
        <f t="shared" si="11"/>
        <v>#REF!</v>
      </c>
    </row>
    <row r="382" spans="2:9" x14ac:dyDescent="0.3">
      <c r="B382" s="463">
        <v>45636</v>
      </c>
      <c r="C382" s="464"/>
      <c r="D382" s="464"/>
      <c r="E382" s="467">
        <v>250000</v>
      </c>
      <c r="F382" s="466" t="e">
        <f>-SUMIFS([1]!Tabela4[Realizado],[1]!Tabela4[Vencimento],'[1]Fluxo caixa KIM-BIG'!B346,[1]!Tabela4[KIM/TACOM],'[1]Fluxo caixa KIM-BIG'!$H$2)</f>
        <v>#REF!</v>
      </c>
      <c r="G382" s="466"/>
      <c r="H382" s="467"/>
      <c r="I382" s="462" t="e">
        <f t="shared" si="11"/>
        <v>#REF!</v>
      </c>
    </row>
    <row r="383" spans="2:9" x14ac:dyDescent="0.3">
      <c r="B383" s="463">
        <v>45637</v>
      </c>
      <c r="C383" s="464"/>
      <c r="D383" s="464"/>
      <c r="E383" s="467"/>
      <c r="F383" s="466" t="e">
        <f>-SUMIFS([1]!Tabela4[Realizado],[1]!Tabela4[Vencimento],'[1]Fluxo caixa KIM-BIG'!B347,[1]!Tabela4[KIM/TACOM],'[1]Fluxo caixa KIM-BIG'!$H$2)</f>
        <v>#REF!</v>
      </c>
      <c r="G383" s="466"/>
      <c r="H383" s="467"/>
      <c r="I383" s="462" t="e">
        <f t="shared" si="11"/>
        <v>#REF!</v>
      </c>
    </row>
    <row r="384" spans="2:9" x14ac:dyDescent="0.3">
      <c r="B384" s="463">
        <v>45638</v>
      </c>
      <c r="C384" s="464"/>
      <c r="D384" s="464"/>
      <c r="E384" s="467"/>
      <c r="F384" s="466" t="e">
        <f>-SUMIFS([1]!Tabela4[Realizado],[1]!Tabela4[Vencimento],'[1]Fluxo caixa KIM-BIG'!B348,[1]!Tabela4[KIM/TACOM],'[1]Fluxo caixa KIM-BIG'!$H$2)</f>
        <v>#REF!</v>
      </c>
      <c r="G384" s="466"/>
      <c r="H384" s="467"/>
      <c r="I384" s="462" t="e">
        <f t="shared" si="11"/>
        <v>#REF!</v>
      </c>
    </row>
    <row r="385" spans="2:9" x14ac:dyDescent="0.3">
      <c r="B385" s="463">
        <v>45639</v>
      </c>
      <c r="C385" s="464"/>
      <c r="D385" s="464"/>
      <c r="E385" s="467"/>
      <c r="F385" s="466" t="e">
        <f>-SUMIFS([1]!Tabela4[Realizado],[1]!Tabela4[Vencimento],'[1]Fluxo caixa KIM-BIG'!B349,[1]!Tabela4[KIM/TACOM],'[1]Fluxo caixa KIM-BIG'!$H$2)</f>
        <v>#REF!</v>
      </c>
      <c r="G385" s="466"/>
      <c r="H385" s="465"/>
      <c r="I385" s="462" t="e">
        <f t="shared" si="11"/>
        <v>#REF!</v>
      </c>
    </row>
    <row r="386" spans="2:9" x14ac:dyDescent="0.3">
      <c r="B386" s="463">
        <v>45642</v>
      </c>
      <c r="C386" s="464"/>
      <c r="D386" s="464"/>
      <c r="E386" s="467"/>
      <c r="F386" s="466" t="e">
        <f>-SUMIFS([1]!Tabela4[Realizado],[1]!Tabela4[Vencimento],'[1]Fluxo caixa KIM-BIG'!B350,[1]!Tabela4[KIM/TACOM],'[1]Fluxo caixa KIM-BIG'!$H$2)</f>
        <v>#REF!</v>
      </c>
      <c r="G386" s="466"/>
      <c r="H386" s="465"/>
      <c r="I386" s="462" t="e">
        <f t="shared" si="11"/>
        <v>#REF!</v>
      </c>
    </row>
    <row r="387" spans="2:9" x14ac:dyDescent="0.3">
      <c r="B387" s="463">
        <v>45643</v>
      </c>
      <c r="C387" s="464"/>
      <c r="D387" s="464"/>
      <c r="E387" s="467"/>
      <c r="F387" s="466" t="e">
        <f>-SUMIFS([1]!Tabela4[Realizado],[1]!Tabela4[Vencimento],'[1]Fluxo caixa KIM-BIG'!B351,[1]!Tabela4[KIM/TACOM],'[1]Fluxo caixa KIM-BIG'!$H$2)</f>
        <v>#REF!</v>
      </c>
      <c r="G387" s="466"/>
      <c r="H387" s="465"/>
      <c r="I387" s="462" t="e">
        <f t="shared" si="11"/>
        <v>#REF!</v>
      </c>
    </row>
    <row r="388" spans="2:9" x14ac:dyDescent="0.3">
      <c r="B388" s="463">
        <v>45644</v>
      </c>
      <c r="C388" s="464"/>
      <c r="D388" s="464"/>
      <c r="E388" s="467"/>
      <c r="F388" s="466" t="e">
        <f>-SUMIFS([1]!Tabela4[Realizado],[1]!Tabela4[Vencimento],'[1]Fluxo caixa KIM-BIG'!B352,[1]!Tabela4[KIM/TACOM],'[1]Fluxo caixa KIM-BIG'!$H$2)</f>
        <v>#REF!</v>
      </c>
      <c r="G388" s="466"/>
      <c r="H388" s="465"/>
      <c r="I388" s="462" t="e">
        <f t="shared" si="11"/>
        <v>#REF!</v>
      </c>
    </row>
    <row r="389" spans="2:9" x14ac:dyDescent="0.3">
      <c r="B389" s="463">
        <v>45645</v>
      </c>
      <c r="C389" s="464"/>
      <c r="D389" s="464"/>
      <c r="E389" s="467"/>
      <c r="F389" s="466" t="e">
        <f>-SUMIFS([1]!Tabela4[Realizado],[1]!Tabela4[Vencimento],'[1]Fluxo caixa KIM-BIG'!B353,[1]!Tabela4[KIM/TACOM],'[1]Fluxo caixa KIM-BIG'!$H$2)</f>
        <v>#REF!</v>
      </c>
      <c r="G389" s="482"/>
      <c r="H389" s="468"/>
      <c r="I389" s="462" t="e">
        <f t="shared" si="11"/>
        <v>#REF!</v>
      </c>
    </row>
    <row r="390" spans="2:9" x14ac:dyDescent="0.3">
      <c r="B390" s="463">
        <v>45646</v>
      </c>
      <c r="C390" s="464"/>
      <c r="D390" s="464"/>
      <c r="E390" s="465">
        <v>100000</v>
      </c>
      <c r="F390" s="466" t="e">
        <f>-SUMIFS([1]!Tabela4[Realizado],[1]!Tabela4[Vencimento],'[1]Fluxo caixa KIM-BIG'!B354,[1]!Tabela4[KIM/TACOM],'[1]Fluxo caixa KIM-BIG'!$H$2)</f>
        <v>#REF!</v>
      </c>
      <c r="G390" s="466"/>
      <c r="H390" s="465"/>
      <c r="I390" s="462" t="e">
        <f t="shared" si="11"/>
        <v>#REF!</v>
      </c>
    </row>
    <row r="391" spans="2:9" x14ac:dyDescent="0.3">
      <c r="B391" s="463">
        <v>45649</v>
      </c>
      <c r="C391" s="464"/>
      <c r="D391" s="464"/>
      <c r="E391" s="465"/>
      <c r="F391" s="466" t="e">
        <f>-SUMIFS([1]!Tabela4[Realizado],[1]!Tabela4[Vencimento],'[1]Fluxo caixa KIM-BIG'!B355,[1]!Tabela4[KIM/TACOM],'[1]Fluxo caixa KIM-BIG'!$H$2)</f>
        <v>#REF!</v>
      </c>
      <c r="G391" s="466"/>
      <c r="H391" s="465"/>
      <c r="I391" s="462" t="e">
        <f t="shared" si="11"/>
        <v>#REF!</v>
      </c>
    </row>
    <row r="392" spans="2:9" x14ac:dyDescent="0.3">
      <c r="B392" s="463">
        <v>45650</v>
      </c>
      <c r="C392" s="464"/>
      <c r="D392" s="464"/>
      <c r="E392" s="467"/>
      <c r="F392" s="466" t="e">
        <f>-SUMIFS([1]!Tabela4[Realizado],[1]!Tabela4[Vencimento],'[1]Fluxo caixa KIM-BIG'!B356,[1]!Tabela4[KIM/TACOM],'[1]Fluxo caixa KIM-BIG'!$H$2)</f>
        <v>#REF!</v>
      </c>
      <c r="G392" s="466"/>
      <c r="H392" s="465"/>
      <c r="I392" s="462" t="e">
        <f t="shared" si="11"/>
        <v>#REF!</v>
      </c>
    </row>
    <row r="393" spans="2:9" x14ac:dyDescent="0.3">
      <c r="B393" s="463">
        <v>45651</v>
      </c>
      <c r="C393" s="464"/>
      <c r="D393" s="464"/>
      <c r="E393" s="467"/>
      <c r="F393" s="466" t="e">
        <f>-SUMIFS([1]!Tabela4[Realizado],[1]!Tabela4[Vencimento],'[1]Fluxo caixa KIM-BIG'!B357,[1]!Tabela4[KIM/TACOM],'[1]Fluxo caixa KIM-BIG'!$H$2)</f>
        <v>#REF!</v>
      </c>
      <c r="G393" s="466"/>
      <c r="H393" s="465"/>
      <c r="I393" s="462" t="e">
        <f t="shared" si="11"/>
        <v>#REF!</v>
      </c>
    </row>
    <row r="394" spans="2:9" x14ac:dyDescent="0.3">
      <c r="B394" s="463">
        <v>45652</v>
      </c>
      <c r="C394" s="464"/>
      <c r="D394" s="464"/>
      <c r="E394" s="467"/>
      <c r="F394" s="466" t="e">
        <f>-SUMIFS([1]!Tabela4[Realizado],[1]!Tabela4[Vencimento],'[1]Fluxo caixa KIM-BIG'!B358,[1]!Tabela4[KIM/TACOM],'[1]Fluxo caixa KIM-BIG'!$H$2)</f>
        <v>#REF!</v>
      </c>
      <c r="G394" s="466"/>
      <c r="H394" s="465"/>
      <c r="I394" s="462" t="e">
        <f t="shared" si="11"/>
        <v>#REF!</v>
      </c>
    </row>
    <row r="395" spans="2:9" x14ac:dyDescent="0.3">
      <c r="B395" s="463">
        <v>45653</v>
      </c>
      <c r="C395" s="464"/>
      <c r="D395" s="464"/>
      <c r="E395" s="467"/>
      <c r="F395" s="466" t="e">
        <f>-SUMIFS([1]!Tabela4[Realizado],[1]!Tabela4[Vencimento],'[1]Fluxo caixa KIM-BIG'!B359,[1]!Tabela4[KIM/TACOM],'[1]Fluxo caixa KIM-BIG'!$H$2)</f>
        <v>#REF!</v>
      </c>
      <c r="G395" s="466"/>
      <c r="H395" s="465"/>
      <c r="I395" s="462" t="e">
        <f t="shared" si="11"/>
        <v>#REF!</v>
      </c>
    </row>
    <row r="396" spans="2:9" x14ac:dyDescent="0.3">
      <c r="B396" s="463">
        <v>45656</v>
      </c>
      <c r="C396" s="464"/>
      <c r="D396" s="464"/>
      <c r="E396" s="467">
        <v>150000</v>
      </c>
      <c r="F396" s="466" t="e">
        <f>-SUMIFS([1]!Tabela4[Realizado],[1]!Tabela4[Vencimento],'[1]Fluxo caixa KIM-BIG'!B360,[1]!Tabela4[KIM/TACOM],'[1]Fluxo caixa KIM-BIG'!$H$2)</f>
        <v>#REF!</v>
      </c>
      <c r="G396" s="466"/>
      <c r="H396" s="465"/>
      <c r="I396" s="462" t="e">
        <f t="shared" si="11"/>
        <v>#REF!</v>
      </c>
    </row>
    <row r="397" spans="2:9" x14ac:dyDescent="0.3">
      <c r="B397" s="463">
        <v>45657</v>
      </c>
      <c r="C397" s="464"/>
      <c r="D397" s="464"/>
      <c r="E397" s="467"/>
      <c r="F397" s="466" t="e">
        <f>-SUMIFS([1]!Tabela4[Realizado],[1]!Tabela4[Vencimento],'[1]Fluxo caixa KIM-BIG'!B361,[1]!Tabela4[KIM/TACOM],'[1]Fluxo caixa KIM-BIG'!$H$2)</f>
        <v>#REF!</v>
      </c>
      <c r="G397" s="466"/>
      <c r="H397" s="465"/>
      <c r="I397" s="462" t="e">
        <f t="shared" si="11"/>
        <v>#REF!</v>
      </c>
    </row>
    <row r="398" spans="2:9" ht="15" thickBot="1" x14ac:dyDescent="0.35">
      <c r="B398" s="463"/>
      <c r="C398" s="464"/>
      <c r="D398" s="464"/>
      <c r="E398" s="467"/>
      <c r="F398" s="466" t="e">
        <f>-SUMIFS([1]!Tabela4[Realizado],[1]!Tabela4[Vencimento],'[1]Fluxo caixa KIM-BIG'!B362,[1]!Tabela4[KIM/TACOM],'[1]Fluxo caixa KIM-BIG'!$H$2)</f>
        <v>#REF!</v>
      </c>
      <c r="G398" s="466"/>
      <c r="H398" s="465"/>
      <c r="I398" s="462" t="e">
        <f t="shared" si="11"/>
        <v>#REF!</v>
      </c>
    </row>
    <row r="399" spans="2:9" ht="15" thickBot="1" x14ac:dyDescent="0.35">
      <c r="B399" s="469" t="s">
        <v>79</v>
      </c>
      <c r="C399" s="470"/>
      <c r="D399" s="470"/>
      <c r="E399" s="471">
        <f>SUM(E376:E398)</f>
        <v>500000</v>
      </c>
      <c r="F399" s="472"/>
      <c r="G399" s="472"/>
      <c r="H399" s="471">
        <f>SUM(H376:H395)</f>
        <v>0</v>
      </c>
      <c r="I399" s="473"/>
    </row>
    <row r="400" spans="2:9" x14ac:dyDescent="0.3">
      <c r="C400" s="475"/>
      <c r="D400" s="475"/>
      <c r="E400" s="476"/>
      <c r="F400" s="477"/>
      <c r="G400" s="477"/>
      <c r="H400" s="476"/>
      <c r="I400" s="478" t="e">
        <f>#REF!+#REF!</f>
        <v>#REF!</v>
      </c>
    </row>
  </sheetData>
  <mergeCells count="24">
    <mergeCell ref="C375:H375"/>
    <mergeCell ref="B222:B223"/>
    <mergeCell ref="C224:H224"/>
    <mergeCell ref="B253:B254"/>
    <mergeCell ref="C255:H255"/>
    <mergeCell ref="B283:B284"/>
    <mergeCell ref="C285:H285"/>
    <mergeCell ref="B313:B314"/>
    <mergeCell ref="C315:H315"/>
    <mergeCell ref="B343:B344"/>
    <mergeCell ref="C345:H345"/>
    <mergeCell ref="B373:B374"/>
    <mergeCell ref="C187:H187"/>
    <mergeCell ref="B2:B3"/>
    <mergeCell ref="C4:H4"/>
    <mergeCell ref="B39:B40"/>
    <mergeCell ref="C41:H41"/>
    <mergeCell ref="B73:B74"/>
    <mergeCell ref="C75:H75"/>
    <mergeCell ref="B110:B111"/>
    <mergeCell ref="C112:H112"/>
    <mergeCell ref="B147:B148"/>
    <mergeCell ref="C149:H149"/>
    <mergeCell ref="B185:B18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  <outlinePr summaryBelow="0"/>
  </sheetPr>
  <dimension ref="A1:S284"/>
  <sheetViews>
    <sheetView showGridLines="0" topLeftCell="A53" zoomScale="85" zoomScaleNormal="85" workbookViewId="0">
      <selection activeCell="A29" sqref="A29:A37"/>
    </sheetView>
  </sheetViews>
  <sheetFormatPr defaultColWidth="13.88671875" defaultRowHeight="12" outlineLevelRow="2" x14ac:dyDescent="0.25"/>
  <cols>
    <col min="1" max="1" width="42.6640625" style="1" bestFit="1" customWidth="1"/>
    <col min="2" max="2" width="4.44140625" style="1" bestFit="1" customWidth="1"/>
    <col min="3" max="3" width="10" style="2" bestFit="1" customWidth="1"/>
    <col min="4" max="8" width="10" style="1" bestFit="1" customWidth="1"/>
    <col min="9" max="9" width="10" style="4" bestFit="1" customWidth="1"/>
    <col min="10" max="10" width="11.6640625" style="4" bestFit="1" customWidth="1"/>
    <col min="11" max="12" width="11.6640625" style="1" bestFit="1" customWidth="1"/>
    <col min="13" max="14" width="11.109375" style="1" bestFit="1" customWidth="1"/>
    <col min="15" max="15" width="14.6640625" style="1" bestFit="1" customWidth="1"/>
    <col min="16" max="16" width="1" style="1" customWidth="1"/>
    <col min="17" max="16384" width="13.88671875" style="1"/>
  </cols>
  <sheetData>
    <row r="1" spans="1:19" x14ac:dyDescent="0.25">
      <c r="A1" s="3"/>
      <c r="B1" s="3"/>
    </row>
    <row r="2" spans="1:19" ht="12.6" thickBot="1" x14ac:dyDescent="0.3">
      <c r="A2" s="3"/>
      <c r="B2" s="3"/>
      <c r="C2" s="34"/>
    </row>
    <row r="3" spans="1:19" s="12" customFormat="1" ht="20.100000000000001" customHeight="1" thickTop="1" x14ac:dyDescent="0.25">
      <c r="A3" s="520" t="s">
        <v>650</v>
      </c>
      <c r="B3" s="522"/>
      <c r="C3" s="224">
        <v>2026</v>
      </c>
      <c r="D3" s="224">
        <v>2026</v>
      </c>
      <c r="E3" s="224">
        <v>2026</v>
      </c>
      <c r="F3" s="224">
        <v>2026</v>
      </c>
      <c r="G3" s="224">
        <v>2026</v>
      </c>
      <c r="H3" s="224">
        <v>2026</v>
      </c>
      <c r="I3" s="224">
        <v>2026</v>
      </c>
      <c r="J3" s="224">
        <v>2026</v>
      </c>
      <c r="K3" s="224">
        <v>2026</v>
      </c>
      <c r="L3" s="224">
        <v>2026</v>
      </c>
      <c r="M3" s="224">
        <v>2026</v>
      </c>
      <c r="N3" s="224">
        <v>2026</v>
      </c>
      <c r="O3" s="29">
        <v>2026</v>
      </c>
    </row>
    <row r="4" spans="1:19" x14ac:dyDescent="0.25">
      <c r="A4" s="521"/>
      <c r="B4" s="523"/>
      <c r="C4" s="181" t="s">
        <v>67</v>
      </c>
      <c r="D4" s="176" t="s">
        <v>68</v>
      </c>
      <c r="E4" s="176" t="s">
        <v>69</v>
      </c>
      <c r="F4" s="176" t="s">
        <v>70</v>
      </c>
      <c r="G4" s="176" t="s">
        <v>71</v>
      </c>
      <c r="H4" s="176" t="s">
        <v>72</v>
      </c>
      <c r="I4" s="176" t="s">
        <v>73</v>
      </c>
      <c r="J4" s="176" t="s">
        <v>74</v>
      </c>
      <c r="K4" s="176" t="s">
        <v>75</v>
      </c>
      <c r="L4" s="176" t="s">
        <v>76</v>
      </c>
      <c r="M4" s="176" t="s">
        <v>77</v>
      </c>
      <c r="N4" s="182" t="s">
        <v>78</v>
      </c>
      <c r="O4" s="183" t="s">
        <v>79</v>
      </c>
    </row>
    <row r="5" spans="1:19" x14ac:dyDescent="0.25">
      <c r="A5" s="225" t="s">
        <v>80</v>
      </c>
      <c r="B5" s="226"/>
      <c r="C5" s="227"/>
      <c r="D5" s="228"/>
      <c r="E5" s="229"/>
      <c r="F5" s="228"/>
      <c r="G5" s="228"/>
      <c r="H5" s="230"/>
      <c r="I5" s="230"/>
      <c r="J5" s="228"/>
      <c r="K5" s="230"/>
      <c r="L5" s="230"/>
      <c r="M5" s="228"/>
      <c r="N5" s="231"/>
      <c r="O5" s="232"/>
    </row>
    <row r="6" spans="1:19" ht="13.2" outlineLevel="1" x14ac:dyDescent="0.25">
      <c r="A6" s="219" t="s">
        <v>668</v>
      </c>
      <c r="B6" s="233"/>
      <c r="C6" s="234"/>
      <c r="D6" s="234"/>
      <c r="E6" s="234"/>
      <c r="F6" s="234"/>
      <c r="G6" s="234"/>
      <c r="H6" s="234"/>
      <c r="I6" s="234"/>
      <c r="J6" s="432"/>
      <c r="K6" s="432"/>
      <c r="L6" s="432"/>
      <c r="M6" s="235"/>
      <c r="N6" s="235"/>
      <c r="O6" s="236">
        <f t="shared" ref="O6:O15" si="0">SUM(C6:N6)</f>
        <v>0</v>
      </c>
      <c r="Q6" s="16"/>
      <c r="R6" s="2"/>
      <c r="S6" s="2"/>
    </row>
    <row r="7" spans="1:19" ht="13.2" outlineLevel="1" x14ac:dyDescent="0.25">
      <c r="A7" s="219" t="s">
        <v>669</v>
      </c>
      <c r="B7" s="233"/>
      <c r="C7" s="237"/>
      <c r="D7" s="237"/>
      <c r="E7" s="238"/>
      <c r="F7" s="239"/>
      <c r="G7" s="238"/>
      <c r="H7" s="238"/>
      <c r="I7" s="238"/>
      <c r="J7" s="432"/>
      <c r="K7" s="432"/>
      <c r="L7" s="432"/>
      <c r="M7" s="238"/>
      <c r="N7" s="239"/>
      <c r="O7" s="236">
        <f t="shared" si="0"/>
        <v>0</v>
      </c>
      <c r="Q7" s="16"/>
      <c r="R7" s="2"/>
      <c r="S7" s="2"/>
    </row>
    <row r="8" spans="1:19" ht="13.2" outlineLevel="1" x14ac:dyDescent="0.25">
      <c r="A8" s="219" t="s">
        <v>670</v>
      </c>
      <c r="B8" s="233"/>
      <c r="C8" s="237"/>
      <c r="D8" s="237"/>
      <c r="E8" s="238"/>
      <c r="F8" s="239"/>
      <c r="G8" s="239"/>
      <c r="H8" s="239"/>
      <c r="I8" s="239"/>
      <c r="J8" s="432"/>
      <c r="K8" s="432"/>
      <c r="L8" s="432"/>
      <c r="M8" s="239"/>
      <c r="N8" s="239"/>
      <c r="O8" s="236">
        <f t="shared" si="0"/>
        <v>0</v>
      </c>
      <c r="Q8" s="16"/>
      <c r="R8" s="2"/>
      <c r="S8" s="2"/>
    </row>
    <row r="9" spans="1:19" ht="13.2" outlineLevel="1" x14ac:dyDescent="0.25">
      <c r="A9" s="219" t="s">
        <v>671</v>
      </c>
      <c r="B9" s="233"/>
      <c r="C9" s="234"/>
      <c r="D9" s="238"/>
      <c r="E9" s="239"/>
      <c r="F9" s="239"/>
      <c r="G9" s="239"/>
      <c r="H9" s="239"/>
      <c r="I9" s="184"/>
      <c r="J9" s="432"/>
      <c r="K9" s="432"/>
      <c r="L9" s="432"/>
      <c r="M9" s="239"/>
      <c r="N9" s="239"/>
      <c r="O9" s="236">
        <f t="shared" si="0"/>
        <v>0</v>
      </c>
      <c r="Q9" s="16"/>
      <c r="R9" s="2"/>
      <c r="S9" s="2"/>
    </row>
    <row r="10" spans="1:19" outlineLevel="1" x14ac:dyDescent="0.25">
      <c r="A10" s="219"/>
      <c r="B10" s="233"/>
      <c r="C10" s="234"/>
      <c r="D10" s="238"/>
      <c r="E10" s="239"/>
      <c r="F10" s="239"/>
      <c r="G10" s="239"/>
      <c r="H10" s="239"/>
      <c r="I10" s="184"/>
      <c r="J10" s="184"/>
      <c r="K10" s="239"/>
      <c r="L10" s="239"/>
      <c r="M10" s="239"/>
      <c r="N10" s="239"/>
      <c r="O10" s="236"/>
      <c r="Q10" s="16"/>
      <c r="R10" s="2"/>
      <c r="S10" s="2"/>
    </row>
    <row r="11" spans="1:19" ht="12.75" customHeight="1" outlineLevel="1" x14ac:dyDescent="0.25">
      <c r="A11" s="219"/>
      <c r="B11" s="233"/>
      <c r="C11" s="237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6">
        <f t="shared" si="0"/>
        <v>0</v>
      </c>
      <c r="Q11" s="16"/>
      <c r="R11" s="2"/>
      <c r="S11" s="2"/>
    </row>
    <row r="12" spans="1:19" outlineLevel="1" x14ac:dyDescent="0.25">
      <c r="A12" s="219"/>
      <c r="B12" s="233"/>
      <c r="C12" s="237"/>
      <c r="D12" s="239"/>
      <c r="E12" s="239"/>
      <c r="F12" s="239"/>
      <c r="G12" s="239"/>
      <c r="H12" s="239"/>
      <c r="I12" s="239"/>
      <c r="J12" s="241"/>
      <c r="K12" s="239"/>
      <c r="L12" s="239"/>
      <c r="M12" s="239"/>
      <c r="N12" s="239"/>
      <c r="O12" s="236">
        <f t="shared" si="0"/>
        <v>0</v>
      </c>
      <c r="Q12" s="16"/>
      <c r="R12" s="2"/>
      <c r="S12" s="2"/>
    </row>
    <row r="13" spans="1:19" outlineLevel="1" x14ac:dyDescent="0.25">
      <c r="A13" s="219"/>
      <c r="B13" s="233"/>
      <c r="C13" s="237"/>
      <c r="D13" s="239"/>
      <c r="E13" s="239"/>
      <c r="F13" s="239"/>
      <c r="G13" s="239"/>
      <c r="H13" s="239"/>
      <c r="I13" s="239"/>
      <c r="J13" s="241"/>
      <c r="K13" s="239"/>
      <c r="L13" s="239"/>
      <c r="M13" s="239"/>
      <c r="N13" s="239"/>
      <c r="O13" s="236">
        <f t="shared" si="0"/>
        <v>0</v>
      </c>
      <c r="Q13" s="16"/>
      <c r="R13" s="2"/>
      <c r="S13" s="2"/>
    </row>
    <row r="14" spans="1:19" outlineLevel="1" x14ac:dyDescent="0.25">
      <c r="A14" s="219"/>
      <c r="B14" s="233"/>
      <c r="C14" s="237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6">
        <f t="shared" si="0"/>
        <v>0</v>
      </c>
      <c r="Q14" s="16"/>
      <c r="R14" s="2"/>
      <c r="S14" s="2"/>
    </row>
    <row r="15" spans="1:19" x14ac:dyDescent="0.25">
      <c r="A15" s="242" t="s">
        <v>82</v>
      </c>
      <c r="B15" s="243"/>
      <c r="C15" s="244">
        <f t="shared" ref="C15:N15" si="1">SUM(C6:C14)</f>
        <v>0</v>
      </c>
      <c r="D15" s="245">
        <f t="shared" si="1"/>
        <v>0</v>
      </c>
      <c r="E15" s="245">
        <f t="shared" si="1"/>
        <v>0</v>
      </c>
      <c r="F15" s="245">
        <f t="shared" si="1"/>
        <v>0</v>
      </c>
      <c r="G15" s="245">
        <f t="shared" si="1"/>
        <v>0</v>
      </c>
      <c r="H15" s="245">
        <f t="shared" si="1"/>
        <v>0</v>
      </c>
      <c r="I15" s="245">
        <f t="shared" si="1"/>
        <v>0</v>
      </c>
      <c r="J15" s="245">
        <f>SUM(J6:J14)</f>
        <v>0</v>
      </c>
      <c r="K15" s="245">
        <f t="shared" si="1"/>
        <v>0</v>
      </c>
      <c r="L15" s="245">
        <f t="shared" si="1"/>
        <v>0</v>
      </c>
      <c r="M15" s="245">
        <f t="shared" si="1"/>
        <v>0</v>
      </c>
      <c r="N15" s="246">
        <f t="shared" si="1"/>
        <v>0</v>
      </c>
      <c r="O15" s="247">
        <f t="shared" si="0"/>
        <v>0</v>
      </c>
      <c r="Q15" s="16"/>
      <c r="R15" s="2"/>
      <c r="S15" s="2"/>
    </row>
    <row r="16" spans="1:19" x14ac:dyDescent="0.25">
      <c r="A16" s="248"/>
      <c r="B16" s="249"/>
      <c r="C16" s="250"/>
      <c r="D16" s="250"/>
      <c r="E16" s="250"/>
      <c r="F16" s="250"/>
      <c r="G16" s="250"/>
      <c r="H16" s="250"/>
      <c r="I16" s="251"/>
      <c r="J16" s="250"/>
      <c r="K16" s="250"/>
      <c r="L16" s="250"/>
      <c r="M16" s="250"/>
      <c r="N16" s="250"/>
      <c r="O16" s="252"/>
      <c r="Q16" s="16"/>
      <c r="R16" s="2"/>
      <c r="S16" s="2"/>
    </row>
    <row r="17" spans="1:19" x14ac:dyDescent="0.25">
      <c r="A17" s="223" t="s">
        <v>43</v>
      </c>
      <c r="B17" s="253"/>
      <c r="C17" s="254">
        <f t="shared" ref="C17:N17" si="2">SUM(C18:C25)</f>
        <v>0</v>
      </c>
      <c r="D17" s="255">
        <f t="shared" si="2"/>
        <v>0</v>
      </c>
      <c r="E17" s="255">
        <f t="shared" si="2"/>
        <v>0</v>
      </c>
      <c r="F17" s="255">
        <f t="shared" si="2"/>
        <v>0</v>
      </c>
      <c r="G17" s="255">
        <f t="shared" si="2"/>
        <v>0</v>
      </c>
      <c r="H17" s="255">
        <f t="shared" si="2"/>
        <v>0</v>
      </c>
      <c r="I17" s="255">
        <f t="shared" si="2"/>
        <v>0</v>
      </c>
      <c r="J17" s="255">
        <f t="shared" si="2"/>
        <v>0</v>
      </c>
      <c r="K17" s="255">
        <f t="shared" si="2"/>
        <v>0</v>
      </c>
      <c r="L17" s="255">
        <f t="shared" si="2"/>
        <v>0</v>
      </c>
      <c r="M17" s="255">
        <f t="shared" si="2"/>
        <v>0</v>
      </c>
      <c r="N17" s="256">
        <f t="shared" si="2"/>
        <v>0</v>
      </c>
      <c r="O17" s="257">
        <f t="shared" ref="O17" si="3">SUM(C17:N17)</f>
        <v>0</v>
      </c>
      <c r="Q17" s="16"/>
      <c r="R17" s="2"/>
      <c r="S17" s="2"/>
    </row>
    <row r="18" spans="1:19" outlineLevel="2" x14ac:dyDescent="0.25">
      <c r="A18" s="258" t="s">
        <v>84</v>
      </c>
      <c r="B18" s="249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6">
        <f>SUM(C18:N18)</f>
        <v>0</v>
      </c>
      <c r="Q18" s="16"/>
      <c r="R18" s="2"/>
      <c r="S18" s="2"/>
    </row>
    <row r="19" spans="1:19" outlineLevel="2" x14ac:dyDescent="0.25">
      <c r="A19" s="258" t="s">
        <v>86</v>
      </c>
      <c r="B19" s="249">
        <v>0.03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6">
        <f>SUM(C19:N19)</f>
        <v>0</v>
      </c>
      <c r="Q19" s="16"/>
      <c r="R19" s="2"/>
      <c r="S19" s="2"/>
    </row>
    <row r="20" spans="1:19" outlineLevel="2" x14ac:dyDescent="0.25">
      <c r="A20" s="258" t="s">
        <v>88</v>
      </c>
      <c r="B20" s="249"/>
      <c r="C20" s="234"/>
      <c r="D20" s="259"/>
      <c r="E20" s="260"/>
      <c r="F20" s="260"/>
      <c r="G20" s="260"/>
      <c r="H20" s="260"/>
      <c r="I20" s="260"/>
      <c r="J20" s="261"/>
      <c r="K20" s="259"/>
      <c r="L20" s="260"/>
      <c r="M20" s="239"/>
      <c r="N20" s="259"/>
      <c r="O20" s="236">
        <f>SUM(C20:N20)</f>
        <v>0</v>
      </c>
      <c r="Q20" s="16"/>
      <c r="R20" s="2"/>
      <c r="S20" s="2"/>
    </row>
    <row r="21" spans="1:19" outlineLevel="2" x14ac:dyDescent="0.25">
      <c r="A21" s="258" t="s">
        <v>542</v>
      </c>
      <c r="B21" s="249"/>
      <c r="C21" s="234"/>
      <c r="D21" s="262"/>
      <c r="E21" s="263"/>
      <c r="F21" s="263"/>
      <c r="G21" s="263"/>
      <c r="H21" s="263"/>
      <c r="I21" s="263"/>
      <c r="J21" s="264"/>
      <c r="K21" s="262"/>
      <c r="L21" s="263"/>
      <c r="M21" s="234"/>
      <c r="N21" s="262"/>
      <c r="O21" s="236"/>
      <c r="Q21" s="16"/>
      <c r="R21" s="2"/>
      <c r="S21" s="2"/>
    </row>
    <row r="22" spans="1:19" x14ac:dyDescent="0.25">
      <c r="A22" s="258" t="s">
        <v>89</v>
      </c>
      <c r="B22" s="249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6"/>
      <c r="Q22" s="16"/>
      <c r="R22" s="2"/>
      <c r="S22" s="2"/>
    </row>
    <row r="23" spans="1:19" x14ac:dyDescent="0.25">
      <c r="A23" s="258" t="s">
        <v>90</v>
      </c>
      <c r="B23" s="249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6"/>
      <c r="Q23" s="16"/>
      <c r="R23" s="2"/>
      <c r="S23" s="2"/>
    </row>
    <row r="24" spans="1:19" outlineLevel="2" x14ac:dyDescent="0.25">
      <c r="A24" s="258" t="s">
        <v>92</v>
      </c>
      <c r="B24" s="249"/>
      <c r="C24" s="234"/>
      <c r="D24" s="259"/>
      <c r="E24" s="260"/>
      <c r="F24" s="260"/>
      <c r="G24" s="260"/>
      <c r="H24" s="260"/>
      <c r="I24" s="260"/>
      <c r="J24" s="261"/>
      <c r="K24" s="259"/>
      <c r="L24" s="260"/>
      <c r="M24" s="239"/>
      <c r="N24" s="259"/>
      <c r="O24" s="236">
        <f>SUM(C24:N24)</f>
        <v>0</v>
      </c>
      <c r="Q24" s="16"/>
      <c r="R24" s="2"/>
      <c r="S24" s="2"/>
    </row>
    <row r="25" spans="1:19" outlineLevel="2" x14ac:dyDescent="0.25">
      <c r="A25" s="258" t="s">
        <v>94</v>
      </c>
      <c r="B25" s="249"/>
      <c r="C25" s="234"/>
      <c r="D25" s="259"/>
      <c r="E25" s="260"/>
      <c r="F25" s="260"/>
      <c r="G25" s="260"/>
      <c r="H25" s="260"/>
      <c r="I25" s="260"/>
      <c r="J25" s="260"/>
      <c r="K25" s="259"/>
      <c r="L25" s="260"/>
      <c r="M25" s="239"/>
      <c r="N25" s="239"/>
      <c r="O25" s="236">
        <f>SUM(C25:N25)</f>
        <v>0</v>
      </c>
      <c r="Q25" s="16"/>
      <c r="R25" s="2"/>
      <c r="S25" s="2"/>
    </row>
    <row r="26" spans="1:19" x14ac:dyDescent="0.25">
      <c r="A26" s="248"/>
      <c r="B26" s="249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2"/>
      <c r="Q26" s="16"/>
      <c r="R26" s="2"/>
      <c r="S26" s="2"/>
    </row>
    <row r="27" spans="1:19" s="6" customFormat="1" x14ac:dyDescent="0.25">
      <c r="A27" s="223" t="s">
        <v>96</v>
      </c>
      <c r="B27" s="253"/>
      <c r="C27" s="254">
        <f>SUM(C28,C39,C46,C51,C73,C62,C66)</f>
        <v>0</v>
      </c>
      <c r="D27" s="255">
        <f t="shared" ref="D27:N27" si="4">SUM(D28,D39,D46,D51,D73,D62,D66)</f>
        <v>0</v>
      </c>
      <c r="E27" s="255">
        <f t="shared" si="4"/>
        <v>0</v>
      </c>
      <c r="F27" s="255">
        <f t="shared" si="4"/>
        <v>0</v>
      </c>
      <c r="G27" s="255">
        <f t="shared" si="4"/>
        <v>0</v>
      </c>
      <c r="H27" s="255">
        <f t="shared" si="4"/>
        <v>0</v>
      </c>
      <c r="I27" s="255">
        <f t="shared" si="4"/>
        <v>0</v>
      </c>
      <c r="J27" s="255">
        <f>SUM(J28,J39,J46,J51,J73,J62,J66)</f>
        <v>0</v>
      </c>
      <c r="K27" s="255">
        <f t="shared" si="4"/>
        <v>0</v>
      </c>
      <c r="L27" s="255">
        <f t="shared" si="4"/>
        <v>0</v>
      </c>
      <c r="M27" s="255">
        <f t="shared" si="4"/>
        <v>0</v>
      </c>
      <c r="N27" s="256">
        <f t="shared" si="4"/>
        <v>0</v>
      </c>
      <c r="O27" s="257">
        <f t="shared" ref="O27:O85" si="5">SUM(C27:N27)</f>
        <v>0</v>
      </c>
      <c r="Q27" s="18"/>
      <c r="R27" s="19"/>
      <c r="S27" s="19"/>
    </row>
    <row r="28" spans="1:19" outlineLevel="1" x14ac:dyDescent="0.25">
      <c r="A28" s="265" t="s">
        <v>98</v>
      </c>
      <c r="B28" s="266"/>
      <c r="C28" s="267">
        <f t="shared" ref="C28:N28" si="6">SUM(C29:C38)</f>
        <v>0</v>
      </c>
      <c r="D28" s="268">
        <f t="shared" si="6"/>
        <v>0</v>
      </c>
      <c r="E28" s="268">
        <f t="shared" si="6"/>
        <v>0</v>
      </c>
      <c r="F28" s="268">
        <f t="shared" si="6"/>
        <v>0</v>
      </c>
      <c r="G28" s="268">
        <f t="shared" si="6"/>
        <v>0</v>
      </c>
      <c r="H28" s="268">
        <f t="shared" si="6"/>
        <v>0</v>
      </c>
      <c r="I28" s="268">
        <f t="shared" si="6"/>
        <v>0</v>
      </c>
      <c r="J28" s="268">
        <f t="shared" si="6"/>
        <v>0</v>
      </c>
      <c r="K28" s="268">
        <f t="shared" si="6"/>
        <v>0</v>
      </c>
      <c r="L28" s="268">
        <f t="shared" si="6"/>
        <v>0</v>
      </c>
      <c r="M28" s="268">
        <f>SUM(M29:M38)</f>
        <v>0</v>
      </c>
      <c r="N28" s="269">
        <f t="shared" si="6"/>
        <v>0</v>
      </c>
      <c r="O28" s="270">
        <f t="shared" si="5"/>
        <v>0</v>
      </c>
      <c r="Q28" s="16"/>
      <c r="R28" s="2"/>
      <c r="S28" s="2"/>
    </row>
    <row r="29" spans="1:19" ht="13.2" outlineLevel="2" x14ac:dyDescent="0.25">
      <c r="A29" s="258" t="s">
        <v>98</v>
      </c>
      <c r="B29" s="249"/>
      <c r="C29" s="234"/>
      <c r="D29" s="234"/>
      <c r="E29" s="260"/>
      <c r="F29" s="260"/>
      <c r="G29" s="260"/>
      <c r="H29" s="260"/>
      <c r="I29" s="261"/>
      <c r="J29" s="433"/>
      <c r="K29" s="433"/>
      <c r="L29" s="433"/>
      <c r="M29" s="239"/>
      <c r="N29" s="259"/>
      <c r="O29" s="236">
        <f t="shared" si="5"/>
        <v>0</v>
      </c>
      <c r="Q29" s="16"/>
      <c r="R29" s="2"/>
      <c r="S29" s="2"/>
    </row>
    <row r="30" spans="1:19" outlineLevel="2" x14ac:dyDescent="0.25">
      <c r="A30" s="258" t="s">
        <v>101</v>
      </c>
      <c r="B30" s="249"/>
      <c r="C30" s="234"/>
      <c r="D30" s="234"/>
      <c r="E30" s="260"/>
      <c r="F30" s="260"/>
      <c r="G30" s="260"/>
      <c r="H30" s="260"/>
      <c r="I30" s="261"/>
      <c r="J30" s="259"/>
      <c r="K30" s="260"/>
      <c r="L30" s="260"/>
      <c r="M30" s="239"/>
      <c r="N30" s="259"/>
      <c r="O30" s="236">
        <f t="shared" si="5"/>
        <v>0</v>
      </c>
      <c r="Q30" s="16"/>
      <c r="R30" s="2"/>
      <c r="S30" s="2"/>
    </row>
    <row r="31" spans="1:19" outlineLevel="2" x14ac:dyDescent="0.25">
      <c r="A31" s="258" t="s">
        <v>103</v>
      </c>
      <c r="B31" s="249"/>
      <c r="C31" s="234"/>
      <c r="D31" s="259"/>
      <c r="E31" s="260"/>
      <c r="F31" s="260"/>
      <c r="G31" s="260"/>
      <c r="H31" s="260"/>
      <c r="I31" s="261"/>
      <c r="J31" s="259"/>
      <c r="K31" s="260"/>
      <c r="L31" s="260"/>
      <c r="M31" s="239"/>
      <c r="N31" s="259"/>
      <c r="O31" s="236">
        <f t="shared" si="5"/>
        <v>0</v>
      </c>
      <c r="Q31" s="16"/>
      <c r="R31" s="2"/>
      <c r="S31" s="2"/>
    </row>
    <row r="32" spans="1:19" outlineLevel="2" x14ac:dyDescent="0.25">
      <c r="A32" s="258" t="s">
        <v>105</v>
      </c>
      <c r="B32" s="249"/>
      <c r="D32" s="259"/>
      <c r="E32" s="260"/>
      <c r="F32" s="260"/>
      <c r="G32" s="260"/>
      <c r="H32" s="260"/>
      <c r="I32" s="261"/>
      <c r="J32" s="259"/>
      <c r="K32" s="260"/>
      <c r="L32" s="260"/>
      <c r="M32" s="239"/>
      <c r="N32" s="259"/>
      <c r="O32" s="236">
        <f t="shared" si="5"/>
        <v>0</v>
      </c>
      <c r="Q32" s="16"/>
      <c r="R32" s="2"/>
      <c r="S32" s="2"/>
    </row>
    <row r="33" spans="1:19" outlineLevel="2" x14ac:dyDescent="0.25">
      <c r="A33" s="258" t="s">
        <v>107</v>
      </c>
      <c r="B33" s="249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6">
        <f t="shared" si="5"/>
        <v>0</v>
      </c>
      <c r="Q33" s="16"/>
      <c r="R33" s="2"/>
      <c r="S33" s="2"/>
    </row>
    <row r="34" spans="1:19" outlineLevel="2" x14ac:dyDescent="0.25">
      <c r="A34" s="258" t="s">
        <v>109</v>
      </c>
      <c r="B34" s="249"/>
      <c r="C34" s="234"/>
      <c r="D34" s="259"/>
      <c r="E34" s="260"/>
      <c r="F34" s="260"/>
      <c r="G34" s="260"/>
      <c r="H34" s="260"/>
      <c r="I34" s="261"/>
      <c r="J34" s="259"/>
      <c r="K34" s="260"/>
      <c r="L34" s="260"/>
      <c r="M34" s="239"/>
      <c r="N34" s="259"/>
      <c r="O34" s="236">
        <f t="shared" si="5"/>
        <v>0</v>
      </c>
      <c r="Q34" s="16"/>
      <c r="R34" s="2"/>
      <c r="S34" s="2"/>
    </row>
    <row r="35" spans="1:19" outlineLevel="2" x14ac:dyDescent="0.25">
      <c r="A35" s="258" t="s">
        <v>111</v>
      </c>
      <c r="B35" s="249"/>
      <c r="C35" s="234"/>
      <c r="D35" s="259"/>
      <c r="E35" s="260"/>
      <c r="F35" s="260"/>
      <c r="G35" s="260"/>
      <c r="H35" s="260"/>
      <c r="I35" s="261"/>
      <c r="J35" s="259"/>
      <c r="K35" s="260"/>
      <c r="L35" s="260"/>
      <c r="M35" s="239"/>
      <c r="N35" s="259"/>
      <c r="O35" s="236">
        <f t="shared" si="5"/>
        <v>0</v>
      </c>
      <c r="Q35" s="16"/>
      <c r="R35" s="2"/>
      <c r="S35" s="2"/>
    </row>
    <row r="36" spans="1:19" outlineLevel="2" x14ac:dyDescent="0.25">
      <c r="A36" s="258" t="s">
        <v>113</v>
      </c>
      <c r="B36" s="249"/>
      <c r="C36" s="234"/>
      <c r="D36" s="259"/>
      <c r="E36" s="260"/>
      <c r="F36" s="260"/>
      <c r="G36" s="260"/>
      <c r="H36" s="260"/>
      <c r="I36" s="261"/>
      <c r="J36" s="259"/>
      <c r="K36" s="260"/>
      <c r="L36" s="260"/>
      <c r="M36" s="239"/>
      <c r="N36" s="259"/>
      <c r="O36" s="236">
        <f t="shared" si="5"/>
        <v>0</v>
      </c>
      <c r="Q36" s="16"/>
      <c r="R36" s="2"/>
      <c r="S36" s="2"/>
    </row>
    <row r="37" spans="1:19" outlineLevel="2" x14ac:dyDescent="0.25">
      <c r="A37" s="258" t="s">
        <v>115</v>
      </c>
      <c r="B37" s="249"/>
      <c r="C37" s="234"/>
      <c r="D37" s="259"/>
      <c r="E37" s="260"/>
      <c r="F37" s="260"/>
      <c r="G37" s="260"/>
      <c r="H37" s="260"/>
      <c r="I37" s="261"/>
      <c r="J37" s="259"/>
      <c r="K37" s="260"/>
      <c r="L37" s="260"/>
      <c r="M37" s="239"/>
      <c r="N37" s="259"/>
      <c r="O37" s="236">
        <f t="shared" si="5"/>
        <v>0</v>
      </c>
      <c r="Q37" s="16"/>
      <c r="R37" s="2"/>
      <c r="S37" s="2"/>
    </row>
    <row r="38" spans="1:19" outlineLevel="2" x14ac:dyDescent="0.25">
      <c r="A38" s="258" t="s">
        <v>117</v>
      </c>
      <c r="B38" s="249"/>
      <c r="C38" s="234"/>
      <c r="D38" s="259"/>
      <c r="E38" s="260"/>
      <c r="F38" s="260"/>
      <c r="G38" s="260"/>
      <c r="H38" s="260"/>
      <c r="I38" s="261"/>
      <c r="J38" s="259"/>
      <c r="K38" s="260"/>
      <c r="L38" s="260"/>
      <c r="M38" s="239"/>
      <c r="N38" s="259"/>
      <c r="O38" s="236">
        <f t="shared" si="5"/>
        <v>0</v>
      </c>
      <c r="Q38" s="16"/>
      <c r="R38" s="2"/>
      <c r="S38" s="2"/>
    </row>
    <row r="39" spans="1:19" outlineLevel="1" x14ac:dyDescent="0.25">
      <c r="A39" s="265" t="s">
        <v>119</v>
      </c>
      <c r="B39" s="266"/>
      <c r="C39" s="267">
        <f>C40+C41+C42+C43+C44+C45</f>
        <v>0</v>
      </c>
      <c r="D39" s="267">
        <f t="shared" ref="D39:N39" si="7">D40+D41+D42+D43+D44+D45</f>
        <v>0</v>
      </c>
      <c r="E39" s="267">
        <f t="shared" si="7"/>
        <v>0</v>
      </c>
      <c r="F39" s="267">
        <f t="shared" si="7"/>
        <v>0</v>
      </c>
      <c r="G39" s="267">
        <f t="shared" si="7"/>
        <v>0</v>
      </c>
      <c r="H39" s="267">
        <f t="shared" si="7"/>
        <v>0</v>
      </c>
      <c r="I39" s="267">
        <f t="shared" si="7"/>
        <v>0</v>
      </c>
      <c r="J39" s="267">
        <f t="shared" si="7"/>
        <v>0</v>
      </c>
      <c r="K39" s="267">
        <f t="shared" si="7"/>
        <v>0</v>
      </c>
      <c r="L39" s="267">
        <f t="shared" si="7"/>
        <v>0</v>
      </c>
      <c r="M39" s="267">
        <f>M40+M41+M42+M43+M44+M45</f>
        <v>0</v>
      </c>
      <c r="N39" s="267">
        <f t="shared" si="7"/>
        <v>0</v>
      </c>
      <c r="O39" s="270">
        <f t="shared" si="5"/>
        <v>0</v>
      </c>
      <c r="Q39" s="16"/>
      <c r="R39" s="2"/>
      <c r="S39" s="2"/>
    </row>
    <row r="40" spans="1:19" outlineLevel="2" x14ac:dyDescent="0.25">
      <c r="A40" s="258" t="s">
        <v>121</v>
      </c>
      <c r="B40" s="249"/>
      <c r="C40" s="234"/>
      <c r="D40" s="259"/>
      <c r="E40" s="260"/>
      <c r="F40" s="260"/>
      <c r="G40" s="260"/>
      <c r="H40" s="260"/>
      <c r="I40" s="261"/>
      <c r="J40" s="259"/>
      <c r="K40" s="260"/>
      <c r="L40" s="260"/>
      <c r="M40" s="239"/>
      <c r="N40" s="259"/>
      <c r="O40" s="236">
        <f t="shared" si="5"/>
        <v>0</v>
      </c>
      <c r="Q40" s="16"/>
      <c r="R40" s="2"/>
      <c r="S40" s="2"/>
    </row>
    <row r="41" spans="1:19" outlineLevel="2" x14ac:dyDescent="0.25">
      <c r="A41" s="258" t="s">
        <v>123</v>
      </c>
      <c r="B41" s="249"/>
      <c r="C41" s="234"/>
      <c r="D41" s="259"/>
      <c r="E41" s="260"/>
      <c r="F41" s="260"/>
      <c r="G41" s="260"/>
      <c r="H41" s="260"/>
      <c r="I41" s="261"/>
      <c r="J41" s="259"/>
      <c r="K41" s="260"/>
      <c r="L41" s="260"/>
      <c r="M41" s="239"/>
      <c r="N41" s="259"/>
      <c r="O41" s="236">
        <f t="shared" si="5"/>
        <v>0</v>
      </c>
      <c r="Q41" s="16"/>
      <c r="R41" s="2"/>
      <c r="S41" s="2"/>
    </row>
    <row r="42" spans="1:19" outlineLevel="2" x14ac:dyDescent="0.25">
      <c r="A42" s="258" t="s">
        <v>125</v>
      </c>
      <c r="B42" s="249"/>
      <c r="C42" s="234"/>
      <c r="D42" s="259"/>
      <c r="E42" s="260"/>
      <c r="F42" s="260"/>
      <c r="G42" s="260"/>
      <c r="H42" s="260"/>
      <c r="I42" s="261"/>
      <c r="J42" s="259"/>
      <c r="K42" s="260"/>
      <c r="L42" s="260"/>
      <c r="M42" s="239"/>
      <c r="N42" s="259"/>
      <c r="O42" s="236">
        <f t="shared" si="5"/>
        <v>0</v>
      </c>
      <c r="Q42" s="16"/>
      <c r="R42" s="2"/>
      <c r="S42" s="2"/>
    </row>
    <row r="43" spans="1:19" outlineLevel="2" x14ac:dyDescent="0.25">
      <c r="A43" s="258" t="s">
        <v>127</v>
      </c>
      <c r="B43" s="249"/>
      <c r="C43" s="234"/>
      <c r="D43" s="259"/>
      <c r="E43" s="260"/>
      <c r="F43" s="260"/>
      <c r="G43" s="260"/>
      <c r="H43" s="260"/>
      <c r="I43" s="261"/>
      <c r="J43" s="259"/>
      <c r="K43" s="260"/>
      <c r="L43" s="260"/>
      <c r="M43" s="239"/>
      <c r="N43" s="259"/>
      <c r="O43" s="236">
        <f t="shared" si="5"/>
        <v>0</v>
      </c>
      <c r="Q43" s="16"/>
      <c r="R43" s="2"/>
      <c r="S43" s="2"/>
    </row>
    <row r="44" spans="1:19" outlineLevel="2" x14ac:dyDescent="0.25">
      <c r="A44" s="258" t="s">
        <v>129</v>
      </c>
      <c r="B44" s="249"/>
      <c r="C44" s="234"/>
      <c r="D44" s="259"/>
      <c r="E44" s="260"/>
      <c r="F44" s="260"/>
      <c r="G44" s="260"/>
      <c r="H44" s="260"/>
      <c r="I44" s="261"/>
      <c r="J44" s="259"/>
      <c r="K44" s="260"/>
      <c r="L44" s="260"/>
      <c r="M44" s="239"/>
      <c r="N44" s="259"/>
      <c r="O44" s="236">
        <f t="shared" si="5"/>
        <v>0</v>
      </c>
      <c r="Q44" s="16"/>
      <c r="R44" s="2"/>
      <c r="S44" s="2"/>
    </row>
    <row r="45" spans="1:19" outlineLevel="2" x14ac:dyDescent="0.25">
      <c r="A45" s="258" t="s">
        <v>131</v>
      </c>
      <c r="B45" s="249"/>
      <c r="C45" s="234"/>
      <c r="D45" s="259"/>
      <c r="E45" s="260"/>
      <c r="F45" s="260"/>
      <c r="G45" s="260"/>
      <c r="H45" s="260"/>
      <c r="I45" s="261"/>
      <c r="J45" s="259"/>
      <c r="K45" s="260"/>
      <c r="L45" s="260"/>
      <c r="M45" s="239"/>
      <c r="N45" s="259"/>
      <c r="O45" s="236">
        <f t="shared" si="5"/>
        <v>0</v>
      </c>
      <c r="Q45" s="16"/>
      <c r="R45" s="2"/>
      <c r="S45" s="2"/>
    </row>
    <row r="46" spans="1:19" outlineLevel="1" x14ac:dyDescent="0.25">
      <c r="A46" s="265" t="s">
        <v>133</v>
      </c>
      <c r="B46" s="266"/>
      <c r="C46" s="267">
        <f t="shared" ref="C46:N46" si="8">C47+C48+C49+C50</f>
        <v>0</v>
      </c>
      <c r="D46" s="267">
        <f t="shared" si="8"/>
        <v>0</v>
      </c>
      <c r="E46" s="267">
        <f t="shared" si="8"/>
        <v>0</v>
      </c>
      <c r="F46" s="267">
        <f t="shared" si="8"/>
        <v>0</v>
      </c>
      <c r="G46" s="267">
        <f t="shared" si="8"/>
        <v>0</v>
      </c>
      <c r="H46" s="267">
        <f t="shared" si="8"/>
        <v>0</v>
      </c>
      <c r="I46" s="267">
        <f t="shared" si="8"/>
        <v>0</v>
      </c>
      <c r="J46" s="267">
        <f t="shared" si="8"/>
        <v>0</v>
      </c>
      <c r="K46" s="267">
        <f t="shared" si="8"/>
        <v>0</v>
      </c>
      <c r="L46" s="267">
        <f t="shared" si="8"/>
        <v>0</v>
      </c>
      <c r="M46" s="267">
        <f>M47+M48+M49+M50</f>
        <v>0</v>
      </c>
      <c r="N46" s="267">
        <f t="shared" si="8"/>
        <v>0</v>
      </c>
      <c r="O46" s="270">
        <f t="shared" si="5"/>
        <v>0</v>
      </c>
      <c r="Q46" s="16"/>
      <c r="R46" s="2"/>
      <c r="S46" s="2"/>
    </row>
    <row r="47" spans="1:19" outlineLevel="2" x14ac:dyDescent="0.25">
      <c r="A47" s="258" t="s">
        <v>135</v>
      </c>
      <c r="B47" s="249"/>
      <c r="C47" s="234"/>
      <c r="D47" s="259"/>
      <c r="E47" s="260"/>
      <c r="F47" s="260"/>
      <c r="G47" s="260"/>
      <c r="H47" s="260"/>
      <c r="I47" s="260"/>
      <c r="J47" s="261"/>
      <c r="K47" s="259"/>
      <c r="L47" s="260"/>
      <c r="M47" s="239"/>
      <c r="N47" s="259"/>
      <c r="O47" s="236">
        <f t="shared" si="5"/>
        <v>0</v>
      </c>
      <c r="Q47" s="16"/>
      <c r="R47" s="2"/>
      <c r="S47" s="2"/>
    </row>
    <row r="48" spans="1:19" outlineLevel="2" x14ac:dyDescent="0.25">
      <c r="A48" s="258" t="s">
        <v>137</v>
      </c>
      <c r="B48" s="249"/>
      <c r="C48" s="234"/>
      <c r="D48" s="259"/>
      <c r="E48" s="260"/>
      <c r="F48" s="260"/>
      <c r="G48" s="260"/>
      <c r="H48" s="260"/>
      <c r="I48" s="260"/>
      <c r="J48" s="261"/>
      <c r="K48" s="259"/>
      <c r="L48" s="260"/>
      <c r="M48" s="239"/>
      <c r="N48" s="259"/>
      <c r="O48" s="236">
        <f t="shared" si="5"/>
        <v>0</v>
      </c>
      <c r="Q48" s="16"/>
      <c r="R48" s="2"/>
      <c r="S48" s="2"/>
    </row>
    <row r="49" spans="1:19" outlineLevel="2" x14ac:dyDescent="0.25">
      <c r="A49" s="258" t="s">
        <v>139</v>
      </c>
      <c r="B49" s="249"/>
      <c r="C49" s="234"/>
      <c r="D49" s="259"/>
      <c r="E49" s="260"/>
      <c r="F49" s="260"/>
      <c r="G49" s="260"/>
      <c r="H49" s="260"/>
      <c r="I49" s="260"/>
      <c r="J49" s="261"/>
      <c r="K49" s="259"/>
      <c r="L49" s="260"/>
      <c r="M49" s="239"/>
      <c r="N49" s="259"/>
      <c r="O49" s="236">
        <f t="shared" si="5"/>
        <v>0</v>
      </c>
      <c r="Q49" s="16"/>
      <c r="R49" s="2"/>
      <c r="S49" s="2"/>
    </row>
    <row r="50" spans="1:19" outlineLevel="2" x14ac:dyDescent="0.25">
      <c r="A50" s="258" t="s">
        <v>141</v>
      </c>
      <c r="B50" s="249"/>
      <c r="C50" s="234"/>
      <c r="D50" s="259"/>
      <c r="E50" s="260"/>
      <c r="F50" s="260"/>
      <c r="G50" s="260"/>
      <c r="H50" s="260"/>
      <c r="I50" s="260"/>
      <c r="J50" s="261"/>
      <c r="K50" s="259"/>
      <c r="L50" s="260"/>
      <c r="M50" s="239"/>
      <c r="N50" s="259"/>
      <c r="O50" s="236">
        <f t="shared" si="5"/>
        <v>0</v>
      </c>
      <c r="Q50" s="16"/>
      <c r="R50" s="2"/>
      <c r="S50" s="2"/>
    </row>
    <row r="51" spans="1:19" outlineLevel="1" x14ac:dyDescent="0.25">
      <c r="A51" s="265" t="s">
        <v>143</v>
      </c>
      <c r="B51" s="266"/>
      <c r="C51" s="267">
        <f>C52+C53+C54+C55+C56+C57+C58+C59+C60+C61</f>
        <v>0</v>
      </c>
      <c r="D51" s="267">
        <f t="shared" ref="D51:I51" si="9">D52+D53+D54+D55+D56+D57+D58+D59+D60+D61</f>
        <v>0</v>
      </c>
      <c r="E51" s="267">
        <f t="shared" si="9"/>
        <v>0</v>
      </c>
      <c r="F51" s="267">
        <f t="shared" si="9"/>
        <v>0</v>
      </c>
      <c r="G51" s="267">
        <f t="shared" si="9"/>
        <v>0</v>
      </c>
      <c r="H51" s="267">
        <f t="shared" si="9"/>
        <v>0</v>
      </c>
      <c r="I51" s="267">
        <f t="shared" si="9"/>
        <v>0</v>
      </c>
      <c r="J51" s="267">
        <f>J52+J53+J54+J55+J56+J57+J58+J59+J60+J61</f>
        <v>0</v>
      </c>
      <c r="K51" s="267">
        <f t="shared" ref="K51:N51" si="10">K52+K53+K54+K55+K56+K57+K58+K59+K60+K61</f>
        <v>0</v>
      </c>
      <c r="L51" s="267">
        <f t="shared" si="10"/>
        <v>0</v>
      </c>
      <c r="M51" s="267">
        <f>M52+M53+M54+M55+M56+M57+M58+M59+M60+M61</f>
        <v>0</v>
      </c>
      <c r="N51" s="267">
        <f t="shared" si="10"/>
        <v>0</v>
      </c>
      <c r="O51" s="270">
        <f t="shared" si="5"/>
        <v>0</v>
      </c>
      <c r="Q51" s="16"/>
      <c r="R51" s="2"/>
      <c r="S51" s="2"/>
    </row>
    <row r="52" spans="1:19" outlineLevel="2" x14ac:dyDescent="0.25">
      <c r="A52" s="258" t="s">
        <v>145</v>
      </c>
      <c r="B52" s="249"/>
      <c r="C52" s="234"/>
      <c r="D52" s="259"/>
      <c r="E52" s="260"/>
      <c r="F52" s="260"/>
      <c r="G52" s="260"/>
      <c r="H52" s="260"/>
      <c r="I52" s="260"/>
      <c r="J52" s="261"/>
      <c r="K52" s="259"/>
      <c r="L52" s="260"/>
      <c r="M52" s="239"/>
      <c r="N52" s="259"/>
      <c r="O52" s="236">
        <f t="shared" si="5"/>
        <v>0</v>
      </c>
      <c r="Q52" s="16"/>
      <c r="R52" s="2"/>
      <c r="S52" s="2"/>
    </row>
    <row r="53" spans="1:19" outlineLevel="2" x14ac:dyDescent="0.25">
      <c r="A53" s="258" t="s">
        <v>147</v>
      </c>
      <c r="B53" s="249"/>
      <c r="C53" s="234"/>
      <c r="D53" s="259"/>
      <c r="E53" s="260"/>
      <c r="F53" s="260"/>
      <c r="G53" s="260"/>
      <c r="H53" s="260"/>
      <c r="I53" s="260"/>
      <c r="J53" s="261"/>
      <c r="K53" s="259"/>
      <c r="L53" s="260"/>
      <c r="M53" s="239"/>
      <c r="N53" s="259"/>
      <c r="O53" s="236">
        <f t="shared" si="5"/>
        <v>0</v>
      </c>
      <c r="Q53" s="16"/>
      <c r="R53" s="2"/>
      <c r="S53" s="2"/>
    </row>
    <row r="54" spans="1:19" outlineLevel="2" x14ac:dyDescent="0.25">
      <c r="A54" s="258" t="s">
        <v>149</v>
      </c>
      <c r="B54" s="249"/>
      <c r="C54" s="234"/>
      <c r="D54" s="259"/>
      <c r="E54" s="260"/>
      <c r="F54" s="260"/>
      <c r="G54" s="260"/>
      <c r="H54" s="260"/>
      <c r="I54" s="260"/>
      <c r="J54" s="261"/>
      <c r="K54" s="259"/>
      <c r="L54" s="260"/>
      <c r="M54" s="239"/>
      <c r="N54" s="259"/>
      <c r="O54" s="236">
        <f t="shared" si="5"/>
        <v>0</v>
      </c>
      <c r="Q54" s="16"/>
      <c r="R54" s="2"/>
      <c r="S54" s="2"/>
    </row>
    <row r="55" spans="1:19" outlineLevel="2" x14ac:dyDescent="0.25">
      <c r="A55" s="258" t="s">
        <v>151</v>
      </c>
      <c r="B55" s="249"/>
      <c r="C55" s="234"/>
      <c r="D55" s="259"/>
      <c r="E55" s="260"/>
      <c r="F55" s="260"/>
      <c r="G55" s="260"/>
      <c r="H55" s="260"/>
      <c r="I55" s="260"/>
      <c r="J55" s="261"/>
      <c r="K55" s="259"/>
      <c r="L55" s="260"/>
      <c r="M55" s="239"/>
      <c r="N55" s="259"/>
      <c r="O55" s="236">
        <f t="shared" si="5"/>
        <v>0</v>
      </c>
      <c r="Q55" s="16"/>
      <c r="R55" s="2"/>
      <c r="S55" s="2"/>
    </row>
    <row r="56" spans="1:19" outlineLevel="2" x14ac:dyDescent="0.25">
      <c r="A56" s="258" t="s">
        <v>153</v>
      </c>
      <c r="B56" s="249"/>
      <c r="C56" s="404"/>
      <c r="D56" s="260"/>
      <c r="E56" s="260"/>
      <c r="F56" s="260"/>
      <c r="G56" s="260"/>
      <c r="H56" s="260"/>
      <c r="I56" s="260"/>
      <c r="J56" s="261"/>
      <c r="K56" s="260"/>
      <c r="L56" s="260"/>
      <c r="M56" s="323"/>
      <c r="N56" s="259"/>
      <c r="O56" s="236">
        <f>SUM(C56:N56)</f>
        <v>0</v>
      </c>
      <c r="Q56" s="16"/>
      <c r="R56" s="2"/>
      <c r="S56" s="2"/>
    </row>
    <row r="57" spans="1:19" outlineLevel="2" x14ac:dyDescent="0.25">
      <c r="A57" s="258" t="s">
        <v>155</v>
      </c>
      <c r="B57" s="249"/>
      <c r="C57" s="404"/>
      <c r="D57" s="260"/>
      <c r="E57" s="260"/>
      <c r="F57" s="260"/>
      <c r="G57" s="260"/>
      <c r="H57" s="260"/>
      <c r="I57" s="260"/>
      <c r="J57" s="261"/>
      <c r="K57" s="260"/>
      <c r="L57" s="260"/>
      <c r="M57" s="323"/>
      <c r="N57" s="259"/>
      <c r="O57" s="236">
        <f t="shared" si="5"/>
        <v>0</v>
      </c>
      <c r="Q57" s="16"/>
      <c r="R57" s="2"/>
      <c r="S57" s="2"/>
    </row>
    <row r="58" spans="1:19" outlineLevel="2" x14ac:dyDescent="0.25">
      <c r="A58" s="258" t="s">
        <v>157</v>
      </c>
      <c r="B58" s="249"/>
      <c r="C58" s="404"/>
      <c r="D58" s="260"/>
      <c r="E58" s="260"/>
      <c r="F58" s="260"/>
      <c r="G58" s="260"/>
      <c r="H58" s="260"/>
      <c r="I58" s="260"/>
      <c r="J58" s="261"/>
      <c r="K58" s="260"/>
      <c r="L58" s="260"/>
      <c r="M58" s="323"/>
      <c r="N58" s="259"/>
      <c r="O58" s="236">
        <f t="shared" si="5"/>
        <v>0</v>
      </c>
      <c r="Q58" s="16"/>
      <c r="R58" s="2"/>
      <c r="S58" s="2"/>
    </row>
    <row r="59" spans="1:19" outlineLevel="2" x14ac:dyDescent="0.25">
      <c r="A59" s="258" t="s">
        <v>159</v>
      </c>
      <c r="B59" s="249"/>
      <c r="C59" s="404"/>
      <c r="D59" s="260"/>
      <c r="E59" s="260"/>
      <c r="F59" s="260"/>
      <c r="G59" s="260"/>
      <c r="H59" s="260"/>
      <c r="I59" s="260"/>
      <c r="J59" s="261"/>
      <c r="K59" s="260"/>
      <c r="L59" s="260"/>
      <c r="M59" s="323"/>
      <c r="N59" s="259"/>
      <c r="O59" s="236">
        <f t="shared" si="5"/>
        <v>0</v>
      </c>
      <c r="Q59" s="16"/>
      <c r="R59" s="2"/>
      <c r="S59" s="2"/>
    </row>
    <row r="60" spans="1:19" outlineLevel="2" x14ac:dyDescent="0.25">
      <c r="A60" s="258" t="s">
        <v>161</v>
      </c>
      <c r="B60" s="249"/>
      <c r="C60" s="404"/>
      <c r="D60" s="260"/>
      <c r="E60" s="260"/>
      <c r="F60" s="260"/>
      <c r="G60" s="260"/>
      <c r="H60" s="260"/>
      <c r="I60" s="260"/>
      <c r="J60" s="261"/>
      <c r="K60" s="260"/>
      <c r="L60" s="260"/>
      <c r="M60" s="323"/>
      <c r="N60" s="259"/>
      <c r="O60" s="236">
        <f t="shared" si="5"/>
        <v>0</v>
      </c>
      <c r="Q60" s="16"/>
      <c r="R60" s="2"/>
      <c r="S60" s="2"/>
    </row>
    <row r="61" spans="1:19" outlineLevel="2" x14ac:dyDescent="0.25">
      <c r="A61" s="258" t="s">
        <v>163</v>
      </c>
      <c r="B61" s="249"/>
      <c r="C61" s="404"/>
      <c r="D61" s="260"/>
      <c r="E61" s="260"/>
      <c r="F61" s="260"/>
      <c r="G61" s="260"/>
      <c r="H61" s="260"/>
      <c r="I61" s="260"/>
      <c r="J61" s="261"/>
      <c r="K61" s="260"/>
      <c r="L61" s="260"/>
      <c r="M61" s="323"/>
      <c r="N61" s="259"/>
      <c r="O61" s="236">
        <f t="shared" si="5"/>
        <v>0</v>
      </c>
      <c r="Q61" s="16"/>
      <c r="R61" s="2"/>
      <c r="S61" s="2"/>
    </row>
    <row r="62" spans="1:19" outlineLevel="1" x14ac:dyDescent="0.25">
      <c r="A62" s="265" t="s">
        <v>543</v>
      </c>
      <c r="B62" s="266"/>
      <c r="C62" s="267">
        <f t="shared" ref="C62:N62" si="11">SUM(C63:C65)</f>
        <v>0</v>
      </c>
      <c r="D62" s="268">
        <f t="shared" si="11"/>
        <v>0</v>
      </c>
      <c r="E62" s="268">
        <f t="shared" si="11"/>
        <v>0</v>
      </c>
      <c r="F62" s="268">
        <f t="shared" si="11"/>
        <v>0</v>
      </c>
      <c r="G62" s="268">
        <f t="shared" si="11"/>
        <v>0</v>
      </c>
      <c r="H62" s="268">
        <f t="shared" si="11"/>
        <v>0</v>
      </c>
      <c r="I62" s="268">
        <f t="shared" si="11"/>
        <v>0</v>
      </c>
      <c r="J62" s="268">
        <f t="shared" si="11"/>
        <v>0</v>
      </c>
      <c r="K62" s="268">
        <f t="shared" si="11"/>
        <v>0</v>
      </c>
      <c r="L62" s="268">
        <f t="shared" si="11"/>
        <v>0</v>
      </c>
      <c r="M62" s="268">
        <f>SUM(M63:M65)</f>
        <v>0</v>
      </c>
      <c r="N62" s="269">
        <f t="shared" si="11"/>
        <v>0</v>
      </c>
      <c r="O62" s="270">
        <f>SUM(C62:N62)</f>
        <v>0</v>
      </c>
      <c r="Q62" s="16"/>
      <c r="R62" s="2"/>
      <c r="S62" s="2"/>
    </row>
    <row r="63" spans="1:19" outlineLevel="2" x14ac:dyDescent="0.25">
      <c r="A63" s="258" t="s">
        <v>167</v>
      </c>
      <c r="B63" s="249"/>
      <c r="C63" s="271"/>
      <c r="D63" s="259"/>
      <c r="E63" s="260"/>
      <c r="F63" s="260"/>
      <c r="G63" s="260"/>
      <c r="H63" s="260"/>
      <c r="I63" s="260"/>
      <c r="J63" s="260"/>
      <c r="K63" s="259"/>
      <c r="L63" s="259"/>
      <c r="M63" s="259"/>
      <c r="N63" s="259"/>
      <c r="O63" s="236">
        <f>SUM(C63:N63)</f>
        <v>0</v>
      </c>
      <c r="Q63" s="16"/>
      <c r="R63" s="2"/>
      <c r="S63" s="2"/>
    </row>
    <row r="64" spans="1:19" outlineLevel="2" x14ac:dyDescent="0.25">
      <c r="A64" s="258" t="s">
        <v>165</v>
      </c>
      <c r="B64" s="249"/>
      <c r="C64" s="271"/>
      <c r="D64" s="259"/>
      <c r="E64" s="260"/>
      <c r="F64" s="260"/>
      <c r="G64" s="260"/>
      <c r="H64" s="260"/>
      <c r="I64" s="260"/>
      <c r="J64" s="260"/>
      <c r="K64" s="259"/>
      <c r="L64" s="259"/>
      <c r="M64" s="259"/>
      <c r="N64" s="259"/>
      <c r="O64" s="236"/>
      <c r="Q64" s="16"/>
      <c r="R64" s="2"/>
      <c r="S64" s="2"/>
    </row>
    <row r="65" spans="1:19" outlineLevel="2" x14ac:dyDescent="0.25">
      <c r="A65" s="258" t="s">
        <v>169</v>
      </c>
      <c r="B65" s="249"/>
      <c r="C65" s="234"/>
      <c r="D65" s="259"/>
      <c r="E65" s="260"/>
      <c r="F65" s="260"/>
      <c r="G65" s="260"/>
      <c r="H65" s="260"/>
      <c r="I65" s="260"/>
      <c r="J65" s="261"/>
      <c r="K65" s="259"/>
      <c r="L65" s="260"/>
      <c r="M65" s="239"/>
      <c r="N65" s="259"/>
      <c r="O65" s="236">
        <f t="shared" ref="O65:O71" si="12">SUM(C65:N65)</f>
        <v>0</v>
      </c>
      <c r="Q65" s="16"/>
      <c r="R65" s="2"/>
      <c r="S65" s="2"/>
    </row>
    <row r="66" spans="1:19" outlineLevel="1" x14ac:dyDescent="0.25">
      <c r="A66" s="265" t="s">
        <v>171</v>
      </c>
      <c r="B66" s="266"/>
      <c r="C66" s="267">
        <f t="shared" ref="C66:N66" si="13">SUM(C67:C72)</f>
        <v>0</v>
      </c>
      <c r="D66" s="268">
        <f t="shared" si="13"/>
        <v>0</v>
      </c>
      <c r="E66" s="268">
        <f t="shared" si="13"/>
        <v>0</v>
      </c>
      <c r="F66" s="268">
        <f t="shared" si="13"/>
        <v>0</v>
      </c>
      <c r="G66" s="268">
        <f>SUM(G67:G72)</f>
        <v>0</v>
      </c>
      <c r="H66" s="268">
        <f t="shared" si="13"/>
        <v>0</v>
      </c>
      <c r="I66" s="268">
        <f t="shared" si="13"/>
        <v>0</v>
      </c>
      <c r="J66" s="268">
        <f t="shared" si="13"/>
        <v>0</v>
      </c>
      <c r="K66" s="268">
        <f>SUM(K67:K72)</f>
        <v>0</v>
      </c>
      <c r="L66" s="268">
        <f t="shared" si="13"/>
        <v>0</v>
      </c>
      <c r="M66" s="268">
        <f t="shared" si="13"/>
        <v>0</v>
      </c>
      <c r="N66" s="269">
        <f t="shared" si="13"/>
        <v>0</v>
      </c>
      <c r="O66" s="270">
        <f t="shared" si="12"/>
        <v>0</v>
      </c>
      <c r="Q66" s="16"/>
      <c r="R66" s="2"/>
      <c r="S66" s="2"/>
    </row>
    <row r="67" spans="1:19" outlineLevel="2" x14ac:dyDescent="0.25">
      <c r="A67" s="258" t="s">
        <v>173</v>
      </c>
      <c r="B67" s="249"/>
      <c r="C67" s="234"/>
      <c r="D67" s="259"/>
      <c r="E67" s="260"/>
      <c r="F67" s="260"/>
      <c r="G67" s="260"/>
      <c r="H67" s="260"/>
      <c r="I67" s="260"/>
      <c r="J67" s="261"/>
      <c r="K67" s="259"/>
      <c r="L67" s="260"/>
      <c r="M67" s="239"/>
      <c r="N67" s="259"/>
      <c r="O67" s="270">
        <f t="shared" si="12"/>
        <v>0</v>
      </c>
      <c r="Q67" s="16"/>
      <c r="R67" s="2"/>
      <c r="S67" s="2"/>
    </row>
    <row r="68" spans="1:19" outlineLevel="2" x14ac:dyDescent="0.25">
      <c r="A68" s="258" t="s">
        <v>174</v>
      </c>
      <c r="B68" s="249"/>
      <c r="C68" s="234"/>
      <c r="D68" s="262"/>
      <c r="E68" s="263"/>
      <c r="F68" s="263"/>
      <c r="G68" s="263"/>
      <c r="H68" s="262"/>
      <c r="I68" s="263"/>
      <c r="J68" s="272"/>
      <c r="K68" s="262"/>
      <c r="L68" s="263"/>
      <c r="M68" s="234"/>
      <c r="N68" s="259"/>
      <c r="O68" s="270">
        <f t="shared" si="12"/>
        <v>0</v>
      </c>
      <c r="Q68" s="16"/>
      <c r="R68" s="2"/>
      <c r="S68" s="2"/>
    </row>
    <row r="69" spans="1:19" outlineLevel="2" x14ac:dyDescent="0.25">
      <c r="A69" s="258" t="s">
        <v>175</v>
      </c>
      <c r="B69" s="249"/>
      <c r="C69" s="234"/>
      <c r="D69" s="234"/>
      <c r="E69" s="263"/>
      <c r="F69" s="263"/>
      <c r="G69" s="263"/>
      <c r="H69" s="263"/>
      <c r="I69" s="263"/>
      <c r="J69" s="272"/>
      <c r="K69" s="262"/>
      <c r="L69" s="263"/>
      <c r="M69" s="234"/>
      <c r="N69" s="259"/>
      <c r="O69" s="270">
        <f t="shared" si="12"/>
        <v>0</v>
      </c>
      <c r="Q69" s="16"/>
      <c r="R69" s="2"/>
      <c r="S69" s="2"/>
    </row>
    <row r="70" spans="1:19" outlineLevel="2" x14ac:dyDescent="0.25">
      <c r="A70" s="258" t="s">
        <v>176</v>
      </c>
      <c r="B70" s="249"/>
      <c r="C70" s="234"/>
      <c r="D70" s="234"/>
      <c r="E70" s="263"/>
      <c r="F70" s="263"/>
      <c r="G70" s="263"/>
      <c r="H70" s="263"/>
      <c r="I70" s="263"/>
      <c r="J70" s="264"/>
      <c r="K70" s="262"/>
      <c r="L70" s="263"/>
      <c r="M70" s="234"/>
      <c r="N70" s="259"/>
      <c r="O70" s="270">
        <f t="shared" si="12"/>
        <v>0</v>
      </c>
      <c r="Q70" s="16"/>
      <c r="R70" s="2"/>
      <c r="S70" s="2"/>
    </row>
    <row r="71" spans="1:19" outlineLevel="2" x14ac:dyDescent="0.25">
      <c r="A71" s="258" t="s">
        <v>177</v>
      </c>
      <c r="B71" s="249"/>
      <c r="C71" s="271"/>
      <c r="D71" s="259"/>
      <c r="E71" s="260"/>
      <c r="F71" s="260"/>
      <c r="G71" s="263"/>
      <c r="H71" s="263"/>
      <c r="I71" s="263"/>
      <c r="J71" s="264"/>
      <c r="K71" s="262"/>
      <c r="L71" s="263"/>
      <c r="M71" s="234"/>
      <c r="N71" s="259"/>
      <c r="O71" s="270">
        <f t="shared" si="12"/>
        <v>0</v>
      </c>
      <c r="Q71" s="16"/>
      <c r="R71" s="2"/>
      <c r="S71" s="2"/>
    </row>
    <row r="72" spans="1:19" outlineLevel="2" x14ac:dyDescent="0.25">
      <c r="A72" s="258" t="s">
        <v>179</v>
      </c>
      <c r="B72" s="249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59"/>
      <c r="O72" s="270">
        <f>SUM(C72:N72)</f>
        <v>0</v>
      </c>
      <c r="Q72" s="16"/>
      <c r="R72" s="2"/>
      <c r="S72" s="2"/>
    </row>
    <row r="73" spans="1:19" outlineLevel="1" x14ac:dyDescent="0.25">
      <c r="A73" s="265" t="s">
        <v>181</v>
      </c>
      <c r="B73" s="266"/>
      <c r="C73" s="267">
        <f t="shared" ref="C73:N73" si="14">SUM(C74:C81)</f>
        <v>0</v>
      </c>
      <c r="D73" s="268">
        <f t="shared" si="14"/>
        <v>0</v>
      </c>
      <c r="E73" s="268">
        <f t="shared" si="14"/>
        <v>0</v>
      </c>
      <c r="F73" s="268">
        <f t="shared" si="14"/>
        <v>0</v>
      </c>
      <c r="G73" s="268">
        <f t="shared" si="14"/>
        <v>0</v>
      </c>
      <c r="H73" s="268">
        <f t="shared" si="14"/>
        <v>0</v>
      </c>
      <c r="I73" s="268">
        <f t="shared" si="14"/>
        <v>0</v>
      </c>
      <c r="J73" s="268">
        <f t="shared" si="14"/>
        <v>0</v>
      </c>
      <c r="K73" s="268">
        <f t="shared" si="14"/>
        <v>0</v>
      </c>
      <c r="L73" s="268">
        <f t="shared" si="14"/>
        <v>0</v>
      </c>
      <c r="M73" s="268">
        <f t="shared" si="14"/>
        <v>0</v>
      </c>
      <c r="N73" s="269">
        <f t="shared" si="14"/>
        <v>0</v>
      </c>
      <c r="O73" s="270">
        <f t="shared" si="5"/>
        <v>0</v>
      </c>
      <c r="Q73" s="16"/>
      <c r="R73" s="2"/>
      <c r="S73" s="2"/>
    </row>
    <row r="74" spans="1:19" outlineLevel="2" x14ac:dyDescent="0.25">
      <c r="A74" s="258" t="s">
        <v>183</v>
      </c>
      <c r="B74" s="249"/>
      <c r="C74" s="234"/>
      <c r="D74" s="259"/>
      <c r="E74" s="260"/>
      <c r="F74" s="260"/>
      <c r="G74" s="260"/>
      <c r="H74" s="260"/>
      <c r="I74" s="260"/>
      <c r="J74" s="261"/>
      <c r="K74" s="259"/>
      <c r="L74" s="260"/>
      <c r="M74" s="239"/>
      <c r="N74" s="259"/>
      <c r="O74" s="236">
        <f t="shared" si="5"/>
        <v>0</v>
      </c>
      <c r="Q74" s="16"/>
      <c r="R74" s="2"/>
      <c r="S74" s="2"/>
    </row>
    <row r="75" spans="1:19" outlineLevel="2" x14ac:dyDescent="0.25">
      <c r="A75" s="258" t="s">
        <v>185</v>
      </c>
      <c r="B75" s="249"/>
      <c r="C75" s="234"/>
      <c r="D75" s="259"/>
      <c r="E75" s="260"/>
      <c r="F75" s="260"/>
      <c r="G75" s="260"/>
      <c r="H75" s="260"/>
      <c r="I75" s="260"/>
      <c r="J75" s="261"/>
      <c r="K75" s="259"/>
      <c r="L75" s="260"/>
      <c r="M75" s="239"/>
      <c r="N75" s="259"/>
      <c r="O75" s="236">
        <f t="shared" si="5"/>
        <v>0</v>
      </c>
      <c r="Q75" s="16"/>
      <c r="R75" s="2"/>
      <c r="S75" s="2"/>
    </row>
    <row r="76" spans="1:19" outlineLevel="2" x14ac:dyDescent="0.25">
      <c r="A76" s="258" t="s">
        <v>187</v>
      </c>
      <c r="B76" s="249"/>
      <c r="C76" s="234"/>
      <c r="D76" s="259"/>
      <c r="E76" s="260"/>
      <c r="F76" s="260"/>
      <c r="G76" s="260"/>
      <c r="H76" s="260"/>
      <c r="I76" s="260"/>
      <c r="J76" s="261"/>
      <c r="K76" s="259"/>
      <c r="L76" s="260"/>
      <c r="M76" s="239"/>
      <c r="N76" s="259"/>
      <c r="O76" s="236">
        <f t="shared" si="5"/>
        <v>0</v>
      </c>
      <c r="Q76" s="16"/>
      <c r="R76" s="2"/>
      <c r="S76" s="2"/>
    </row>
    <row r="77" spans="1:19" outlineLevel="2" x14ac:dyDescent="0.25">
      <c r="A77" s="258" t="s">
        <v>189</v>
      </c>
      <c r="B77" s="249"/>
      <c r="C77" s="234"/>
      <c r="D77" s="259"/>
      <c r="E77" s="260"/>
      <c r="F77" s="260"/>
      <c r="G77" s="260"/>
      <c r="H77" s="260"/>
      <c r="I77" s="260"/>
      <c r="J77" s="261"/>
      <c r="K77" s="259"/>
      <c r="L77" s="260"/>
      <c r="M77" s="239"/>
      <c r="N77" s="259"/>
      <c r="O77" s="236">
        <f t="shared" si="5"/>
        <v>0</v>
      </c>
      <c r="Q77" s="16"/>
      <c r="R77" s="2"/>
      <c r="S77" s="2"/>
    </row>
    <row r="78" spans="1:19" outlineLevel="2" x14ac:dyDescent="0.25">
      <c r="A78" s="258" t="s">
        <v>191</v>
      </c>
      <c r="B78" s="249"/>
      <c r="C78" s="234"/>
      <c r="D78" s="259"/>
      <c r="E78" s="260"/>
      <c r="F78" s="260"/>
      <c r="G78" s="260"/>
      <c r="H78" s="260"/>
      <c r="I78" s="260"/>
      <c r="J78" s="261"/>
      <c r="K78" s="259"/>
      <c r="L78" s="260"/>
      <c r="M78" s="239"/>
      <c r="N78" s="259"/>
      <c r="O78" s="236">
        <f t="shared" si="5"/>
        <v>0</v>
      </c>
      <c r="Q78" s="16"/>
      <c r="R78" s="2"/>
      <c r="S78" s="2"/>
    </row>
    <row r="79" spans="1:19" outlineLevel="2" x14ac:dyDescent="0.25">
      <c r="A79" s="258" t="s">
        <v>193</v>
      </c>
      <c r="B79" s="249"/>
      <c r="C79" s="234"/>
      <c r="D79" s="259"/>
      <c r="E79" s="260"/>
      <c r="F79" s="260"/>
      <c r="G79" s="260"/>
      <c r="H79" s="260"/>
      <c r="I79" s="260"/>
      <c r="J79" s="261"/>
      <c r="K79" s="259"/>
      <c r="L79" s="260"/>
      <c r="M79" s="239"/>
      <c r="N79" s="259"/>
      <c r="O79" s="236">
        <f t="shared" si="5"/>
        <v>0</v>
      </c>
      <c r="Q79" s="16"/>
      <c r="R79" s="2"/>
      <c r="S79" s="2"/>
    </row>
    <row r="80" spans="1:19" outlineLevel="2" x14ac:dyDescent="0.25">
      <c r="A80" s="258" t="s">
        <v>195</v>
      </c>
      <c r="B80" s="249"/>
      <c r="C80" s="234"/>
      <c r="D80" s="259"/>
      <c r="E80" s="260"/>
      <c r="F80" s="260"/>
      <c r="G80" s="260"/>
      <c r="H80" s="260"/>
      <c r="I80" s="260"/>
      <c r="J80" s="261"/>
      <c r="K80" s="259"/>
      <c r="L80" s="260"/>
      <c r="M80" s="239"/>
      <c r="N80" s="259"/>
      <c r="O80" s="236">
        <f t="shared" si="5"/>
        <v>0</v>
      </c>
      <c r="Q80" s="16"/>
      <c r="R80" s="2"/>
      <c r="S80" s="2"/>
    </row>
    <row r="81" spans="1:19" outlineLevel="2" x14ac:dyDescent="0.25">
      <c r="A81" s="258" t="s">
        <v>197</v>
      </c>
      <c r="B81" s="249"/>
      <c r="C81" s="234"/>
      <c r="D81" s="259"/>
      <c r="E81" s="260"/>
      <c r="F81" s="260"/>
      <c r="G81" s="260"/>
      <c r="H81" s="260"/>
      <c r="I81" s="260"/>
      <c r="J81" s="261"/>
      <c r="K81" s="259"/>
      <c r="L81" s="260"/>
      <c r="M81" s="239"/>
      <c r="N81" s="259"/>
      <c r="O81" s="236">
        <f t="shared" si="5"/>
        <v>0</v>
      </c>
      <c r="Q81" s="16"/>
      <c r="R81" s="2"/>
      <c r="S81" s="2"/>
    </row>
    <row r="82" spans="1:19" s="6" customFormat="1" x14ac:dyDescent="0.25">
      <c r="A82" s="223" t="s">
        <v>199</v>
      </c>
      <c r="B82" s="253"/>
      <c r="C82" s="254">
        <f>SUM(C83,C88,C92,C94,C86)</f>
        <v>0</v>
      </c>
      <c r="D82" s="254">
        <f t="shared" ref="D82:N82" si="15">SUM(D83,D88,D92,D94,D86)</f>
        <v>0</v>
      </c>
      <c r="E82" s="254">
        <f t="shared" si="15"/>
        <v>0</v>
      </c>
      <c r="F82" s="254">
        <f t="shared" si="15"/>
        <v>0</v>
      </c>
      <c r="G82" s="255">
        <f t="shared" si="15"/>
        <v>0</v>
      </c>
      <c r="H82" s="255">
        <f t="shared" si="15"/>
        <v>0</v>
      </c>
      <c r="I82" s="255">
        <f t="shared" si="15"/>
        <v>0</v>
      </c>
      <c r="J82" s="255">
        <f t="shared" si="15"/>
        <v>0</v>
      </c>
      <c r="K82" s="255">
        <f t="shared" si="15"/>
        <v>0</v>
      </c>
      <c r="L82" s="255">
        <f t="shared" si="15"/>
        <v>0</v>
      </c>
      <c r="M82" s="255">
        <f t="shared" si="15"/>
        <v>0</v>
      </c>
      <c r="N82" s="256">
        <f t="shared" si="15"/>
        <v>0</v>
      </c>
      <c r="O82" s="257">
        <f t="shared" si="5"/>
        <v>0</v>
      </c>
      <c r="Q82" s="18"/>
      <c r="R82" s="19"/>
      <c r="S82" s="19"/>
    </row>
    <row r="83" spans="1:19" outlineLevel="1" x14ac:dyDescent="0.25">
      <c r="A83" s="265" t="s">
        <v>201</v>
      </c>
      <c r="B83" s="266"/>
      <c r="C83" s="267">
        <f t="shared" ref="C83:N83" si="16">SUM(C84:C85)</f>
        <v>0</v>
      </c>
      <c r="D83" s="268">
        <f t="shared" si="16"/>
        <v>0</v>
      </c>
      <c r="E83" s="268">
        <f t="shared" si="16"/>
        <v>0</v>
      </c>
      <c r="F83" s="268">
        <f t="shared" si="16"/>
        <v>0</v>
      </c>
      <c r="G83" s="268">
        <f t="shared" si="16"/>
        <v>0</v>
      </c>
      <c r="H83" s="268">
        <f t="shared" si="16"/>
        <v>0</v>
      </c>
      <c r="I83" s="268">
        <f t="shared" si="16"/>
        <v>0</v>
      </c>
      <c r="J83" s="268">
        <f t="shared" si="16"/>
        <v>0</v>
      </c>
      <c r="K83" s="268">
        <f t="shared" si="16"/>
        <v>0</v>
      </c>
      <c r="L83" s="268">
        <f t="shared" si="16"/>
        <v>0</v>
      </c>
      <c r="M83" s="268">
        <f t="shared" si="16"/>
        <v>0</v>
      </c>
      <c r="N83" s="269">
        <f t="shared" si="16"/>
        <v>0</v>
      </c>
      <c r="O83" s="270">
        <f t="shared" si="5"/>
        <v>0</v>
      </c>
      <c r="Q83" s="16"/>
      <c r="R83" s="2"/>
      <c r="S83" s="2"/>
    </row>
    <row r="84" spans="1:19" outlineLevel="2" x14ac:dyDescent="0.25">
      <c r="A84" s="258" t="s">
        <v>203</v>
      </c>
      <c r="B84" s="249"/>
      <c r="C84" s="234"/>
      <c r="D84" s="259"/>
      <c r="E84" s="260"/>
      <c r="F84" s="260"/>
      <c r="G84" s="260"/>
      <c r="H84" s="260"/>
      <c r="I84" s="260"/>
      <c r="J84" s="261"/>
      <c r="K84" s="259"/>
      <c r="L84" s="260"/>
      <c r="M84" s="239"/>
      <c r="N84" s="259"/>
      <c r="O84" s="270">
        <f t="shared" si="5"/>
        <v>0</v>
      </c>
      <c r="Q84" s="16"/>
      <c r="R84" s="2"/>
      <c r="S84" s="2"/>
    </row>
    <row r="85" spans="1:19" outlineLevel="2" x14ac:dyDescent="0.25">
      <c r="A85" s="258" t="s">
        <v>205</v>
      </c>
      <c r="B85" s="249"/>
      <c r="C85" s="234"/>
      <c r="D85" s="259"/>
      <c r="E85" s="260"/>
      <c r="F85" s="260"/>
      <c r="G85" s="260"/>
      <c r="H85" s="260"/>
      <c r="I85" s="260"/>
      <c r="J85" s="261"/>
      <c r="K85" s="259"/>
      <c r="L85" s="260"/>
      <c r="M85" s="239"/>
      <c r="N85" s="259"/>
      <c r="O85" s="270">
        <f t="shared" si="5"/>
        <v>0</v>
      </c>
      <c r="Q85" s="16"/>
      <c r="R85" s="2"/>
      <c r="S85" s="2"/>
    </row>
    <row r="86" spans="1:19" outlineLevel="1" x14ac:dyDescent="0.25">
      <c r="A86" s="265" t="s">
        <v>206</v>
      </c>
      <c r="B86" s="266"/>
      <c r="C86" s="267">
        <f t="shared" ref="C86:N86" si="17">SUM(C87:C87)</f>
        <v>0</v>
      </c>
      <c r="D86" s="267">
        <f t="shared" si="17"/>
        <v>0</v>
      </c>
      <c r="E86" s="267">
        <f t="shared" si="17"/>
        <v>0</v>
      </c>
      <c r="F86" s="267">
        <f t="shared" si="17"/>
        <v>0</v>
      </c>
      <c r="G86" s="267">
        <f t="shared" si="17"/>
        <v>0</v>
      </c>
      <c r="H86" s="267">
        <f t="shared" si="17"/>
        <v>0</v>
      </c>
      <c r="I86" s="267">
        <f t="shared" si="17"/>
        <v>0</v>
      </c>
      <c r="J86" s="267">
        <f t="shared" si="17"/>
        <v>0</v>
      </c>
      <c r="K86" s="267">
        <f t="shared" si="17"/>
        <v>0</v>
      </c>
      <c r="L86" s="267">
        <f t="shared" si="17"/>
        <v>0</v>
      </c>
      <c r="M86" s="267">
        <f t="shared" si="17"/>
        <v>0</v>
      </c>
      <c r="N86" s="267">
        <f t="shared" si="17"/>
        <v>0</v>
      </c>
      <c r="O86" s="270">
        <f>SUM(C86:N86)</f>
        <v>0</v>
      </c>
      <c r="Q86" s="16"/>
      <c r="R86" s="2"/>
      <c r="S86" s="2"/>
    </row>
    <row r="87" spans="1:19" outlineLevel="2" x14ac:dyDescent="0.25">
      <c r="A87" s="258" t="s">
        <v>207</v>
      </c>
      <c r="B87" s="249"/>
      <c r="C87" s="234"/>
      <c r="D87" s="259"/>
      <c r="E87" s="260"/>
      <c r="F87" s="260"/>
      <c r="G87" s="260"/>
      <c r="H87" s="260"/>
      <c r="I87" s="260"/>
      <c r="J87" s="261"/>
      <c r="K87" s="259"/>
      <c r="L87" s="260"/>
      <c r="M87" s="239"/>
      <c r="N87" s="259"/>
      <c r="O87" s="270">
        <f>SUM(C87:N87)</f>
        <v>0</v>
      </c>
      <c r="Q87" s="16"/>
      <c r="R87" s="2"/>
      <c r="S87" s="2"/>
    </row>
    <row r="88" spans="1:19" outlineLevel="1" x14ac:dyDescent="0.25">
      <c r="A88" s="265" t="s">
        <v>209</v>
      </c>
      <c r="B88" s="266"/>
      <c r="C88" s="267">
        <f t="shared" ref="C88:N88" si="18">SUM(C89:C91)</f>
        <v>0</v>
      </c>
      <c r="D88" s="268">
        <f t="shared" si="18"/>
        <v>0</v>
      </c>
      <c r="E88" s="268">
        <f t="shared" si="18"/>
        <v>0</v>
      </c>
      <c r="F88" s="268">
        <f t="shared" si="18"/>
        <v>0</v>
      </c>
      <c r="G88" s="268">
        <f t="shared" si="18"/>
        <v>0</v>
      </c>
      <c r="H88" s="268">
        <f t="shared" si="18"/>
        <v>0</v>
      </c>
      <c r="I88" s="268">
        <f t="shared" si="18"/>
        <v>0</v>
      </c>
      <c r="J88" s="268">
        <f>SUM(J89:J91)</f>
        <v>0</v>
      </c>
      <c r="K88" s="268">
        <f t="shared" si="18"/>
        <v>0</v>
      </c>
      <c r="L88" s="268">
        <f t="shared" si="18"/>
        <v>0</v>
      </c>
      <c r="M88" s="268">
        <f t="shared" si="18"/>
        <v>0</v>
      </c>
      <c r="N88" s="269">
        <f t="shared" si="18"/>
        <v>0</v>
      </c>
      <c r="O88" s="270">
        <f>SUM(C88:N88)</f>
        <v>0</v>
      </c>
      <c r="Q88" s="16"/>
      <c r="R88" s="2"/>
      <c r="S88" s="2"/>
    </row>
    <row r="89" spans="1:19" outlineLevel="2" x14ac:dyDescent="0.25">
      <c r="A89" s="258" t="s">
        <v>211</v>
      </c>
      <c r="B89" s="249"/>
      <c r="C89" s="234"/>
      <c r="D89" s="259"/>
      <c r="E89" s="260"/>
      <c r="F89" s="260"/>
      <c r="G89" s="260"/>
      <c r="H89" s="260"/>
      <c r="I89" s="260"/>
      <c r="J89" s="261"/>
      <c r="K89" s="261"/>
      <c r="L89" s="261"/>
      <c r="M89" s="239"/>
      <c r="N89" s="259"/>
      <c r="O89" s="270">
        <f>SUM(C89:N89)</f>
        <v>0</v>
      </c>
      <c r="Q89" s="16"/>
      <c r="R89" s="2"/>
      <c r="S89" s="2"/>
    </row>
    <row r="90" spans="1:19" outlineLevel="2" x14ac:dyDescent="0.25">
      <c r="A90" s="258" t="s">
        <v>213</v>
      </c>
      <c r="B90" s="249"/>
      <c r="C90" s="234"/>
      <c r="D90" s="259"/>
      <c r="E90" s="260"/>
      <c r="F90" s="260"/>
      <c r="G90" s="260"/>
      <c r="H90" s="260"/>
      <c r="I90" s="260"/>
      <c r="J90" s="261"/>
      <c r="K90" s="259"/>
      <c r="L90" s="260"/>
      <c r="M90" s="239"/>
      <c r="N90" s="259"/>
      <c r="O90" s="236">
        <f t="shared" ref="O90:O111" si="19">SUM(C90:N90)</f>
        <v>0</v>
      </c>
      <c r="Q90" s="16"/>
      <c r="R90" s="2"/>
      <c r="S90" s="2"/>
    </row>
    <row r="91" spans="1:19" outlineLevel="2" x14ac:dyDescent="0.25">
      <c r="A91" s="258" t="s">
        <v>215</v>
      </c>
      <c r="B91" s="249"/>
      <c r="C91" s="234"/>
      <c r="D91" s="259"/>
      <c r="E91" s="260"/>
      <c r="F91" s="260"/>
      <c r="G91" s="260"/>
      <c r="H91" s="260"/>
      <c r="I91" s="260"/>
      <c r="J91" s="261"/>
      <c r="K91" s="259"/>
      <c r="L91" s="260"/>
      <c r="M91" s="239"/>
      <c r="N91" s="259"/>
      <c r="O91" s="236">
        <f t="shared" si="19"/>
        <v>0</v>
      </c>
      <c r="Q91" s="16"/>
      <c r="R91" s="2"/>
      <c r="S91" s="2"/>
    </row>
    <row r="92" spans="1:19" outlineLevel="1" x14ac:dyDescent="0.25">
      <c r="A92" s="265" t="s">
        <v>217</v>
      </c>
      <c r="B92" s="266"/>
      <c r="C92" s="267">
        <f t="shared" ref="C92:N92" si="20">SUM(C93)</f>
        <v>0</v>
      </c>
      <c r="D92" s="268">
        <f t="shared" si="20"/>
        <v>0</v>
      </c>
      <c r="E92" s="268">
        <f t="shared" si="20"/>
        <v>0</v>
      </c>
      <c r="F92" s="268">
        <f t="shared" si="20"/>
        <v>0</v>
      </c>
      <c r="G92" s="268">
        <f t="shared" si="20"/>
        <v>0</v>
      </c>
      <c r="H92" s="268">
        <f t="shared" si="20"/>
        <v>0</v>
      </c>
      <c r="I92" s="268">
        <f t="shared" si="20"/>
        <v>0</v>
      </c>
      <c r="J92" s="268">
        <f t="shared" si="20"/>
        <v>0</v>
      </c>
      <c r="K92" s="268">
        <f t="shared" si="20"/>
        <v>0</v>
      </c>
      <c r="L92" s="268">
        <f t="shared" si="20"/>
        <v>0</v>
      </c>
      <c r="M92" s="268">
        <f t="shared" si="20"/>
        <v>0</v>
      </c>
      <c r="N92" s="269">
        <f t="shared" si="20"/>
        <v>0</v>
      </c>
      <c r="O92" s="270">
        <f t="shared" si="19"/>
        <v>0</v>
      </c>
      <c r="Q92" s="16"/>
      <c r="R92" s="2"/>
      <c r="S92" s="2"/>
    </row>
    <row r="93" spans="1:19" outlineLevel="2" x14ac:dyDescent="0.25">
      <c r="A93" s="258" t="s">
        <v>217</v>
      </c>
      <c r="B93" s="249"/>
      <c r="C93" s="234"/>
      <c r="D93" s="259"/>
      <c r="E93" s="260"/>
      <c r="F93" s="260"/>
      <c r="G93" s="260"/>
      <c r="H93" s="260"/>
      <c r="I93" s="260"/>
      <c r="J93" s="261"/>
      <c r="K93" s="259"/>
      <c r="L93" s="260"/>
      <c r="M93" s="239"/>
      <c r="N93" s="259"/>
      <c r="O93" s="236">
        <f t="shared" si="19"/>
        <v>0</v>
      </c>
      <c r="Q93" s="16"/>
      <c r="R93" s="2"/>
      <c r="S93" s="2"/>
    </row>
    <row r="94" spans="1:19" outlineLevel="1" x14ac:dyDescent="0.25">
      <c r="A94" s="265" t="s">
        <v>220</v>
      </c>
      <c r="B94" s="266"/>
      <c r="C94" s="267">
        <f t="shared" ref="C94:N94" si="21">SUM(C95:C99)</f>
        <v>0</v>
      </c>
      <c r="D94" s="268">
        <f t="shared" si="21"/>
        <v>0</v>
      </c>
      <c r="E94" s="268">
        <f t="shared" si="21"/>
        <v>0</v>
      </c>
      <c r="F94" s="268">
        <f t="shared" si="21"/>
        <v>0</v>
      </c>
      <c r="G94" s="268">
        <f t="shared" si="21"/>
        <v>0</v>
      </c>
      <c r="H94" s="268">
        <f t="shared" si="21"/>
        <v>0</v>
      </c>
      <c r="I94" s="268">
        <f t="shared" si="21"/>
        <v>0</v>
      </c>
      <c r="J94" s="268">
        <f t="shared" si="21"/>
        <v>0</v>
      </c>
      <c r="K94" s="268">
        <f t="shared" si="21"/>
        <v>0</v>
      </c>
      <c r="L94" s="268">
        <f t="shared" si="21"/>
        <v>0</v>
      </c>
      <c r="M94" s="268">
        <f t="shared" si="21"/>
        <v>0</v>
      </c>
      <c r="N94" s="269">
        <f t="shared" si="21"/>
        <v>0</v>
      </c>
      <c r="O94" s="270">
        <f t="shared" si="19"/>
        <v>0</v>
      </c>
      <c r="Q94" s="16"/>
      <c r="R94" s="2"/>
      <c r="S94" s="2"/>
    </row>
    <row r="95" spans="1:19" outlineLevel="2" x14ac:dyDescent="0.25">
      <c r="A95" s="258" t="s">
        <v>222</v>
      </c>
      <c r="B95" s="249"/>
      <c r="C95" s="234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36">
        <f t="shared" si="19"/>
        <v>0</v>
      </c>
      <c r="Q95" s="16"/>
      <c r="R95" s="2"/>
      <c r="S95" s="2"/>
    </row>
    <row r="96" spans="1:19" outlineLevel="2" x14ac:dyDescent="0.25">
      <c r="A96" s="258" t="s">
        <v>224</v>
      </c>
      <c r="B96" s="249"/>
      <c r="C96" s="234"/>
      <c r="D96" s="259"/>
      <c r="E96" s="260"/>
      <c r="F96" s="260"/>
      <c r="G96" s="260"/>
      <c r="H96" s="260"/>
      <c r="I96" s="260"/>
      <c r="J96" s="261"/>
      <c r="K96" s="259"/>
      <c r="L96" s="260"/>
      <c r="M96" s="239"/>
      <c r="N96" s="259"/>
      <c r="O96" s="236">
        <f t="shared" si="19"/>
        <v>0</v>
      </c>
      <c r="Q96" s="16"/>
      <c r="R96" s="2"/>
      <c r="S96" s="2"/>
    </row>
    <row r="97" spans="1:19" outlineLevel="2" x14ac:dyDescent="0.25">
      <c r="A97" s="258" t="s">
        <v>226</v>
      </c>
      <c r="B97" s="249"/>
      <c r="C97" s="234"/>
      <c r="D97" s="259"/>
      <c r="E97" s="259"/>
      <c r="F97" s="260"/>
      <c r="G97" s="260"/>
      <c r="H97" s="260"/>
      <c r="I97" s="260"/>
      <c r="J97" s="261"/>
      <c r="K97" s="259"/>
      <c r="L97" s="260"/>
      <c r="M97" s="239"/>
      <c r="N97" s="259"/>
      <c r="O97" s="236">
        <f t="shared" si="19"/>
        <v>0</v>
      </c>
      <c r="Q97" s="16"/>
      <c r="R97" s="2"/>
      <c r="S97" s="2"/>
    </row>
    <row r="98" spans="1:19" outlineLevel="2" x14ac:dyDescent="0.25">
      <c r="A98" s="258" t="s">
        <v>228</v>
      </c>
      <c r="B98" s="249"/>
      <c r="C98" s="234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36">
        <f t="shared" si="19"/>
        <v>0</v>
      </c>
      <c r="Q98" s="16"/>
      <c r="R98" s="2"/>
      <c r="S98" s="2"/>
    </row>
    <row r="99" spans="1:19" outlineLevel="2" x14ac:dyDescent="0.25">
      <c r="A99" s="258" t="s">
        <v>230</v>
      </c>
      <c r="B99" s="249"/>
      <c r="C99" s="271"/>
      <c r="D99" s="259"/>
      <c r="E99" s="260"/>
      <c r="F99" s="260"/>
      <c r="G99" s="260"/>
      <c r="H99" s="260"/>
      <c r="I99" s="260"/>
      <c r="J99" s="261"/>
      <c r="K99" s="259"/>
      <c r="L99" s="260"/>
      <c r="M99" s="239"/>
      <c r="N99" s="259"/>
      <c r="O99" s="236">
        <f t="shared" si="19"/>
        <v>0</v>
      </c>
      <c r="Q99" s="16"/>
      <c r="R99" s="2"/>
      <c r="S99" s="2"/>
    </row>
    <row r="100" spans="1:19" s="6" customFormat="1" x14ac:dyDescent="0.25">
      <c r="A100" s="223" t="s">
        <v>232</v>
      </c>
      <c r="B100" s="253"/>
      <c r="C100" s="254">
        <f t="shared" ref="C100:N100" si="22">SUM(C101,C112,C117,C119,C123,C126,C130,C138,C145)</f>
        <v>0</v>
      </c>
      <c r="D100" s="255">
        <f t="shared" si="22"/>
        <v>0</v>
      </c>
      <c r="E100" s="255">
        <f t="shared" si="22"/>
        <v>0</v>
      </c>
      <c r="F100" s="255">
        <f t="shared" si="22"/>
        <v>0</v>
      </c>
      <c r="G100" s="255">
        <f t="shared" si="22"/>
        <v>0</v>
      </c>
      <c r="H100" s="255">
        <f t="shared" si="22"/>
        <v>0</v>
      </c>
      <c r="I100" s="255">
        <f t="shared" si="22"/>
        <v>0</v>
      </c>
      <c r="J100" s="255">
        <f t="shared" si="22"/>
        <v>0</v>
      </c>
      <c r="K100" s="255">
        <f t="shared" si="22"/>
        <v>0</v>
      </c>
      <c r="L100" s="255">
        <f t="shared" si="22"/>
        <v>0</v>
      </c>
      <c r="M100" s="255">
        <f t="shared" si="22"/>
        <v>0</v>
      </c>
      <c r="N100" s="256">
        <f t="shared" si="22"/>
        <v>0</v>
      </c>
      <c r="O100" s="257">
        <f t="shared" si="19"/>
        <v>0</v>
      </c>
      <c r="Q100" s="18"/>
      <c r="R100" s="19"/>
      <c r="S100" s="19"/>
    </row>
    <row r="101" spans="1:19" outlineLevel="1" x14ac:dyDescent="0.25">
      <c r="A101" s="265" t="s">
        <v>234</v>
      </c>
      <c r="B101" s="266"/>
      <c r="C101" s="267">
        <f t="shared" ref="C101:N101" si="23">SUM(C102:C111)</f>
        <v>0</v>
      </c>
      <c r="D101" s="268">
        <f t="shared" si="23"/>
        <v>0</v>
      </c>
      <c r="E101" s="268">
        <f t="shared" si="23"/>
        <v>0</v>
      </c>
      <c r="F101" s="268">
        <f t="shared" si="23"/>
        <v>0</v>
      </c>
      <c r="G101" s="268">
        <f t="shared" si="23"/>
        <v>0</v>
      </c>
      <c r="H101" s="268">
        <f t="shared" si="23"/>
        <v>0</v>
      </c>
      <c r="I101" s="268">
        <f t="shared" si="23"/>
        <v>0</v>
      </c>
      <c r="J101" s="268">
        <f t="shared" si="23"/>
        <v>0</v>
      </c>
      <c r="K101" s="268">
        <f>SUM(K102:K111)</f>
        <v>0</v>
      </c>
      <c r="L101" s="268">
        <f t="shared" si="23"/>
        <v>0</v>
      </c>
      <c r="M101" s="268">
        <f t="shared" si="23"/>
        <v>0</v>
      </c>
      <c r="N101" s="269">
        <f t="shared" si="23"/>
        <v>0</v>
      </c>
      <c r="O101" s="270">
        <f t="shared" si="19"/>
        <v>0</v>
      </c>
      <c r="Q101" s="16"/>
      <c r="R101" s="2"/>
      <c r="S101" s="2"/>
    </row>
    <row r="102" spans="1:19" outlineLevel="2" x14ac:dyDescent="0.25">
      <c r="A102" s="258" t="s">
        <v>236</v>
      </c>
      <c r="B102" s="249"/>
      <c r="C102" s="404"/>
      <c r="D102" s="260"/>
      <c r="E102" s="260"/>
      <c r="F102" s="260"/>
      <c r="G102" s="260"/>
      <c r="H102" s="260"/>
      <c r="I102" s="260"/>
      <c r="J102" s="261"/>
      <c r="K102" s="260"/>
      <c r="L102" s="260"/>
      <c r="M102" s="323"/>
      <c r="N102" s="260"/>
      <c r="O102" s="236">
        <f t="shared" si="19"/>
        <v>0</v>
      </c>
      <c r="Q102" s="16"/>
      <c r="R102" s="2"/>
      <c r="S102" s="2"/>
    </row>
    <row r="103" spans="1:19" outlineLevel="2" x14ac:dyDescent="0.25">
      <c r="A103" s="258" t="s">
        <v>238</v>
      </c>
      <c r="B103" s="249"/>
      <c r="C103" s="405"/>
      <c r="D103" s="260"/>
      <c r="E103" s="260"/>
      <c r="F103" s="260"/>
      <c r="G103" s="260"/>
      <c r="H103" s="260"/>
      <c r="I103" s="260"/>
      <c r="J103" s="261"/>
      <c r="K103" s="260"/>
      <c r="L103" s="260"/>
      <c r="M103" s="323"/>
      <c r="N103" s="260"/>
      <c r="O103" s="236">
        <f t="shared" si="19"/>
        <v>0</v>
      </c>
      <c r="Q103" s="16"/>
      <c r="R103" s="2"/>
      <c r="S103" s="2"/>
    </row>
    <row r="104" spans="1:19" outlineLevel="2" x14ac:dyDescent="0.25">
      <c r="A104" s="258" t="s">
        <v>544</v>
      </c>
      <c r="B104" s="249"/>
      <c r="C104" s="405"/>
      <c r="D104" s="260"/>
      <c r="E104" s="260"/>
      <c r="F104" s="260"/>
      <c r="G104" s="260"/>
      <c r="H104" s="260"/>
      <c r="I104" s="260"/>
      <c r="J104" s="261"/>
      <c r="K104" s="404"/>
      <c r="L104" s="260"/>
      <c r="M104" s="323"/>
      <c r="N104" s="260"/>
      <c r="O104" s="236">
        <f t="shared" si="19"/>
        <v>0</v>
      </c>
      <c r="Q104" s="16"/>
      <c r="R104" s="2"/>
      <c r="S104" s="2"/>
    </row>
    <row r="105" spans="1:19" outlineLevel="2" x14ac:dyDescent="0.25">
      <c r="A105" s="258" t="s">
        <v>241</v>
      </c>
      <c r="B105" s="249"/>
      <c r="C105" s="405"/>
      <c r="D105" s="404"/>
      <c r="E105" s="404"/>
      <c r="F105" s="404"/>
      <c r="G105" s="404"/>
      <c r="H105" s="404"/>
      <c r="I105" s="404"/>
      <c r="J105" s="404"/>
      <c r="K105" s="404"/>
      <c r="L105" s="404"/>
      <c r="M105" s="404"/>
      <c r="N105" s="260"/>
      <c r="O105" s="236">
        <f t="shared" si="19"/>
        <v>0</v>
      </c>
      <c r="Q105" s="16"/>
      <c r="R105" s="2"/>
      <c r="S105" s="2"/>
    </row>
    <row r="106" spans="1:19" outlineLevel="2" x14ac:dyDescent="0.25">
      <c r="A106" s="258" t="s">
        <v>243</v>
      </c>
      <c r="B106" s="249"/>
      <c r="C106" s="405"/>
      <c r="D106" s="260"/>
      <c r="E106" s="260"/>
      <c r="F106" s="260"/>
      <c r="G106" s="260"/>
      <c r="H106" s="260"/>
      <c r="I106" s="260"/>
      <c r="J106" s="261"/>
      <c r="K106" s="260"/>
      <c r="L106" s="260"/>
      <c r="M106" s="323"/>
      <c r="N106" s="260"/>
      <c r="O106" s="236">
        <f t="shared" si="19"/>
        <v>0</v>
      </c>
      <c r="Q106" s="16"/>
      <c r="R106" s="2"/>
      <c r="S106" s="2"/>
    </row>
    <row r="107" spans="1:19" outlineLevel="2" x14ac:dyDescent="0.25">
      <c r="A107" s="258" t="s">
        <v>245</v>
      </c>
      <c r="B107" s="249"/>
      <c r="C107" s="405"/>
      <c r="D107" s="260"/>
      <c r="E107" s="260"/>
      <c r="F107" s="260"/>
      <c r="G107" s="260"/>
      <c r="H107" s="260"/>
      <c r="I107" s="260"/>
      <c r="J107" s="261"/>
      <c r="K107" s="260"/>
      <c r="L107" s="260"/>
      <c r="M107" s="323"/>
      <c r="N107" s="260"/>
      <c r="O107" s="236">
        <f t="shared" si="19"/>
        <v>0</v>
      </c>
      <c r="Q107" s="16"/>
      <c r="R107" s="2"/>
      <c r="S107" s="2"/>
    </row>
    <row r="108" spans="1:19" outlineLevel="2" x14ac:dyDescent="0.25">
      <c r="A108" s="258" t="s">
        <v>247</v>
      </c>
      <c r="B108" s="249"/>
      <c r="C108" s="404"/>
      <c r="D108" s="260"/>
      <c r="E108" s="260"/>
      <c r="F108" s="260"/>
      <c r="G108" s="260"/>
      <c r="H108" s="260"/>
      <c r="I108" s="260"/>
      <c r="J108" s="261"/>
      <c r="K108" s="260"/>
      <c r="L108" s="260"/>
      <c r="M108" s="323"/>
      <c r="N108" s="260"/>
      <c r="O108" s="236">
        <f t="shared" si="19"/>
        <v>0</v>
      </c>
      <c r="Q108" s="16"/>
      <c r="R108" s="2"/>
      <c r="S108" s="2"/>
    </row>
    <row r="109" spans="1:19" outlineLevel="2" x14ac:dyDescent="0.25">
      <c r="A109" s="258" t="s">
        <v>249</v>
      </c>
      <c r="B109" s="249"/>
      <c r="C109" s="404"/>
      <c r="D109" s="260"/>
      <c r="E109" s="260"/>
      <c r="F109" s="260"/>
      <c r="G109" s="260"/>
      <c r="H109" s="260"/>
      <c r="I109" s="260"/>
      <c r="J109" s="261"/>
      <c r="K109" s="260"/>
      <c r="L109" s="260"/>
      <c r="M109" s="323"/>
      <c r="N109" s="260"/>
      <c r="O109" s="236">
        <f t="shared" si="19"/>
        <v>0</v>
      </c>
      <c r="Q109" s="16"/>
      <c r="R109" s="2"/>
      <c r="S109" s="2"/>
    </row>
    <row r="110" spans="1:19" outlineLevel="2" x14ac:dyDescent="0.25">
      <c r="A110" s="258" t="s">
        <v>251</v>
      </c>
      <c r="B110" s="249"/>
      <c r="C110" s="404"/>
      <c r="D110" s="260"/>
      <c r="E110" s="260"/>
      <c r="F110" s="260"/>
      <c r="G110" s="260"/>
      <c r="H110" s="260"/>
      <c r="I110" s="260"/>
      <c r="J110" s="261"/>
      <c r="L110" s="260"/>
      <c r="M110" s="323"/>
      <c r="N110" s="260"/>
      <c r="O110" s="236">
        <f t="shared" si="19"/>
        <v>0</v>
      </c>
      <c r="Q110" s="16"/>
      <c r="R110" s="2"/>
      <c r="S110" s="2"/>
    </row>
    <row r="111" spans="1:19" outlineLevel="2" x14ac:dyDescent="0.25">
      <c r="A111" s="258" t="s">
        <v>253</v>
      </c>
      <c r="B111" s="249"/>
      <c r="C111" s="404"/>
      <c r="D111" s="260"/>
      <c r="E111" s="260"/>
      <c r="F111" s="260"/>
      <c r="G111" s="260"/>
      <c r="H111" s="260"/>
      <c r="I111" s="260"/>
      <c r="J111" s="261"/>
      <c r="K111" s="261"/>
      <c r="L111" s="261"/>
      <c r="M111" s="323"/>
      <c r="N111" s="260"/>
      <c r="O111" s="236">
        <f t="shared" si="19"/>
        <v>0</v>
      </c>
      <c r="Q111" s="16"/>
      <c r="R111" s="2"/>
      <c r="S111" s="2"/>
    </row>
    <row r="112" spans="1:19" outlineLevel="1" x14ac:dyDescent="0.25">
      <c r="A112" s="265" t="s">
        <v>255</v>
      </c>
      <c r="B112" s="266"/>
      <c r="C112" s="267">
        <f t="shared" ref="C112:N112" si="24">SUM(C113:C116)</f>
        <v>0</v>
      </c>
      <c r="D112" s="268">
        <f t="shared" si="24"/>
        <v>0</v>
      </c>
      <c r="E112" s="268">
        <f t="shared" si="24"/>
        <v>0</v>
      </c>
      <c r="F112" s="268">
        <f t="shared" si="24"/>
        <v>0</v>
      </c>
      <c r="G112" s="268">
        <f t="shared" si="24"/>
        <v>0</v>
      </c>
      <c r="H112" s="268">
        <f t="shared" si="24"/>
        <v>0</v>
      </c>
      <c r="I112" s="268">
        <f t="shared" si="24"/>
        <v>0</v>
      </c>
      <c r="J112" s="268">
        <f t="shared" si="24"/>
        <v>0</v>
      </c>
      <c r="K112" s="268">
        <f t="shared" si="24"/>
        <v>0</v>
      </c>
      <c r="L112" s="268">
        <f t="shared" si="24"/>
        <v>0</v>
      </c>
      <c r="M112" s="268">
        <f t="shared" si="24"/>
        <v>0</v>
      </c>
      <c r="N112" s="269">
        <f t="shared" si="24"/>
        <v>0</v>
      </c>
      <c r="O112" s="270">
        <f t="shared" ref="O112:O143" si="25">SUM(C112:N112)</f>
        <v>0</v>
      </c>
      <c r="Q112" s="16"/>
      <c r="R112" s="2"/>
      <c r="S112" s="2"/>
    </row>
    <row r="113" spans="1:19" outlineLevel="2" x14ac:dyDescent="0.25">
      <c r="A113" s="258" t="s">
        <v>257</v>
      </c>
      <c r="B113" s="249"/>
      <c r="C113" s="234"/>
      <c r="D113" s="259"/>
      <c r="E113" s="260"/>
      <c r="F113" s="260"/>
      <c r="G113" s="260"/>
      <c r="H113" s="260"/>
      <c r="I113" s="260"/>
      <c r="J113" s="261"/>
      <c r="K113" s="259"/>
      <c r="L113" s="260"/>
      <c r="M113" s="239"/>
      <c r="N113" s="259"/>
      <c r="O113" s="236">
        <f t="shared" si="25"/>
        <v>0</v>
      </c>
      <c r="Q113" s="16"/>
      <c r="R113" s="2"/>
      <c r="S113" s="2"/>
    </row>
    <row r="114" spans="1:19" outlineLevel="2" x14ac:dyDescent="0.25">
      <c r="A114" s="258" t="s">
        <v>259</v>
      </c>
      <c r="B114" s="249"/>
      <c r="C114" s="234"/>
      <c r="D114" s="259"/>
      <c r="E114" s="260"/>
      <c r="F114" s="260"/>
      <c r="G114" s="260"/>
      <c r="H114" s="260"/>
      <c r="I114" s="260"/>
      <c r="J114" s="261"/>
      <c r="K114" s="259"/>
      <c r="L114" s="260"/>
      <c r="M114" s="239"/>
      <c r="N114" s="259"/>
      <c r="O114" s="236">
        <f t="shared" si="25"/>
        <v>0</v>
      </c>
      <c r="Q114" s="16"/>
      <c r="R114" s="2"/>
      <c r="S114" s="2"/>
    </row>
    <row r="115" spans="1:19" outlineLevel="2" x14ac:dyDescent="0.25">
      <c r="A115" s="258" t="s">
        <v>261</v>
      </c>
      <c r="B115" s="249"/>
      <c r="C115" s="234"/>
      <c r="D115" s="259"/>
      <c r="E115" s="260"/>
      <c r="F115" s="260"/>
      <c r="G115" s="260"/>
      <c r="H115" s="260"/>
      <c r="I115" s="260"/>
      <c r="J115" s="261"/>
      <c r="K115" s="259"/>
      <c r="L115" s="260"/>
      <c r="M115" s="239"/>
      <c r="N115" s="259"/>
      <c r="O115" s="236">
        <f t="shared" si="25"/>
        <v>0</v>
      </c>
      <c r="Q115" s="16"/>
      <c r="R115" s="2"/>
      <c r="S115" s="2"/>
    </row>
    <row r="116" spans="1:19" outlineLevel="2" x14ac:dyDescent="0.25">
      <c r="A116" s="258" t="s">
        <v>263</v>
      </c>
      <c r="B116" s="249"/>
      <c r="C116" s="234"/>
      <c r="D116" s="259"/>
      <c r="E116" s="260"/>
      <c r="F116" s="260"/>
      <c r="G116" s="260"/>
      <c r="H116" s="260"/>
      <c r="I116" s="260"/>
      <c r="J116" s="261"/>
      <c r="K116" s="259"/>
      <c r="L116" s="260"/>
      <c r="M116" s="239"/>
      <c r="N116" s="259"/>
      <c r="O116" s="236">
        <f t="shared" si="25"/>
        <v>0</v>
      </c>
      <c r="Q116" s="16"/>
      <c r="R116" s="2"/>
      <c r="S116" s="2"/>
    </row>
    <row r="117" spans="1:19" outlineLevel="1" x14ac:dyDescent="0.25">
      <c r="A117" s="265" t="s">
        <v>265</v>
      </c>
      <c r="B117" s="266"/>
      <c r="C117" s="267">
        <f t="shared" ref="C117:N117" si="26">SUM(C118)</f>
        <v>0</v>
      </c>
      <c r="D117" s="268">
        <f t="shared" si="26"/>
        <v>0</v>
      </c>
      <c r="E117" s="268">
        <f t="shared" si="26"/>
        <v>0</v>
      </c>
      <c r="F117" s="268">
        <f t="shared" si="26"/>
        <v>0</v>
      </c>
      <c r="G117" s="268">
        <f t="shared" si="26"/>
        <v>0</v>
      </c>
      <c r="H117" s="268">
        <f t="shared" si="26"/>
        <v>0</v>
      </c>
      <c r="I117" s="268">
        <f t="shared" si="26"/>
        <v>0</v>
      </c>
      <c r="J117" s="268">
        <f t="shared" si="26"/>
        <v>0</v>
      </c>
      <c r="K117" s="268">
        <f t="shared" si="26"/>
        <v>0</v>
      </c>
      <c r="L117" s="268">
        <f t="shared" si="26"/>
        <v>0</v>
      </c>
      <c r="M117" s="268">
        <f t="shared" si="26"/>
        <v>0</v>
      </c>
      <c r="N117" s="269">
        <f t="shared" si="26"/>
        <v>0</v>
      </c>
      <c r="O117" s="236">
        <f t="shared" si="25"/>
        <v>0</v>
      </c>
      <c r="Q117" s="16"/>
      <c r="R117" s="2"/>
      <c r="S117" s="2"/>
    </row>
    <row r="118" spans="1:19" outlineLevel="2" x14ac:dyDescent="0.25">
      <c r="A118" s="258" t="s">
        <v>265</v>
      </c>
      <c r="B118" s="249"/>
      <c r="C118" s="234"/>
      <c r="D118" s="259"/>
      <c r="E118" s="260"/>
      <c r="F118" s="260"/>
      <c r="G118" s="260"/>
      <c r="H118" s="260"/>
      <c r="I118" s="260"/>
      <c r="J118" s="261"/>
      <c r="K118" s="259"/>
      <c r="L118" s="260"/>
      <c r="M118" s="239"/>
      <c r="N118" s="259"/>
      <c r="O118" s="236">
        <f t="shared" si="25"/>
        <v>0</v>
      </c>
      <c r="Q118" s="16"/>
      <c r="R118" s="2"/>
      <c r="S118" s="2"/>
    </row>
    <row r="119" spans="1:19" outlineLevel="1" x14ac:dyDescent="0.25">
      <c r="A119" s="265" t="s">
        <v>268</v>
      </c>
      <c r="B119" s="266"/>
      <c r="C119" s="267">
        <f t="shared" ref="C119:N119" si="27">SUM(C120:C122)</f>
        <v>0</v>
      </c>
      <c r="D119" s="268">
        <f t="shared" si="27"/>
        <v>0</v>
      </c>
      <c r="E119" s="268">
        <f t="shared" si="27"/>
        <v>0</v>
      </c>
      <c r="F119" s="268">
        <f t="shared" si="27"/>
        <v>0</v>
      </c>
      <c r="G119" s="268">
        <f t="shared" si="27"/>
        <v>0</v>
      </c>
      <c r="H119" s="268">
        <f t="shared" si="27"/>
        <v>0</v>
      </c>
      <c r="I119" s="268">
        <f t="shared" si="27"/>
        <v>0</v>
      </c>
      <c r="J119" s="268">
        <f t="shared" si="27"/>
        <v>0</v>
      </c>
      <c r="K119" s="268">
        <f t="shared" si="27"/>
        <v>0</v>
      </c>
      <c r="L119" s="268">
        <f t="shared" si="27"/>
        <v>0</v>
      </c>
      <c r="M119" s="268">
        <f t="shared" si="27"/>
        <v>0</v>
      </c>
      <c r="N119" s="269">
        <f t="shared" si="27"/>
        <v>0</v>
      </c>
      <c r="O119" s="236">
        <f t="shared" si="25"/>
        <v>0</v>
      </c>
      <c r="Q119" s="16"/>
      <c r="R119" s="2"/>
      <c r="S119" s="2"/>
    </row>
    <row r="120" spans="1:19" outlineLevel="2" x14ac:dyDescent="0.25">
      <c r="A120" s="258" t="s">
        <v>270</v>
      </c>
      <c r="B120" s="249"/>
      <c r="C120" s="234"/>
      <c r="D120" s="259"/>
      <c r="E120" s="260"/>
      <c r="F120" s="260"/>
      <c r="G120" s="260"/>
      <c r="H120" s="260"/>
      <c r="I120" s="260"/>
      <c r="J120" s="261"/>
      <c r="K120" s="259"/>
      <c r="L120" s="260"/>
      <c r="M120" s="239"/>
      <c r="N120" s="259"/>
      <c r="O120" s="236">
        <f t="shared" si="25"/>
        <v>0</v>
      </c>
      <c r="Q120" s="16"/>
      <c r="R120" s="2"/>
      <c r="S120" s="2"/>
    </row>
    <row r="121" spans="1:19" outlineLevel="2" x14ac:dyDescent="0.25">
      <c r="A121" s="258" t="s">
        <v>272</v>
      </c>
      <c r="B121" s="249"/>
      <c r="C121" s="234"/>
      <c r="D121" s="259"/>
      <c r="E121" s="260"/>
      <c r="F121" s="260"/>
      <c r="G121" s="260"/>
      <c r="H121" s="260"/>
      <c r="I121" s="260"/>
      <c r="J121" s="261"/>
      <c r="K121" s="259"/>
      <c r="L121" s="260"/>
      <c r="M121" s="239"/>
      <c r="N121" s="259"/>
      <c r="O121" s="236">
        <f t="shared" si="25"/>
        <v>0</v>
      </c>
      <c r="Q121" s="16"/>
      <c r="R121" s="2"/>
      <c r="S121" s="2"/>
    </row>
    <row r="122" spans="1:19" outlineLevel="2" x14ac:dyDescent="0.25">
      <c r="A122" s="258" t="s">
        <v>274</v>
      </c>
      <c r="B122" s="249"/>
      <c r="C122" s="234"/>
      <c r="D122" s="259"/>
      <c r="E122" s="260"/>
      <c r="F122" s="260"/>
      <c r="G122" s="260"/>
      <c r="H122" s="260"/>
      <c r="I122" s="260"/>
      <c r="J122" s="261"/>
      <c r="K122" s="259"/>
      <c r="L122" s="260"/>
      <c r="M122" s="239"/>
      <c r="N122" s="259"/>
      <c r="O122" s="236">
        <f t="shared" si="25"/>
        <v>0</v>
      </c>
      <c r="Q122" s="16"/>
      <c r="R122" s="2"/>
      <c r="S122" s="2"/>
    </row>
    <row r="123" spans="1:19" outlineLevel="1" x14ac:dyDescent="0.25">
      <c r="A123" s="265" t="s">
        <v>276</v>
      </c>
      <c r="B123" s="266"/>
      <c r="C123" s="267">
        <f t="shared" ref="C123:N123" si="28">SUM(C124:C125)</f>
        <v>0</v>
      </c>
      <c r="D123" s="268">
        <f t="shared" si="28"/>
        <v>0</v>
      </c>
      <c r="E123" s="268">
        <f t="shared" si="28"/>
        <v>0</v>
      </c>
      <c r="F123" s="268">
        <f t="shared" si="28"/>
        <v>0</v>
      </c>
      <c r="G123" s="268">
        <f t="shared" si="28"/>
        <v>0</v>
      </c>
      <c r="H123" s="268">
        <f t="shared" si="28"/>
        <v>0</v>
      </c>
      <c r="I123" s="268">
        <f t="shared" si="28"/>
        <v>0</v>
      </c>
      <c r="J123" s="268">
        <f t="shared" si="28"/>
        <v>0</v>
      </c>
      <c r="K123" s="268">
        <f t="shared" si="28"/>
        <v>0</v>
      </c>
      <c r="L123" s="268">
        <f t="shared" si="28"/>
        <v>0</v>
      </c>
      <c r="M123" s="268">
        <f t="shared" si="28"/>
        <v>0</v>
      </c>
      <c r="N123" s="269">
        <f t="shared" si="28"/>
        <v>0</v>
      </c>
      <c r="O123" s="236">
        <f t="shared" si="25"/>
        <v>0</v>
      </c>
      <c r="Q123" s="16"/>
      <c r="R123" s="2"/>
      <c r="S123" s="2"/>
    </row>
    <row r="124" spans="1:19" outlineLevel="2" x14ac:dyDescent="0.25">
      <c r="A124" s="258" t="s">
        <v>278</v>
      </c>
      <c r="B124" s="249"/>
      <c r="C124" s="234"/>
      <c r="D124" s="259"/>
      <c r="E124" s="260"/>
      <c r="F124" s="260"/>
      <c r="G124" s="260"/>
      <c r="H124" s="260"/>
      <c r="I124" s="260"/>
      <c r="J124" s="261"/>
      <c r="K124" s="259"/>
      <c r="L124" s="260"/>
      <c r="M124" s="239"/>
      <c r="N124" s="259"/>
      <c r="O124" s="236">
        <f t="shared" si="25"/>
        <v>0</v>
      </c>
      <c r="Q124" s="16"/>
      <c r="R124" s="2"/>
      <c r="S124" s="2"/>
    </row>
    <row r="125" spans="1:19" outlineLevel="2" x14ac:dyDescent="0.25">
      <c r="A125" s="258" t="s">
        <v>280</v>
      </c>
      <c r="B125" s="249"/>
      <c r="C125" s="234"/>
      <c r="D125" s="259"/>
      <c r="E125" s="260"/>
      <c r="F125" s="260"/>
      <c r="G125" s="260"/>
      <c r="H125" s="260"/>
      <c r="I125" s="260"/>
      <c r="J125" s="261"/>
      <c r="K125" s="259"/>
      <c r="L125" s="260"/>
      <c r="M125" s="239"/>
      <c r="N125" s="259"/>
      <c r="O125" s="236">
        <f t="shared" si="25"/>
        <v>0</v>
      </c>
      <c r="Q125" s="16"/>
      <c r="R125" s="2"/>
      <c r="S125" s="2"/>
    </row>
    <row r="126" spans="1:19" outlineLevel="1" x14ac:dyDescent="0.25">
      <c r="A126" s="265" t="s">
        <v>282</v>
      </c>
      <c r="B126" s="266"/>
      <c r="C126" s="267">
        <f t="shared" ref="C126:N126" si="29">SUM(C127:C129)</f>
        <v>0</v>
      </c>
      <c r="D126" s="268">
        <f t="shared" si="29"/>
        <v>0</v>
      </c>
      <c r="E126" s="268">
        <f t="shared" si="29"/>
        <v>0</v>
      </c>
      <c r="F126" s="268">
        <f t="shared" si="29"/>
        <v>0</v>
      </c>
      <c r="G126" s="268">
        <f t="shared" si="29"/>
        <v>0</v>
      </c>
      <c r="H126" s="268">
        <f t="shared" si="29"/>
        <v>0</v>
      </c>
      <c r="I126" s="268">
        <f>SUM(I127:I129)</f>
        <v>0</v>
      </c>
      <c r="J126" s="268">
        <f t="shared" si="29"/>
        <v>0</v>
      </c>
      <c r="K126" s="268">
        <f t="shared" si="29"/>
        <v>0</v>
      </c>
      <c r="L126" s="268">
        <f t="shared" si="29"/>
        <v>0</v>
      </c>
      <c r="M126" s="268">
        <f t="shared" si="29"/>
        <v>0</v>
      </c>
      <c r="N126" s="269">
        <f t="shared" si="29"/>
        <v>0</v>
      </c>
      <c r="O126" s="236">
        <f t="shared" si="25"/>
        <v>0</v>
      </c>
      <c r="Q126" s="16"/>
      <c r="R126" s="2"/>
      <c r="S126" s="2"/>
    </row>
    <row r="127" spans="1:19" outlineLevel="2" x14ac:dyDescent="0.25">
      <c r="A127" s="258" t="s">
        <v>282</v>
      </c>
      <c r="B127" s="249"/>
      <c r="C127" s="271"/>
      <c r="D127" s="271"/>
      <c r="E127" s="260"/>
      <c r="F127" s="260"/>
      <c r="G127" s="260"/>
      <c r="H127" s="260"/>
      <c r="I127" s="260"/>
      <c r="J127" s="261"/>
      <c r="K127" s="261"/>
      <c r="L127" s="261"/>
      <c r="M127" s="260"/>
      <c r="N127" s="259"/>
      <c r="O127" s="236">
        <f t="shared" si="25"/>
        <v>0</v>
      </c>
      <c r="Q127" s="16"/>
      <c r="R127" s="2"/>
      <c r="S127" s="2"/>
    </row>
    <row r="128" spans="1:19" outlineLevel="2" x14ac:dyDescent="0.25">
      <c r="A128" s="258" t="s">
        <v>285</v>
      </c>
      <c r="B128" s="249"/>
      <c r="C128" s="271"/>
      <c r="D128" s="259"/>
      <c r="E128" s="260"/>
      <c r="F128" s="260"/>
      <c r="G128" s="260"/>
      <c r="H128" s="260"/>
      <c r="J128" s="261"/>
      <c r="K128" s="259"/>
      <c r="L128" s="260"/>
      <c r="M128" s="239"/>
      <c r="N128" s="259"/>
      <c r="O128" s="236">
        <f t="shared" si="25"/>
        <v>0</v>
      </c>
      <c r="Q128" s="16"/>
      <c r="R128" s="2"/>
      <c r="S128" s="2"/>
    </row>
    <row r="129" spans="1:19" outlineLevel="2" x14ac:dyDescent="0.25">
      <c r="A129" s="258" t="s">
        <v>287</v>
      </c>
      <c r="B129" s="249"/>
      <c r="C129" s="234"/>
      <c r="D129" s="259"/>
      <c r="E129" s="260"/>
      <c r="F129" s="260"/>
      <c r="G129" s="260"/>
      <c r="H129" s="260"/>
      <c r="I129" s="260"/>
      <c r="J129" s="261"/>
      <c r="K129" s="259"/>
      <c r="L129" s="260"/>
      <c r="M129" s="239"/>
      <c r="N129" s="259"/>
      <c r="O129" s="236">
        <f t="shared" si="25"/>
        <v>0</v>
      </c>
      <c r="Q129" s="16"/>
      <c r="R129" s="2"/>
      <c r="S129" s="2"/>
    </row>
    <row r="130" spans="1:19" outlineLevel="1" x14ac:dyDescent="0.25">
      <c r="A130" s="265" t="s">
        <v>289</v>
      </c>
      <c r="B130" s="266"/>
      <c r="C130" s="267">
        <f t="shared" ref="C130:N130" si="30">SUM(C131:C137)</f>
        <v>0</v>
      </c>
      <c r="D130" s="268">
        <f t="shared" si="30"/>
        <v>0</v>
      </c>
      <c r="E130" s="268">
        <f t="shared" si="30"/>
        <v>0</v>
      </c>
      <c r="F130" s="268">
        <f t="shared" si="30"/>
        <v>0</v>
      </c>
      <c r="G130" s="268">
        <f t="shared" si="30"/>
        <v>0</v>
      </c>
      <c r="H130" s="268">
        <f>SUM(H131:H137)</f>
        <v>0</v>
      </c>
      <c r="I130" s="268">
        <f t="shared" si="30"/>
        <v>0</v>
      </c>
      <c r="J130" s="268">
        <f t="shared" si="30"/>
        <v>0</v>
      </c>
      <c r="K130" s="268">
        <f t="shared" si="30"/>
        <v>0</v>
      </c>
      <c r="L130" s="268">
        <f t="shared" si="30"/>
        <v>0</v>
      </c>
      <c r="M130" s="268">
        <f t="shared" si="30"/>
        <v>0</v>
      </c>
      <c r="N130" s="269">
        <f t="shared" si="30"/>
        <v>0</v>
      </c>
      <c r="O130" s="236">
        <f t="shared" si="25"/>
        <v>0</v>
      </c>
      <c r="Q130" s="16"/>
      <c r="R130" s="2"/>
      <c r="S130" s="2"/>
    </row>
    <row r="131" spans="1:19" outlineLevel="2" x14ac:dyDescent="0.25">
      <c r="A131" s="258" t="s">
        <v>291</v>
      </c>
      <c r="B131" s="249"/>
      <c r="C131" s="234"/>
      <c r="D131" s="259"/>
      <c r="E131" s="260"/>
      <c r="F131" s="260"/>
      <c r="G131" s="260"/>
      <c r="H131" s="260"/>
      <c r="I131" s="260"/>
      <c r="J131" s="261"/>
      <c r="K131" s="259"/>
      <c r="L131" s="260"/>
      <c r="M131" s="239"/>
      <c r="N131" s="259"/>
      <c r="O131" s="236">
        <f t="shared" si="25"/>
        <v>0</v>
      </c>
      <c r="Q131" s="16"/>
      <c r="R131" s="2"/>
      <c r="S131" s="2"/>
    </row>
    <row r="132" spans="1:19" outlineLevel="2" x14ac:dyDescent="0.25">
      <c r="A132" s="258" t="s">
        <v>293</v>
      </c>
      <c r="B132" s="249"/>
      <c r="C132" s="234"/>
      <c r="D132" s="259"/>
      <c r="E132" s="260"/>
      <c r="F132" s="260"/>
      <c r="G132" s="260"/>
      <c r="H132" s="260"/>
      <c r="I132" s="260"/>
      <c r="J132" s="261"/>
      <c r="K132" s="259"/>
      <c r="L132" s="260"/>
      <c r="M132" s="239"/>
      <c r="N132" s="259"/>
      <c r="O132" s="236">
        <f t="shared" si="25"/>
        <v>0</v>
      </c>
      <c r="Q132" s="16"/>
      <c r="R132" s="2"/>
      <c r="S132" s="2"/>
    </row>
    <row r="133" spans="1:19" outlineLevel="2" x14ac:dyDescent="0.25">
      <c r="A133" s="258" t="s">
        <v>295</v>
      </c>
      <c r="B133" s="249"/>
      <c r="C133" s="234"/>
      <c r="D133" s="259"/>
      <c r="E133" s="260"/>
      <c r="F133" s="260"/>
      <c r="G133" s="260"/>
      <c r="H133" s="260"/>
      <c r="I133" s="260"/>
      <c r="J133" s="261"/>
      <c r="K133" s="259"/>
      <c r="L133" s="260"/>
      <c r="M133" s="239"/>
      <c r="N133" s="259"/>
      <c r="O133" s="236">
        <f t="shared" si="25"/>
        <v>0</v>
      </c>
      <c r="Q133" s="16"/>
      <c r="R133" s="2"/>
      <c r="S133" s="2"/>
    </row>
    <row r="134" spans="1:19" outlineLevel="2" x14ac:dyDescent="0.25">
      <c r="A134" s="258" t="s">
        <v>297</v>
      </c>
      <c r="B134" s="249"/>
      <c r="C134" s="234"/>
      <c r="D134" s="259"/>
      <c r="E134" s="260"/>
      <c r="F134" s="260"/>
      <c r="G134" s="260"/>
      <c r="H134" s="260"/>
      <c r="I134" s="260"/>
      <c r="J134" s="261"/>
      <c r="K134" s="259"/>
      <c r="L134" s="260"/>
      <c r="M134" s="239"/>
      <c r="N134" s="259"/>
      <c r="O134" s="236">
        <f t="shared" si="25"/>
        <v>0</v>
      </c>
      <c r="Q134" s="16"/>
      <c r="R134" s="2"/>
      <c r="S134" s="2"/>
    </row>
    <row r="135" spans="1:19" outlineLevel="2" x14ac:dyDescent="0.25">
      <c r="A135" s="258" t="s">
        <v>299</v>
      </c>
      <c r="B135" s="249"/>
      <c r="C135" s="234"/>
      <c r="D135" s="259"/>
      <c r="E135" s="260"/>
      <c r="F135" s="260"/>
      <c r="G135" s="260"/>
      <c r="H135" s="260"/>
      <c r="I135" s="260"/>
      <c r="J135" s="261"/>
      <c r="K135" s="259"/>
      <c r="L135" s="260"/>
      <c r="M135" s="239"/>
      <c r="N135" s="259"/>
      <c r="O135" s="236">
        <f t="shared" si="25"/>
        <v>0</v>
      </c>
      <c r="Q135" s="16"/>
      <c r="R135" s="2"/>
      <c r="S135" s="2"/>
    </row>
    <row r="136" spans="1:19" outlineLevel="2" x14ac:dyDescent="0.25">
      <c r="A136" s="258" t="s">
        <v>301</v>
      </c>
      <c r="B136" s="249"/>
      <c r="C136" s="234"/>
      <c r="D136" s="259"/>
      <c r="E136" s="260"/>
      <c r="F136" s="260"/>
      <c r="G136" s="260"/>
      <c r="H136" s="260"/>
      <c r="I136" s="260"/>
      <c r="J136" s="261"/>
      <c r="K136" s="259"/>
      <c r="L136" s="260"/>
      <c r="M136" s="239"/>
      <c r="N136" s="259"/>
      <c r="O136" s="236">
        <f t="shared" si="25"/>
        <v>0</v>
      </c>
      <c r="Q136" s="16"/>
      <c r="R136" s="2"/>
      <c r="S136" s="2"/>
    </row>
    <row r="137" spans="1:19" outlineLevel="2" x14ac:dyDescent="0.25">
      <c r="A137" s="258" t="s">
        <v>303</v>
      </c>
      <c r="B137" s="249"/>
      <c r="C137" s="234"/>
      <c r="D137" s="259"/>
      <c r="E137" s="260"/>
      <c r="F137" s="260"/>
      <c r="G137" s="260"/>
      <c r="H137" s="260"/>
      <c r="I137" s="260"/>
      <c r="J137" s="261"/>
      <c r="K137" s="259"/>
      <c r="L137" s="260"/>
      <c r="M137" s="239"/>
      <c r="N137" s="259"/>
      <c r="O137" s="236">
        <f t="shared" si="25"/>
        <v>0</v>
      </c>
      <c r="Q137" s="16"/>
      <c r="R137" s="2"/>
      <c r="S137" s="2"/>
    </row>
    <row r="138" spans="1:19" outlineLevel="1" x14ac:dyDescent="0.25">
      <c r="A138" s="265" t="s">
        <v>305</v>
      </c>
      <c r="B138" s="266"/>
      <c r="C138" s="267">
        <f t="shared" ref="C138:N138" si="31">SUM(C139:C144)</f>
        <v>0</v>
      </c>
      <c r="D138" s="268">
        <f t="shared" si="31"/>
        <v>0</v>
      </c>
      <c r="E138" s="268">
        <f t="shared" si="31"/>
        <v>0</v>
      </c>
      <c r="F138" s="268">
        <f t="shared" si="31"/>
        <v>0</v>
      </c>
      <c r="G138" s="268">
        <f t="shared" si="31"/>
        <v>0</v>
      </c>
      <c r="H138" s="268">
        <f t="shared" si="31"/>
        <v>0</v>
      </c>
      <c r="I138" s="268">
        <f t="shared" si="31"/>
        <v>0</v>
      </c>
      <c r="J138" s="268">
        <f t="shared" si="31"/>
        <v>0</v>
      </c>
      <c r="K138" s="268">
        <f t="shared" si="31"/>
        <v>0</v>
      </c>
      <c r="L138" s="268">
        <f t="shared" si="31"/>
        <v>0</v>
      </c>
      <c r="M138" s="268">
        <f t="shared" si="31"/>
        <v>0</v>
      </c>
      <c r="N138" s="269">
        <f t="shared" si="31"/>
        <v>0</v>
      </c>
      <c r="O138" s="236">
        <f t="shared" si="25"/>
        <v>0</v>
      </c>
      <c r="Q138" s="16"/>
      <c r="R138" s="2"/>
      <c r="S138" s="2"/>
    </row>
    <row r="139" spans="1:19" outlineLevel="2" x14ac:dyDescent="0.25">
      <c r="A139" s="258" t="s">
        <v>307</v>
      </c>
      <c r="B139" s="249"/>
      <c r="C139" s="234"/>
      <c r="D139" s="259"/>
      <c r="E139" s="260"/>
      <c r="F139" s="260"/>
      <c r="G139" s="260"/>
      <c r="H139" s="260"/>
      <c r="I139" s="260"/>
      <c r="J139" s="261"/>
      <c r="K139" s="259"/>
      <c r="L139" s="260"/>
      <c r="M139" s="239"/>
      <c r="N139" s="259"/>
      <c r="O139" s="236">
        <f t="shared" si="25"/>
        <v>0</v>
      </c>
      <c r="Q139" s="16"/>
      <c r="R139" s="2"/>
      <c r="S139" s="2"/>
    </row>
    <row r="140" spans="1:19" outlineLevel="2" x14ac:dyDescent="0.25">
      <c r="A140" s="258" t="s">
        <v>309</v>
      </c>
      <c r="B140" s="249"/>
      <c r="C140" s="234"/>
      <c r="D140" s="259"/>
      <c r="E140" s="260"/>
      <c r="F140" s="260"/>
      <c r="G140" s="260"/>
      <c r="H140" s="260"/>
      <c r="I140" s="260"/>
      <c r="J140" s="261"/>
      <c r="K140" s="259"/>
      <c r="L140" s="260"/>
      <c r="M140" s="239"/>
      <c r="N140" s="259"/>
      <c r="O140" s="236">
        <f t="shared" si="25"/>
        <v>0</v>
      </c>
      <c r="Q140" s="16"/>
      <c r="R140" s="2"/>
      <c r="S140" s="2"/>
    </row>
    <row r="141" spans="1:19" outlineLevel="2" x14ac:dyDescent="0.25">
      <c r="A141" s="258" t="s">
        <v>293</v>
      </c>
      <c r="B141" s="249"/>
      <c r="C141" s="234"/>
      <c r="D141" s="259"/>
      <c r="E141" s="260"/>
      <c r="F141" s="260"/>
      <c r="G141" s="260"/>
      <c r="H141" s="260"/>
      <c r="I141" s="260"/>
      <c r="J141" s="261"/>
      <c r="K141" s="259"/>
      <c r="L141" s="260"/>
      <c r="M141" s="239"/>
      <c r="N141" s="259"/>
      <c r="O141" s="236">
        <f t="shared" si="25"/>
        <v>0</v>
      </c>
      <c r="Q141" s="16"/>
      <c r="R141" s="2"/>
      <c r="S141" s="2"/>
    </row>
    <row r="142" spans="1:19" outlineLevel="2" x14ac:dyDescent="0.25">
      <c r="A142" s="258" t="s">
        <v>312</v>
      </c>
      <c r="B142" s="249"/>
      <c r="C142" s="234"/>
      <c r="D142" s="259"/>
      <c r="E142" s="260"/>
      <c r="F142" s="260"/>
      <c r="G142" s="260"/>
      <c r="H142" s="260"/>
      <c r="I142" s="260"/>
      <c r="J142" s="261"/>
      <c r="K142" s="259"/>
      <c r="L142" s="260"/>
      <c r="M142" s="239"/>
      <c r="N142" s="259"/>
      <c r="O142" s="236">
        <f t="shared" si="25"/>
        <v>0</v>
      </c>
      <c r="Q142" s="16"/>
      <c r="R142" s="2"/>
      <c r="S142" s="2"/>
    </row>
    <row r="143" spans="1:19" outlineLevel="2" x14ac:dyDescent="0.25">
      <c r="A143" s="258" t="s">
        <v>314</v>
      </c>
      <c r="B143" s="249"/>
      <c r="C143" s="234"/>
      <c r="D143" s="259"/>
      <c r="E143" s="260"/>
      <c r="F143" s="260"/>
      <c r="G143" s="260"/>
      <c r="H143" s="260"/>
      <c r="I143" s="260"/>
      <c r="J143" s="261"/>
      <c r="K143" s="259"/>
      <c r="L143" s="260"/>
      <c r="M143" s="239"/>
      <c r="N143" s="259"/>
      <c r="O143" s="236">
        <f t="shared" si="25"/>
        <v>0</v>
      </c>
      <c r="Q143" s="16"/>
      <c r="R143" s="2"/>
      <c r="S143" s="2"/>
    </row>
    <row r="144" spans="1:19" outlineLevel="2" x14ac:dyDescent="0.25">
      <c r="A144" s="258" t="s">
        <v>316</v>
      </c>
      <c r="B144" s="249"/>
      <c r="C144" s="234"/>
      <c r="D144" s="259"/>
      <c r="E144" s="260"/>
      <c r="F144" s="260"/>
      <c r="G144" s="260"/>
      <c r="H144" s="260"/>
      <c r="I144" s="260"/>
      <c r="J144" s="261"/>
      <c r="K144" s="259"/>
      <c r="L144" s="260"/>
      <c r="M144" s="239"/>
      <c r="N144" s="259"/>
      <c r="O144" s="236">
        <f t="shared" ref="O144:O176" si="32">SUM(C144:N144)</f>
        <v>0</v>
      </c>
      <c r="Q144" s="16"/>
      <c r="R144" s="2"/>
      <c r="S144" s="2"/>
    </row>
    <row r="145" spans="1:19" outlineLevel="1" x14ac:dyDescent="0.25">
      <c r="A145" s="265" t="s">
        <v>318</v>
      </c>
      <c r="B145" s="266"/>
      <c r="C145" s="267">
        <f>SUM(C146:C153)</f>
        <v>0</v>
      </c>
      <c r="D145" s="268">
        <f t="shared" ref="D145:N145" si="33">SUM(D146:D153)</f>
        <v>0</v>
      </c>
      <c r="E145" s="268">
        <f t="shared" si="33"/>
        <v>0</v>
      </c>
      <c r="F145" s="268">
        <f t="shared" si="33"/>
        <v>0</v>
      </c>
      <c r="G145" s="268">
        <f t="shared" si="33"/>
        <v>0</v>
      </c>
      <c r="H145" s="268">
        <f t="shared" si="33"/>
        <v>0</v>
      </c>
      <c r="I145" s="268">
        <f t="shared" si="33"/>
        <v>0</v>
      </c>
      <c r="J145" s="268">
        <f t="shared" si="33"/>
        <v>0</v>
      </c>
      <c r="K145" s="268">
        <f t="shared" si="33"/>
        <v>0</v>
      </c>
      <c r="L145" s="268">
        <f t="shared" si="33"/>
        <v>0</v>
      </c>
      <c r="M145" s="268">
        <f t="shared" si="33"/>
        <v>0</v>
      </c>
      <c r="N145" s="269">
        <f t="shared" si="33"/>
        <v>0</v>
      </c>
      <c r="O145" s="236">
        <f t="shared" ref="O145:O153" si="34">SUM(C145:N145)</f>
        <v>0</v>
      </c>
      <c r="Q145" s="16"/>
      <c r="R145" s="2"/>
      <c r="S145" s="2"/>
    </row>
    <row r="146" spans="1:19" outlineLevel="2" x14ac:dyDescent="0.25">
      <c r="A146" s="258" t="s">
        <v>320</v>
      </c>
      <c r="B146" s="249"/>
      <c r="C146" s="234"/>
      <c r="D146" s="259"/>
      <c r="E146" s="260"/>
      <c r="F146" s="260"/>
      <c r="G146" s="260"/>
      <c r="H146" s="260"/>
      <c r="I146" s="260"/>
      <c r="J146" s="261"/>
      <c r="K146" s="259"/>
      <c r="L146" s="260"/>
      <c r="M146" s="239"/>
      <c r="N146" s="259"/>
      <c r="O146" s="236">
        <f t="shared" si="34"/>
        <v>0</v>
      </c>
      <c r="Q146" s="16"/>
      <c r="R146" s="2"/>
      <c r="S146" s="2"/>
    </row>
    <row r="147" spans="1:19" outlineLevel="2" x14ac:dyDescent="0.25">
      <c r="A147" s="258" t="s">
        <v>322</v>
      </c>
      <c r="B147" s="249"/>
      <c r="C147" s="234"/>
      <c r="D147" s="259"/>
      <c r="E147" s="260"/>
      <c r="F147" s="260"/>
      <c r="G147" s="260"/>
      <c r="H147" s="260"/>
      <c r="I147" s="260"/>
      <c r="J147" s="261"/>
      <c r="K147" s="259"/>
      <c r="L147" s="260"/>
      <c r="M147" s="239"/>
      <c r="N147" s="259"/>
      <c r="O147" s="236">
        <f t="shared" si="34"/>
        <v>0</v>
      </c>
      <c r="Q147" s="16"/>
      <c r="R147" s="2"/>
      <c r="S147" s="2"/>
    </row>
    <row r="148" spans="1:19" outlineLevel="2" x14ac:dyDescent="0.25">
      <c r="A148" s="258" t="s">
        <v>324</v>
      </c>
      <c r="B148" s="249"/>
      <c r="C148" s="234"/>
      <c r="D148" s="259"/>
      <c r="E148" s="260"/>
      <c r="F148" s="260"/>
      <c r="G148" s="260"/>
      <c r="H148" s="260"/>
      <c r="I148" s="260"/>
      <c r="J148" s="261"/>
      <c r="K148" s="259"/>
      <c r="L148" s="260"/>
      <c r="M148" s="239"/>
      <c r="N148" s="259"/>
      <c r="O148" s="236">
        <f t="shared" si="34"/>
        <v>0</v>
      </c>
      <c r="Q148" s="16"/>
      <c r="R148" s="2"/>
      <c r="S148" s="2"/>
    </row>
    <row r="149" spans="1:19" outlineLevel="2" x14ac:dyDescent="0.25">
      <c r="A149" s="258" t="s">
        <v>326</v>
      </c>
      <c r="B149" s="249"/>
      <c r="C149" s="234"/>
      <c r="D149" s="259"/>
      <c r="E149" s="260"/>
      <c r="F149" s="260"/>
      <c r="G149" s="260"/>
      <c r="H149" s="260"/>
      <c r="I149" s="260"/>
      <c r="J149" s="261"/>
      <c r="K149" s="259"/>
      <c r="L149" s="260"/>
      <c r="M149" s="239"/>
      <c r="N149" s="259"/>
      <c r="O149" s="236">
        <f t="shared" si="34"/>
        <v>0</v>
      </c>
      <c r="Q149" s="16"/>
      <c r="R149" s="2"/>
      <c r="S149" s="2"/>
    </row>
    <row r="150" spans="1:19" outlineLevel="2" x14ac:dyDescent="0.25">
      <c r="A150" s="258" t="s">
        <v>328</v>
      </c>
      <c r="B150" s="249"/>
      <c r="C150" s="234"/>
      <c r="D150" s="259"/>
      <c r="E150" s="260"/>
      <c r="F150" s="260"/>
      <c r="G150" s="260"/>
      <c r="H150" s="260"/>
      <c r="I150" s="260"/>
      <c r="J150" s="261"/>
      <c r="K150" s="259"/>
      <c r="L150" s="260"/>
      <c r="M150" s="239"/>
      <c r="N150" s="259"/>
      <c r="O150" s="236">
        <f t="shared" si="34"/>
        <v>0</v>
      </c>
      <c r="Q150" s="16"/>
      <c r="R150" s="2"/>
      <c r="S150" s="2"/>
    </row>
    <row r="151" spans="1:19" outlineLevel="2" x14ac:dyDescent="0.25">
      <c r="A151" s="258" t="s">
        <v>329</v>
      </c>
      <c r="B151" s="249"/>
      <c r="C151" s="234"/>
      <c r="D151" s="259"/>
      <c r="E151" s="260"/>
      <c r="F151" s="260"/>
      <c r="G151" s="260"/>
      <c r="H151" s="260"/>
      <c r="I151" s="260"/>
      <c r="J151" s="261"/>
      <c r="K151" s="259"/>
      <c r="L151" s="260"/>
      <c r="M151" s="239"/>
      <c r="N151" s="259"/>
      <c r="O151" s="236">
        <f t="shared" si="34"/>
        <v>0</v>
      </c>
      <c r="Q151" s="16"/>
      <c r="R151" s="2"/>
      <c r="S151" s="2"/>
    </row>
    <row r="152" spans="1:19" outlineLevel="2" x14ac:dyDescent="0.25">
      <c r="A152" s="258" t="s">
        <v>331</v>
      </c>
      <c r="B152" s="249"/>
      <c r="C152" s="234"/>
      <c r="D152" s="259"/>
      <c r="E152" s="260"/>
      <c r="F152" s="260"/>
      <c r="G152" s="260"/>
      <c r="H152" s="260"/>
      <c r="I152" s="260"/>
      <c r="J152" s="261"/>
      <c r="K152" s="259"/>
      <c r="L152" s="260"/>
      <c r="M152" s="239"/>
      <c r="N152" s="259"/>
      <c r="O152" s="236">
        <f t="shared" si="34"/>
        <v>0</v>
      </c>
      <c r="Q152" s="16"/>
      <c r="R152" s="2"/>
      <c r="S152" s="2"/>
    </row>
    <row r="153" spans="1:19" outlineLevel="2" x14ac:dyDescent="0.25">
      <c r="A153" s="258" t="s">
        <v>333</v>
      </c>
      <c r="B153" s="249"/>
      <c r="C153" s="234"/>
      <c r="D153" s="259"/>
      <c r="E153" s="260"/>
      <c r="F153" s="260"/>
      <c r="G153" s="260"/>
      <c r="H153" s="260"/>
      <c r="I153" s="260"/>
      <c r="J153" s="261"/>
      <c r="K153" s="259"/>
      <c r="L153" s="260"/>
      <c r="M153" s="239"/>
      <c r="N153" s="259"/>
      <c r="O153" s="236">
        <f t="shared" si="34"/>
        <v>0</v>
      </c>
      <c r="Q153" s="16"/>
      <c r="R153" s="2"/>
      <c r="S153" s="2"/>
    </row>
    <row r="154" spans="1:19" s="77" customFormat="1" x14ac:dyDescent="0.25">
      <c r="A154" s="220" t="s">
        <v>335</v>
      </c>
      <c r="B154" s="273"/>
      <c r="C154" s="274">
        <f t="shared" ref="C154:N154" si="35">C155</f>
        <v>0</v>
      </c>
      <c r="D154" s="274">
        <f t="shared" si="35"/>
        <v>0</v>
      </c>
      <c r="E154" s="274">
        <f t="shared" si="35"/>
        <v>0</v>
      </c>
      <c r="F154" s="274">
        <f t="shared" si="35"/>
        <v>0</v>
      </c>
      <c r="G154" s="274">
        <f t="shared" si="35"/>
        <v>0</v>
      </c>
      <c r="H154" s="274">
        <f t="shared" si="35"/>
        <v>0</v>
      </c>
      <c r="I154" s="274">
        <f t="shared" si="35"/>
        <v>0</v>
      </c>
      <c r="J154" s="274">
        <f t="shared" si="35"/>
        <v>0</v>
      </c>
      <c r="K154" s="274">
        <f t="shared" si="35"/>
        <v>0</v>
      </c>
      <c r="L154" s="274">
        <f t="shared" si="35"/>
        <v>0</v>
      </c>
      <c r="M154" s="274">
        <f t="shared" si="35"/>
        <v>0</v>
      </c>
      <c r="N154" s="274">
        <f t="shared" si="35"/>
        <v>0</v>
      </c>
      <c r="O154" s="221">
        <f t="shared" ref="O154" si="36">SUM(C154:N154)</f>
        <v>0</v>
      </c>
      <c r="Q154" s="205"/>
      <c r="R154" s="78"/>
      <c r="S154" s="78"/>
    </row>
    <row r="155" spans="1:19" outlineLevel="1" x14ac:dyDescent="0.25">
      <c r="A155" s="265" t="s">
        <v>337</v>
      </c>
      <c r="B155" s="266"/>
      <c r="C155" s="267">
        <f>SUM(C156:C166)</f>
        <v>0</v>
      </c>
      <c r="D155" s="267">
        <f>SUM(D156:D166)</f>
        <v>0</v>
      </c>
      <c r="E155" s="267">
        <f>SUM(E156:E166)</f>
        <v>0</v>
      </c>
      <c r="F155" s="267">
        <f>SUM(F156:F166)</f>
        <v>0</v>
      </c>
      <c r="G155" s="267">
        <f>SUM(G156:G166)</f>
        <v>0</v>
      </c>
      <c r="H155" s="267">
        <f t="shared" ref="H155:N155" si="37">SUM(H156:H166)</f>
        <v>0</v>
      </c>
      <c r="I155" s="267">
        <f t="shared" si="37"/>
        <v>0</v>
      </c>
      <c r="J155" s="267">
        <f t="shared" si="37"/>
        <v>0</v>
      </c>
      <c r="K155" s="267">
        <f t="shared" si="37"/>
        <v>0</v>
      </c>
      <c r="L155" s="267">
        <f t="shared" si="37"/>
        <v>0</v>
      </c>
      <c r="M155" s="267">
        <f t="shared" si="37"/>
        <v>0</v>
      </c>
      <c r="N155" s="267">
        <f t="shared" si="37"/>
        <v>0</v>
      </c>
      <c r="O155" s="236">
        <f t="shared" ref="O155:O164" si="38">SUM(C155:N155)</f>
        <v>0</v>
      </c>
      <c r="Q155" s="16"/>
      <c r="R155" s="2"/>
      <c r="S155" s="2"/>
    </row>
    <row r="156" spans="1:19" outlineLevel="2" x14ac:dyDescent="0.25">
      <c r="A156" s="258" t="s">
        <v>681</v>
      </c>
      <c r="B156" s="249"/>
      <c r="C156" s="405"/>
      <c r="D156" s="260"/>
      <c r="E156" s="260"/>
      <c r="F156" s="260"/>
      <c r="G156" s="260"/>
      <c r="H156" s="260"/>
      <c r="I156" s="260"/>
      <c r="J156" s="261"/>
      <c r="K156" s="260"/>
      <c r="L156" s="260"/>
      <c r="M156" s="323"/>
      <c r="N156" s="260"/>
      <c r="O156" s="236">
        <f t="shared" si="38"/>
        <v>0</v>
      </c>
      <c r="Q156" s="16"/>
      <c r="R156" s="2"/>
      <c r="S156" s="2"/>
    </row>
    <row r="157" spans="1:19" outlineLevel="2" x14ac:dyDescent="0.25">
      <c r="A157" s="258" t="s">
        <v>340</v>
      </c>
      <c r="B157" s="249"/>
      <c r="C157" s="405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323"/>
      <c r="O157" s="236">
        <f t="shared" si="38"/>
        <v>0</v>
      </c>
      <c r="Q157" s="16"/>
      <c r="R157" s="2"/>
      <c r="S157" s="2"/>
    </row>
    <row r="158" spans="1:19" outlineLevel="2" x14ac:dyDescent="0.25">
      <c r="A158" s="258" t="s">
        <v>341</v>
      </c>
      <c r="B158" s="249"/>
      <c r="C158" s="405"/>
      <c r="D158" s="260"/>
      <c r="E158" s="260"/>
      <c r="F158" s="260"/>
      <c r="G158" s="260"/>
      <c r="H158" s="260"/>
      <c r="I158" s="260"/>
      <c r="J158" s="261"/>
      <c r="K158" s="260"/>
      <c r="L158" s="260"/>
      <c r="M158" s="323"/>
      <c r="N158" s="406"/>
      <c r="O158" s="236">
        <f t="shared" si="38"/>
        <v>0</v>
      </c>
      <c r="Q158" s="16"/>
      <c r="R158" s="2"/>
      <c r="S158" s="2"/>
    </row>
    <row r="159" spans="1:19" outlineLevel="2" x14ac:dyDescent="0.25">
      <c r="A159" s="222" t="s">
        <v>342</v>
      </c>
      <c r="B159" s="249"/>
      <c r="C159" s="405"/>
      <c r="D159" s="260"/>
      <c r="E159" s="260"/>
      <c r="F159" s="260"/>
      <c r="G159" s="260"/>
      <c r="H159" s="260"/>
      <c r="I159" s="260"/>
      <c r="J159" s="261"/>
      <c r="K159" s="260"/>
      <c r="L159" s="260"/>
      <c r="M159" s="323"/>
      <c r="N159" s="406"/>
      <c r="O159" s="236">
        <f t="shared" si="38"/>
        <v>0</v>
      </c>
      <c r="Q159" s="16"/>
      <c r="R159" s="2"/>
      <c r="S159" s="2"/>
    </row>
    <row r="160" spans="1:19" outlineLevel="2" x14ac:dyDescent="0.25">
      <c r="A160" s="258" t="s">
        <v>343</v>
      </c>
      <c r="B160" s="249"/>
      <c r="C160" s="260"/>
      <c r="D160" s="260"/>
      <c r="E160" s="260"/>
      <c r="F160" s="260"/>
      <c r="G160" s="260"/>
      <c r="H160" s="260"/>
      <c r="I160" s="260"/>
      <c r="J160" s="261"/>
      <c r="K160" s="260"/>
      <c r="L160" s="260"/>
      <c r="M160" s="323"/>
      <c r="N160" s="406"/>
      <c r="O160" s="236">
        <f t="shared" si="38"/>
        <v>0</v>
      </c>
      <c r="Q160" s="16"/>
      <c r="R160" s="2"/>
      <c r="S160" s="2"/>
    </row>
    <row r="161" spans="1:19" outlineLevel="2" x14ac:dyDescent="0.25">
      <c r="A161" s="1" t="s">
        <v>524</v>
      </c>
      <c r="B161" s="249"/>
      <c r="C161" s="260"/>
      <c r="D161" s="260"/>
      <c r="E161" s="260"/>
      <c r="F161" s="260"/>
      <c r="G161" s="260"/>
      <c r="H161" s="260"/>
      <c r="I161" s="260"/>
      <c r="J161" s="261"/>
      <c r="K161" s="260"/>
      <c r="L161" s="260"/>
      <c r="M161" s="323"/>
      <c r="N161" s="406"/>
      <c r="O161" s="236">
        <f t="shared" si="38"/>
        <v>0</v>
      </c>
      <c r="Q161" s="16"/>
      <c r="R161" s="2"/>
      <c r="S161" s="2"/>
    </row>
    <row r="162" spans="1:19" ht="12.75" customHeight="1" outlineLevel="2" x14ac:dyDescent="0.25">
      <c r="A162" s="258" t="s">
        <v>344</v>
      </c>
      <c r="B162" s="249"/>
      <c r="C162" s="405"/>
      <c r="D162" s="260"/>
      <c r="E162" s="260"/>
      <c r="F162" s="260"/>
      <c r="G162" s="260"/>
      <c r="H162" s="260"/>
      <c r="I162" s="260"/>
      <c r="J162" s="260"/>
      <c r="K162" s="260"/>
      <c r="L162" s="260"/>
      <c r="M162" s="323"/>
      <c r="N162" s="406"/>
      <c r="O162" s="236">
        <f t="shared" si="38"/>
        <v>0</v>
      </c>
      <c r="Q162" s="16"/>
      <c r="R162" s="2"/>
      <c r="S162" s="2"/>
    </row>
    <row r="163" spans="1:19" ht="12.75" customHeight="1" outlineLevel="2" x14ac:dyDescent="0.25">
      <c r="A163" s="258" t="s">
        <v>345</v>
      </c>
      <c r="B163" s="249"/>
      <c r="C163" s="405"/>
      <c r="D163" s="260"/>
      <c r="E163" s="260"/>
      <c r="F163" s="260"/>
      <c r="G163" s="260"/>
      <c r="H163" s="260"/>
      <c r="I163" s="260"/>
      <c r="J163" s="261"/>
      <c r="K163" s="260"/>
      <c r="L163" s="260"/>
      <c r="M163" s="323"/>
      <c r="N163" s="406"/>
      <c r="O163" s="236">
        <f t="shared" si="38"/>
        <v>0</v>
      </c>
      <c r="Q163" s="16"/>
      <c r="R163" s="2"/>
      <c r="S163" s="2"/>
    </row>
    <row r="164" spans="1:19" ht="12.75" customHeight="1" outlineLevel="2" x14ac:dyDescent="0.25">
      <c r="A164" s="258" t="s">
        <v>346</v>
      </c>
      <c r="B164" s="249"/>
      <c r="C164" s="405"/>
      <c r="D164" s="260"/>
      <c r="E164" s="260"/>
      <c r="F164" s="260"/>
      <c r="G164" s="260"/>
      <c r="H164" s="260"/>
      <c r="I164" s="260"/>
      <c r="J164" s="261"/>
      <c r="K164" s="260"/>
      <c r="L164" s="260"/>
      <c r="M164" s="323"/>
      <c r="N164" s="323"/>
      <c r="O164" s="236">
        <f t="shared" si="38"/>
        <v>0</v>
      </c>
      <c r="Q164" s="16"/>
      <c r="R164" s="2"/>
      <c r="S164" s="2"/>
    </row>
    <row r="165" spans="1:19" outlineLevel="2" x14ac:dyDescent="0.25">
      <c r="A165" s="258" t="s">
        <v>347</v>
      </c>
      <c r="B165" s="249"/>
      <c r="C165" s="405"/>
      <c r="D165" s="260"/>
      <c r="E165" s="260"/>
      <c r="F165" s="260"/>
      <c r="G165" s="260"/>
      <c r="H165" s="260"/>
      <c r="I165" s="260"/>
      <c r="J165" s="261"/>
      <c r="K165" s="260"/>
      <c r="L165" s="260"/>
      <c r="M165" s="323"/>
      <c r="N165" s="406"/>
      <c r="O165" s="236"/>
      <c r="Q165" s="16"/>
      <c r="R165" s="2"/>
      <c r="S165" s="2"/>
    </row>
    <row r="166" spans="1:19" outlineLevel="2" x14ac:dyDescent="0.25">
      <c r="A166" s="258" t="s">
        <v>348</v>
      </c>
      <c r="B166" s="249"/>
      <c r="C166" s="405"/>
      <c r="D166" s="260"/>
      <c r="E166" s="260"/>
      <c r="F166" s="260"/>
      <c r="G166" s="260"/>
      <c r="H166" s="260"/>
      <c r="I166" s="260"/>
      <c r="J166" s="261"/>
      <c r="K166" s="260"/>
      <c r="L166" s="260"/>
      <c r="M166" s="323"/>
      <c r="N166" s="406"/>
      <c r="O166" s="236"/>
      <c r="Q166" s="16"/>
      <c r="R166" s="2"/>
      <c r="S166" s="2"/>
    </row>
    <row r="167" spans="1:19" s="6" customFormat="1" x14ac:dyDescent="0.25">
      <c r="A167" s="223" t="s">
        <v>349</v>
      </c>
      <c r="B167" s="253"/>
      <c r="C167" s="254">
        <f t="shared" ref="C167:N167" si="39">SUM(C168,C177)</f>
        <v>0</v>
      </c>
      <c r="D167" s="255">
        <f t="shared" si="39"/>
        <v>0</v>
      </c>
      <c r="E167" s="255">
        <f t="shared" si="39"/>
        <v>0</v>
      </c>
      <c r="F167" s="255">
        <f t="shared" si="39"/>
        <v>0</v>
      </c>
      <c r="G167" s="255">
        <f t="shared" si="39"/>
        <v>0</v>
      </c>
      <c r="H167" s="255">
        <f t="shared" si="39"/>
        <v>0</v>
      </c>
      <c r="I167" s="255">
        <f t="shared" si="39"/>
        <v>0</v>
      </c>
      <c r="J167" s="255">
        <f t="shared" si="39"/>
        <v>0</v>
      </c>
      <c r="K167" s="255">
        <f t="shared" si="39"/>
        <v>0</v>
      </c>
      <c r="L167" s="255">
        <f t="shared" si="39"/>
        <v>0</v>
      </c>
      <c r="M167" s="255">
        <f t="shared" si="39"/>
        <v>0</v>
      </c>
      <c r="N167" s="256">
        <f t="shared" si="39"/>
        <v>0</v>
      </c>
      <c r="O167" s="257">
        <f t="shared" si="32"/>
        <v>0</v>
      </c>
      <c r="Q167" s="18"/>
      <c r="R167" s="19"/>
      <c r="S167" s="19"/>
    </row>
    <row r="168" spans="1:19" outlineLevel="1" x14ac:dyDescent="0.25">
      <c r="A168" s="265" t="s">
        <v>351</v>
      </c>
      <c r="B168" s="266"/>
      <c r="C168" s="267">
        <f t="shared" ref="C168:N168" si="40">SUM(C169:C176)</f>
        <v>0</v>
      </c>
      <c r="D168" s="268">
        <f t="shared" si="40"/>
        <v>0</v>
      </c>
      <c r="E168" s="268">
        <f t="shared" si="40"/>
        <v>0</v>
      </c>
      <c r="F168" s="268">
        <f t="shared" si="40"/>
        <v>0</v>
      </c>
      <c r="G168" s="268">
        <f t="shared" si="40"/>
        <v>0</v>
      </c>
      <c r="H168" s="268">
        <f t="shared" si="40"/>
        <v>0</v>
      </c>
      <c r="I168" s="268">
        <f t="shared" si="40"/>
        <v>0</v>
      </c>
      <c r="J168" s="268">
        <f t="shared" si="40"/>
        <v>0</v>
      </c>
      <c r="K168" s="268">
        <f t="shared" si="40"/>
        <v>0</v>
      </c>
      <c r="L168" s="268">
        <f t="shared" si="40"/>
        <v>0</v>
      </c>
      <c r="M168" s="268">
        <f t="shared" si="40"/>
        <v>0</v>
      </c>
      <c r="N168" s="269">
        <f t="shared" si="40"/>
        <v>0</v>
      </c>
      <c r="O168" s="270">
        <f>SUM(C168:N168)</f>
        <v>0</v>
      </c>
      <c r="Q168" s="16"/>
      <c r="R168" s="2"/>
      <c r="S168" s="2"/>
    </row>
    <row r="169" spans="1:19" outlineLevel="2" x14ac:dyDescent="0.25">
      <c r="A169" s="258" t="s">
        <v>353</v>
      </c>
      <c r="B169" s="249"/>
      <c r="C169" s="404"/>
      <c r="D169" s="404"/>
      <c r="E169" s="404"/>
      <c r="F169" s="260"/>
      <c r="G169" s="260"/>
      <c r="H169" s="260"/>
      <c r="I169" s="260"/>
      <c r="J169" s="261"/>
      <c r="K169" s="260"/>
      <c r="L169" s="260"/>
      <c r="M169" s="323"/>
      <c r="N169" s="260"/>
      <c r="O169" s="236">
        <f t="shared" si="32"/>
        <v>0</v>
      </c>
      <c r="Q169" s="16"/>
      <c r="R169" s="2"/>
      <c r="S169" s="2"/>
    </row>
    <row r="170" spans="1:19" outlineLevel="2" x14ac:dyDescent="0.25">
      <c r="A170" s="258" t="s">
        <v>355</v>
      </c>
      <c r="B170" s="249"/>
      <c r="C170" s="404"/>
      <c r="D170" s="260"/>
      <c r="E170" s="260"/>
      <c r="F170" s="260"/>
      <c r="G170" s="260"/>
      <c r="H170" s="260"/>
      <c r="I170" s="260"/>
      <c r="J170" s="261"/>
      <c r="K170" s="260"/>
      <c r="L170" s="260"/>
      <c r="M170" s="323"/>
      <c r="N170" s="260"/>
      <c r="O170" s="236">
        <f t="shared" si="32"/>
        <v>0</v>
      </c>
      <c r="Q170" s="16"/>
      <c r="R170" s="2"/>
      <c r="S170" s="2"/>
    </row>
    <row r="171" spans="1:19" outlineLevel="2" x14ac:dyDescent="0.25">
      <c r="A171" s="258" t="s">
        <v>357</v>
      </c>
      <c r="B171" s="249"/>
      <c r="C171" s="404"/>
      <c r="D171" s="260"/>
      <c r="E171" s="260"/>
      <c r="F171" s="260"/>
      <c r="G171" s="260"/>
      <c r="H171" s="260"/>
      <c r="I171" s="260"/>
      <c r="J171" s="261"/>
      <c r="K171" s="260"/>
      <c r="L171" s="260"/>
      <c r="M171" s="323"/>
      <c r="N171" s="260"/>
      <c r="O171" s="236">
        <f t="shared" si="32"/>
        <v>0</v>
      </c>
      <c r="Q171" s="16"/>
      <c r="R171" s="2"/>
      <c r="S171" s="2"/>
    </row>
    <row r="172" spans="1:19" outlineLevel="2" x14ac:dyDescent="0.25">
      <c r="A172" s="258" t="s">
        <v>359</v>
      </c>
      <c r="B172" s="249"/>
      <c r="C172" s="404"/>
      <c r="D172" s="260"/>
      <c r="E172" s="260"/>
      <c r="F172" s="260"/>
      <c r="G172" s="260"/>
      <c r="H172" s="260"/>
      <c r="I172" s="260"/>
      <c r="J172" s="261"/>
      <c r="K172" s="260"/>
      <c r="L172" s="260"/>
      <c r="M172" s="323"/>
      <c r="N172" s="260"/>
      <c r="O172" s="236">
        <f t="shared" si="32"/>
        <v>0</v>
      </c>
      <c r="Q172" s="16"/>
      <c r="R172" s="2"/>
      <c r="S172" s="2"/>
    </row>
    <row r="173" spans="1:19" outlineLevel="2" x14ac:dyDescent="0.25">
      <c r="A173" s="258" t="s">
        <v>361</v>
      </c>
      <c r="B173" s="249"/>
      <c r="C173" s="404"/>
      <c r="D173" s="260"/>
      <c r="E173" s="260"/>
      <c r="F173" s="260"/>
      <c r="G173" s="260"/>
      <c r="H173" s="260"/>
      <c r="I173" s="260"/>
      <c r="J173" s="261"/>
      <c r="K173" s="260"/>
      <c r="L173" s="260"/>
      <c r="M173" s="323"/>
      <c r="N173" s="260"/>
      <c r="O173" s="236">
        <f t="shared" si="32"/>
        <v>0</v>
      </c>
      <c r="Q173" s="16"/>
      <c r="R173" s="2"/>
      <c r="S173" s="2"/>
    </row>
    <row r="174" spans="1:19" outlineLevel="2" x14ac:dyDescent="0.25">
      <c r="A174" s="258" t="s">
        <v>362</v>
      </c>
      <c r="B174" s="249"/>
      <c r="C174" s="404"/>
      <c r="D174" s="260"/>
      <c r="E174" s="260"/>
      <c r="F174" s="260"/>
      <c r="G174" s="260"/>
      <c r="H174" s="260"/>
      <c r="I174" s="260"/>
      <c r="J174" s="261"/>
      <c r="K174" s="260"/>
      <c r="L174" s="260"/>
      <c r="M174" s="323"/>
      <c r="N174" s="260"/>
      <c r="O174" s="236">
        <f t="shared" si="32"/>
        <v>0</v>
      </c>
      <c r="Q174" s="16"/>
      <c r="R174" s="2"/>
      <c r="S174" s="2"/>
    </row>
    <row r="175" spans="1:19" outlineLevel="2" x14ac:dyDescent="0.25">
      <c r="A175" s="258" t="s">
        <v>363</v>
      </c>
      <c r="B175" s="249"/>
      <c r="C175" s="404"/>
      <c r="D175" s="260"/>
      <c r="E175" s="260"/>
      <c r="F175" s="260"/>
      <c r="G175" s="260"/>
      <c r="H175" s="260"/>
      <c r="I175" s="260"/>
      <c r="J175" s="261"/>
      <c r="K175" s="260"/>
      <c r="L175" s="260"/>
      <c r="M175" s="323"/>
      <c r="N175" s="260"/>
      <c r="O175" s="236">
        <f t="shared" si="32"/>
        <v>0</v>
      </c>
      <c r="Q175" s="16"/>
      <c r="R175" s="2"/>
      <c r="S175" s="2"/>
    </row>
    <row r="176" spans="1:19" outlineLevel="2" x14ac:dyDescent="0.25">
      <c r="A176" s="258" t="s">
        <v>365</v>
      </c>
      <c r="B176" s="249"/>
      <c r="C176" s="404"/>
      <c r="D176" s="260"/>
      <c r="E176" s="260"/>
      <c r="F176" s="260"/>
      <c r="G176" s="260"/>
      <c r="H176" s="260"/>
      <c r="I176" s="260"/>
      <c r="J176" s="261"/>
      <c r="K176" s="260"/>
      <c r="L176" s="260"/>
      <c r="M176" s="323"/>
      <c r="N176" s="260"/>
      <c r="O176" s="236">
        <f t="shared" si="32"/>
        <v>0</v>
      </c>
      <c r="Q176" s="16"/>
      <c r="R176" s="2"/>
      <c r="S176" s="2"/>
    </row>
    <row r="177" spans="1:19" outlineLevel="1" x14ac:dyDescent="0.25">
      <c r="A177" s="265" t="s">
        <v>367</v>
      </c>
      <c r="B177" s="266"/>
      <c r="C177" s="267">
        <f t="shared" ref="C177:N177" si="41">SUM(C178:C182)</f>
        <v>0</v>
      </c>
      <c r="D177" s="268">
        <f t="shared" si="41"/>
        <v>0</v>
      </c>
      <c r="E177" s="268">
        <f t="shared" si="41"/>
        <v>0</v>
      </c>
      <c r="F177" s="268">
        <f t="shared" si="41"/>
        <v>0</v>
      </c>
      <c r="G177" s="268">
        <f t="shared" si="41"/>
        <v>0</v>
      </c>
      <c r="H177" s="268">
        <f t="shared" si="41"/>
        <v>0</v>
      </c>
      <c r="I177" s="268">
        <f t="shared" si="41"/>
        <v>0</v>
      </c>
      <c r="J177" s="268">
        <f t="shared" si="41"/>
        <v>0</v>
      </c>
      <c r="K177" s="268">
        <f t="shared" si="41"/>
        <v>0</v>
      </c>
      <c r="L177" s="268">
        <f t="shared" si="41"/>
        <v>0</v>
      </c>
      <c r="M177" s="268">
        <f t="shared" si="41"/>
        <v>0</v>
      </c>
      <c r="N177" s="269">
        <f t="shared" si="41"/>
        <v>0</v>
      </c>
      <c r="O177" s="270">
        <f t="shared" ref="O177:O182" si="42">SUM(C177:N177)</f>
        <v>0</v>
      </c>
      <c r="Q177" s="16"/>
      <c r="R177" s="2"/>
      <c r="S177" s="2"/>
    </row>
    <row r="178" spans="1:19" outlineLevel="2" x14ac:dyDescent="0.25">
      <c r="A178" s="258" t="s">
        <v>369</v>
      </c>
      <c r="B178" s="249"/>
      <c r="C178" s="234"/>
      <c r="D178" s="259"/>
      <c r="E178" s="260"/>
      <c r="F178" s="260"/>
      <c r="G178" s="260"/>
      <c r="H178" s="260"/>
      <c r="I178" s="260"/>
      <c r="J178" s="261"/>
      <c r="K178" s="259"/>
      <c r="L178" s="260"/>
      <c r="M178" s="239"/>
      <c r="N178" s="259"/>
      <c r="O178" s="236">
        <f t="shared" si="42"/>
        <v>0</v>
      </c>
      <c r="Q178" s="16"/>
      <c r="R178" s="2"/>
      <c r="S178" s="2"/>
    </row>
    <row r="179" spans="1:19" outlineLevel="2" x14ac:dyDescent="0.25">
      <c r="A179" s="258" t="s">
        <v>371</v>
      </c>
      <c r="B179" s="249"/>
      <c r="C179" s="234"/>
      <c r="D179" s="259"/>
      <c r="E179" s="260"/>
      <c r="F179" s="260"/>
      <c r="G179" s="260"/>
      <c r="H179" s="260"/>
      <c r="I179" s="260"/>
      <c r="J179" s="261"/>
      <c r="K179" s="259"/>
      <c r="L179" s="260"/>
      <c r="M179" s="239"/>
      <c r="N179" s="259"/>
      <c r="O179" s="236">
        <f t="shared" si="42"/>
        <v>0</v>
      </c>
      <c r="Q179" s="16"/>
      <c r="R179" s="2"/>
      <c r="S179" s="2"/>
    </row>
    <row r="180" spans="1:19" outlineLevel="2" x14ac:dyDescent="0.25">
      <c r="A180" s="258" t="s">
        <v>373</v>
      </c>
      <c r="B180" s="249"/>
      <c r="C180" s="234"/>
      <c r="D180" s="259"/>
      <c r="E180" s="260"/>
      <c r="F180" s="260"/>
      <c r="G180" s="260"/>
      <c r="H180" s="260"/>
      <c r="I180" s="260"/>
      <c r="J180" s="261"/>
      <c r="K180" s="259"/>
      <c r="L180" s="260"/>
      <c r="M180" s="239"/>
      <c r="N180" s="259"/>
      <c r="O180" s="236">
        <f t="shared" si="42"/>
        <v>0</v>
      </c>
      <c r="Q180" s="16"/>
      <c r="R180" s="2"/>
      <c r="S180" s="2"/>
    </row>
    <row r="181" spans="1:19" outlineLevel="2" x14ac:dyDescent="0.25">
      <c r="A181" s="258" t="s">
        <v>375</v>
      </c>
      <c r="B181" s="249"/>
      <c r="C181" s="234"/>
      <c r="D181" s="259"/>
      <c r="E181" s="260"/>
      <c r="F181" s="260"/>
      <c r="G181" s="260"/>
      <c r="H181" s="260"/>
      <c r="I181" s="260"/>
      <c r="J181" s="261"/>
      <c r="K181" s="259"/>
      <c r="L181" s="260"/>
      <c r="M181" s="239"/>
      <c r="N181" s="259"/>
      <c r="O181" s="236">
        <f t="shared" si="42"/>
        <v>0</v>
      </c>
      <c r="Q181" s="16"/>
      <c r="R181" s="2"/>
      <c r="S181" s="2"/>
    </row>
    <row r="182" spans="1:19" outlineLevel="2" x14ac:dyDescent="0.25">
      <c r="A182" s="258" t="s">
        <v>377</v>
      </c>
      <c r="B182" s="249"/>
      <c r="C182" s="234"/>
      <c r="D182" s="259"/>
      <c r="E182" s="260"/>
      <c r="F182" s="260"/>
      <c r="G182" s="260"/>
      <c r="H182" s="260"/>
      <c r="I182" s="260"/>
      <c r="J182" s="261"/>
      <c r="K182" s="259"/>
      <c r="L182" s="260"/>
      <c r="M182" s="239"/>
      <c r="N182" s="259"/>
      <c r="O182" s="236">
        <f t="shared" si="42"/>
        <v>0</v>
      </c>
      <c r="Q182" s="16"/>
      <c r="R182" s="2"/>
      <c r="S182" s="2"/>
    </row>
    <row r="183" spans="1:19" s="6" customFormat="1" x14ac:dyDescent="0.25">
      <c r="A183" s="223" t="s">
        <v>379</v>
      </c>
      <c r="B183" s="253"/>
      <c r="C183" s="254">
        <f t="shared" ref="C183:N183" si="43">SUM(C184,C191)</f>
        <v>0</v>
      </c>
      <c r="D183" s="255">
        <f t="shared" si="43"/>
        <v>0</v>
      </c>
      <c r="E183" s="255">
        <f t="shared" si="43"/>
        <v>0</v>
      </c>
      <c r="F183" s="255">
        <f t="shared" si="43"/>
        <v>0</v>
      </c>
      <c r="G183" s="255">
        <f t="shared" si="43"/>
        <v>0</v>
      </c>
      <c r="H183" s="255">
        <f t="shared" si="43"/>
        <v>0</v>
      </c>
      <c r="I183" s="255">
        <f t="shared" si="43"/>
        <v>0</v>
      </c>
      <c r="J183" s="255">
        <f t="shared" si="43"/>
        <v>0</v>
      </c>
      <c r="K183" s="255">
        <f t="shared" si="43"/>
        <v>0</v>
      </c>
      <c r="L183" s="255">
        <f t="shared" si="43"/>
        <v>0</v>
      </c>
      <c r="M183" s="255">
        <f t="shared" si="43"/>
        <v>0</v>
      </c>
      <c r="N183" s="256">
        <f t="shared" si="43"/>
        <v>0</v>
      </c>
      <c r="O183" s="257">
        <f t="shared" ref="O183:O236" si="44">SUM(C183:N183)</f>
        <v>0</v>
      </c>
      <c r="Q183" s="76"/>
      <c r="R183" s="19"/>
      <c r="S183" s="19"/>
    </row>
    <row r="184" spans="1:19" outlineLevel="1" x14ac:dyDescent="0.25">
      <c r="A184" s="265" t="s">
        <v>381</v>
      </c>
      <c r="B184" s="266"/>
      <c r="C184" s="267">
        <f t="shared" ref="C184:N184" si="45">SUM(C185:C190)</f>
        <v>0</v>
      </c>
      <c r="D184" s="268">
        <f t="shared" si="45"/>
        <v>0</v>
      </c>
      <c r="E184" s="268">
        <f t="shared" si="45"/>
        <v>0</v>
      </c>
      <c r="F184" s="268">
        <f t="shared" si="45"/>
        <v>0</v>
      </c>
      <c r="G184" s="268">
        <f t="shared" si="45"/>
        <v>0</v>
      </c>
      <c r="H184" s="268">
        <f t="shared" si="45"/>
        <v>0</v>
      </c>
      <c r="I184" s="268">
        <f t="shared" si="45"/>
        <v>0</v>
      </c>
      <c r="J184" s="268">
        <f t="shared" si="45"/>
        <v>0</v>
      </c>
      <c r="K184" s="268">
        <f t="shared" si="45"/>
        <v>0</v>
      </c>
      <c r="L184" s="268">
        <f t="shared" si="45"/>
        <v>0</v>
      </c>
      <c r="M184" s="268">
        <f t="shared" si="45"/>
        <v>0</v>
      </c>
      <c r="N184" s="269">
        <f t="shared" si="45"/>
        <v>0</v>
      </c>
      <c r="O184" s="270">
        <f t="shared" si="44"/>
        <v>0</v>
      </c>
      <c r="Q184" s="16"/>
      <c r="R184" s="2"/>
      <c r="S184" s="2"/>
    </row>
    <row r="185" spans="1:19" outlineLevel="2" x14ac:dyDescent="0.25">
      <c r="A185" s="258" t="s">
        <v>383</v>
      </c>
      <c r="B185" s="249"/>
      <c r="C185" s="234"/>
      <c r="D185" s="259"/>
      <c r="E185" s="260"/>
      <c r="F185" s="260"/>
      <c r="G185" s="260"/>
      <c r="H185" s="260"/>
      <c r="I185" s="260"/>
      <c r="J185" s="261"/>
      <c r="K185" s="259"/>
      <c r="L185" s="260"/>
      <c r="M185" s="239"/>
      <c r="N185" s="259"/>
      <c r="O185" s="236">
        <f t="shared" ref="O185:O198" si="46">SUM(C185:N185)</f>
        <v>0</v>
      </c>
      <c r="Q185" s="16"/>
      <c r="R185" s="2"/>
      <c r="S185" s="2"/>
    </row>
    <row r="186" spans="1:19" outlineLevel="2" x14ac:dyDescent="0.25">
      <c r="A186" s="258" t="s">
        <v>385</v>
      </c>
      <c r="B186" s="249"/>
      <c r="C186" s="234"/>
      <c r="D186" s="259"/>
      <c r="E186" s="260"/>
      <c r="F186" s="260"/>
      <c r="G186" s="260"/>
      <c r="H186" s="260"/>
      <c r="I186" s="260"/>
      <c r="J186" s="261"/>
      <c r="K186" s="259"/>
      <c r="L186" s="260"/>
      <c r="M186" s="239"/>
      <c r="N186" s="259"/>
      <c r="O186" s="236">
        <f t="shared" si="46"/>
        <v>0</v>
      </c>
      <c r="Q186" s="16"/>
      <c r="R186" s="2"/>
      <c r="S186" s="2"/>
    </row>
    <row r="187" spans="1:19" outlineLevel="2" x14ac:dyDescent="0.25">
      <c r="A187" s="258" t="s">
        <v>387</v>
      </c>
      <c r="B187" s="249"/>
      <c r="C187" s="234"/>
      <c r="D187" s="259"/>
      <c r="E187" s="260"/>
      <c r="F187" s="260"/>
      <c r="G187" s="260"/>
      <c r="H187" s="260"/>
      <c r="I187" s="260"/>
      <c r="J187" s="261"/>
      <c r="K187" s="259"/>
      <c r="L187" s="260"/>
      <c r="M187" s="239"/>
      <c r="N187" s="259"/>
      <c r="O187" s="236">
        <f t="shared" si="46"/>
        <v>0</v>
      </c>
      <c r="Q187" s="16"/>
      <c r="R187" s="2"/>
      <c r="S187" s="2"/>
    </row>
    <row r="188" spans="1:19" outlineLevel="2" x14ac:dyDescent="0.25">
      <c r="A188" s="258" t="s">
        <v>389</v>
      </c>
      <c r="B188" s="249"/>
      <c r="C188" s="234"/>
      <c r="D188" s="259"/>
      <c r="E188" s="260"/>
      <c r="F188" s="260"/>
      <c r="G188" s="260"/>
      <c r="H188" s="260"/>
      <c r="I188" s="260"/>
      <c r="J188" s="261"/>
      <c r="K188" s="259"/>
      <c r="L188" s="260"/>
      <c r="M188" s="239"/>
      <c r="N188" s="259"/>
      <c r="O188" s="236">
        <f t="shared" si="46"/>
        <v>0</v>
      </c>
      <c r="Q188" s="16"/>
      <c r="R188" s="2"/>
      <c r="S188" s="2"/>
    </row>
    <row r="189" spans="1:19" outlineLevel="2" x14ac:dyDescent="0.25">
      <c r="A189" s="258" t="s">
        <v>391</v>
      </c>
      <c r="B189" s="249"/>
      <c r="C189" s="234"/>
      <c r="D189" s="259"/>
      <c r="E189" s="260"/>
      <c r="F189" s="260"/>
      <c r="G189" s="260"/>
      <c r="H189" s="260"/>
      <c r="I189" s="260"/>
      <c r="J189" s="261"/>
      <c r="K189" s="259"/>
      <c r="L189" s="260"/>
      <c r="M189" s="239"/>
      <c r="N189" s="259"/>
      <c r="O189" s="236">
        <f t="shared" si="46"/>
        <v>0</v>
      </c>
      <c r="Q189" s="16"/>
      <c r="R189" s="2"/>
      <c r="S189" s="2"/>
    </row>
    <row r="190" spans="1:19" outlineLevel="2" x14ac:dyDescent="0.25">
      <c r="A190" s="258" t="s">
        <v>393</v>
      </c>
      <c r="B190" s="249"/>
      <c r="C190" s="234"/>
      <c r="D190" s="259"/>
      <c r="E190" s="260"/>
      <c r="F190" s="260"/>
      <c r="G190" s="260"/>
      <c r="H190" s="260"/>
      <c r="I190" s="260"/>
      <c r="J190" s="261"/>
      <c r="K190" s="259"/>
      <c r="L190" s="260"/>
      <c r="M190" s="239"/>
      <c r="N190" s="259"/>
      <c r="O190" s="236">
        <f t="shared" si="46"/>
        <v>0</v>
      </c>
      <c r="Q190" s="16"/>
      <c r="R190" s="2"/>
      <c r="S190" s="2"/>
    </row>
    <row r="191" spans="1:19" outlineLevel="1" x14ac:dyDescent="0.25">
      <c r="A191" s="265" t="s">
        <v>395</v>
      </c>
      <c r="B191" s="266"/>
      <c r="C191" s="267">
        <f t="shared" ref="C191:N191" si="47">SUM(C192:C198)</f>
        <v>0</v>
      </c>
      <c r="D191" s="268">
        <f t="shared" si="47"/>
        <v>0</v>
      </c>
      <c r="E191" s="268">
        <f t="shared" si="47"/>
        <v>0</v>
      </c>
      <c r="F191" s="268">
        <f t="shared" si="47"/>
        <v>0</v>
      </c>
      <c r="G191" s="268">
        <f t="shared" si="47"/>
        <v>0</v>
      </c>
      <c r="H191" s="268">
        <f t="shared" si="47"/>
        <v>0</v>
      </c>
      <c r="I191" s="268">
        <f t="shared" si="47"/>
        <v>0</v>
      </c>
      <c r="J191" s="268">
        <f t="shared" si="47"/>
        <v>0</v>
      </c>
      <c r="K191" s="268">
        <f t="shared" si="47"/>
        <v>0</v>
      </c>
      <c r="L191" s="268">
        <f t="shared" si="47"/>
        <v>0</v>
      </c>
      <c r="M191" s="268">
        <f t="shared" si="47"/>
        <v>0</v>
      </c>
      <c r="N191" s="269">
        <f t="shared" si="47"/>
        <v>0</v>
      </c>
      <c r="O191" s="236">
        <f t="shared" si="46"/>
        <v>0</v>
      </c>
      <c r="Q191" s="16"/>
      <c r="R191" s="2"/>
      <c r="S191" s="2"/>
    </row>
    <row r="192" spans="1:19" outlineLevel="2" x14ac:dyDescent="0.25">
      <c r="A192" s="258" t="s">
        <v>397</v>
      </c>
      <c r="B192" s="249"/>
      <c r="C192" s="234"/>
      <c r="D192" s="259"/>
      <c r="E192" s="260"/>
      <c r="F192" s="260"/>
      <c r="G192" s="260"/>
      <c r="H192" s="260"/>
      <c r="I192" s="260"/>
      <c r="J192" s="261"/>
      <c r="K192" s="259"/>
      <c r="L192" s="260"/>
      <c r="M192" s="239"/>
      <c r="N192" s="259"/>
      <c r="O192" s="236">
        <f t="shared" si="46"/>
        <v>0</v>
      </c>
      <c r="Q192" s="16"/>
      <c r="R192" s="2"/>
      <c r="S192" s="2"/>
    </row>
    <row r="193" spans="1:19" outlineLevel="2" x14ac:dyDescent="0.25">
      <c r="A193" s="258" t="s">
        <v>398</v>
      </c>
      <c r="B193" s="249"/>
      <c r="C193" s="234"/>
      <c r="D193" s="259"/>
      <c r="E193" s="260"/>
      <c r="F193" s="260"/>
      <c r="G193" s="260"/>
      <c r="H193" s="260"/>
      <c r="I193" s="260"/>
      <c r="J193" s="261"/>
      <c r="K193" s="259"/>
      <c r="L193" s="260"/>
      <c r="M193" s="239"/>
      <c r="N193" s="259"/>
      <c r="O193" s="236">
        <f t="shared" si="46"/>
        <v>0</v>
      </c>
      <c r="Q193" s="16"/>
      <c r="R193" s="2"/>
      <c r="S193" s="2"/>
    </row>
    <row r="194" spans="1:19" outlineLevel="2" x14ac:dyDescent="0.25">
      <c r="A194" s="258" t="s">
        <v>399</v>
      </c>
      <c r="B194" s="249"/>
      <c r="C194" s="234"/>
      <c r="D194" s="259"/>
      <c r="E194" s="260"/>
      <c r="F194" s="260"/>
      <c r="G194" s="260"/>
      <c r="H194" s="260"/>
      <c r="I194" s="260"/>
      <c r="J194" s="261"/>
      <c r="K194" s="259"/>
      <c r="L194" s="260"/>
      <c r="M194" s="239"/>
      <c r="N194" s="259"/>
      <c r="O194" s="236">
        <f t="shared" si="46"/>
        <v>0</v>
      </c>
      <c r="Q194" s="16"/>
      <c r="R194" s="2"/>
      <c r="S194" s="2"/>
    </row>
    <row r="195" spans="1:19" outlineLevel="2" x14ac:dyDescent="0.25">
      <c r="A195" s="258" t="s">
        <v>400</v>
      </c>
      <c r="B195" s="249"/>
      <c r="C195" s="234"/>
      <c r="D195" s="259"/>
      <c r="E195" s="260"/>
      <c r="F195" s="260"/>
      <c r="G195" s="260"/>
      <c r="H195" s="260"/>
      <c r="I195" s="260"/>
      <c r="J195" s="261"/>
      <c r="K195" s="259"/>
      <c r="L195" s="260"/>
      <c r="M195" s="239"/>
      <c r="N195" s="259"/>
      <c r="O195" s="236">
        <f t="shared" si="46"/>
        <v>0</v>
      </c>
      <c r="Q195" s="16"/>
      <c r="R195" s="2"/>
      <c r="S195" s="2"/>
    </row>
    <row r="196" spans="1:19" outlineLevel="2" x14ac:dyDescent="0.25">
      <c r="A196" s="258" t="s">
        <v>401</v>
      </c>
      <c r="B196" s="249"/>
      <c r="C196" s="234"/>
      <c r="D196" s="259"/>
      <c r="E196" s="260"/>
      <c r="F196" s="260"/>
      <c r="G196" s="260"/>
      <c r="H196" s="260"/>
      <c r="I196" s="260"/>
      <c r="J196" s="261"/>
      <c r="K196" s="259"/>
      <c r="L196" s="260"/>
      <c r="M196" s="239"/>
      <c r="N196" s="259"/>
      <c r="O196" s="236">
        <f t="shared" si="46"/>
        <v>0</v>
      </c>
      <c r="Q196" s="16"/>
      <c r="R196" s="2"/>
      <c r="S196" s="2"/>
    </row>
    <row r="197" spans="1:19" outlineLevel="2" x14ac:dyDescent="0.25">
      <c r="A197" s="258" t="s">
        <v>403</v>
      </c>
      <c r="B197" s="249"/>
      <c r="C197" s="234"/>
      <c r="D197" s="259"/>
      <c r="E197" s="260"/>
      <c r="F197" s="260"/>
      <c r="G197" s="260"/>
      <c r="H197" s="260"/>
      <c r="I197" s="260"/>
      <c r="J197" s="261"/>
      <c r="K197" s="259"/>
      <c r="L197" s="260"/>
      <c r="M197" s="239"/>
      <c r="N197" s="259"/>
      <c r="O197" s="236">
        <f t="shared" si="46"/>
        <v>0</v>
      </c>
      <c r="Q197" s="16"/>
      <c r="R197" s="2"/>
      <c r="S197" s="2"/>
    </row>
    <row r="198" spans="1:19" outlineLevel="2" x14ac:dyDescent="0.25">
      <c r="A198" s="258" t="s">
        <v>405</v>
      </c>
      <c r="B198" s="249"/>
      <c r="C198" s="234"/>
      <c r="D198" s="259"/>
      <c r="E198" s="260"/>
      <c r="F198" s="260"/>
      <c r="G198" s="260"/>
      <c r="H198" s="260"/>
      <c r="I198" s="260"/>
      <c r="J198" s="261"/>
      <c r="K198" s="259"/>
      <c r="L198" s="260"/>
      <c r="M198" s="239"/>
      <c r="N198" s="259"/>
      <c r="O198" s="236">
        <f t="shared" si="46"/>
        <v>0</v>
      </c>
      <c r="Q198" s="16"/>
      <c r="R198" s="2"/>
      <c r="S198" s="2"/>
    </row>
    <row r="199" spans="1:19" s="6" customFormat="1" x14ac:dyDescent="0.25">
      <c r="A199" s="223" t="s">
        <v>407</v>
      </c>
      <c r="B199" s="253"/>
      <c r="C199" s="254">
        <f t="shared" ref="C199:N199" si="48">SUM(C200,C210,C215,C217)</f>
        <v>0</v>
      </c>
      <c r="D199" s="255">
        <f t="shared" si="48"/>
        <v>0</v>
      </c>
      <c r="E199" s="255">
        <f t="shared" si="48"/>
        <v>0</v>
      </c>
      <c r="F199" s="255">
        <f t="shared" si="48"/>
        <v>0</v>
      </c>
      <c r="G199" s="255">
        <f t="shared" si="48"/>
        <v>0</v>
      </c>
      <c r="H199" s="255">
        <f t="shared" si="48"/>
        <v>0</v>
      </c>
      <c r="I199" s="255">
        <f t="shared" si="48"/>
        <v>0</v>
      </c>
      <c r="J199" s="255">
        <f t="shared" si="48"/>
        <v>0</v>
      </c>
      <c r="K199" s="255">
        <f t="shared" si="48"/>
        <v>0</v>
      </c>
      <c r="L199" s="255">
        <f t="shared" si="48"/>
        <v>0</v>
      </c>
      <c r="M199" s="255">
        <f t="shared" si="48"/>
        <v>0</v>
      </c>
      <c r="N199" s="256">
        <f t="shared" si="48"/>
        <v>0</v>
      </c>
      <c r="O199" s="257">
        <f t="shared" si="44"/>
        <v>0</v>
      </c>
      <c r="Q199" s="18"/>
      <c r="R199" s="19"/>
      <c r="S199" s="19"/>
    </row>
    <row r="200" spans="1:19" outlineLevel="1" x14ac:dyDescent="0.25">
      <c r="A200" s="265" t="s">
        <v>409</v>
      </c>
      <c r="B200" s="266"/>
      <c r="C200" s="267">
        <f>SUM(C201:C209)</f>
        <v>0</v>
      </c>
      <c r="D200" s="268">
        <f t="shared" ref="D200:N200" si="49">SUM(D201:D209)</f>
        <v>0</v>
      </c>
      <c r="E200" s="268">
        <f t="shared" si="49"/>
        <v>0</v>
      </c>
      <c r="F200" s="268">
        <f t="shared" si="49"/>
        <v>0</v>
      </c>
      <c r="G200" s="268">
        <f t="shared" si="49"/>
        <v>0</v>
      </c>
      <c r="H200" s="268">
        <f t="shared" si="49"/>
        <v>0</v>
      </c>
      <c r="I200" s="268">
        <f t="shared" si="49"/>
        <v>0</v>
      </c>
      <c r="J200" s="268">
        <f t="shared" si="49"/>
        <v>0</v>
      </c>
      <c r="K200" s="268">
        <f t="shared" si="49"/>
        <v>0</v>
      </c>
      <c r="L200" s="268">
        <f t="shared" si="49"/>
        <v>0</v>
      </c>
      <c r="M200" s="268">
        <f t="shared" si="49"/>
        <v>0</v>
      </c>
      <c r="N200" s="269">
        <f t="shared" si="49"/>
        <v>0</v>
      </c>
      <c r="O200" s="236">
        <f t="shared" ref="O200:O220" si="50">SUM(C200:N200)</f>
        <v>0</v>
      </c>
      <c r="Q200" s="16"/>
      <c r="R200" s="2"/>
      <c r="S200" s="2"/>
    </row>
    <row r="201" spans="1:19" outlineLevel="2" x14ac:dyDescent="0.25">
      <c r="A201" s="258" t="s">
        <v>411</v>
      </c>
      <c r="B201" s="249"/>
      <c r="C201" s="404"/>
      <c r="D201" s="260"/>
      <c r="E201" s="260"/>
      <c r="F201" s="260"/>
      <c r="G201" s="260"/>
      <c r="H201" s="260"/>
      <c r="I201" s="260"/>
      <c r="J201" s="261"/>
      <c r="K201" s="260"/>
      <c r="L201" s="260"/>
      <c r="M201" s="323"/>
      <c r="N201" s="260"/>
      <c r="O201" s="236">
        <f t="shared" si="50"/>
        <v>0</v>
      </c>
      <c r="Q201" s="16"/>
      <c r="R201" s="2"/>
      <c r="S201" s="2"/>
    </row>
    <row r="202" spans="1:19" outlineLevel="2" x14ac:dyDescent="0.25">
      <c r="A202" s="258" t="s">
        <v>413</v>
      </c>
      <c r="B202" s="249"/>
      <c r="C202" s="404"/>
      <c r="D202" s="260"/>
      <c r="E202" s="260"/>
      <c r="F202" s="260"/>
      <c r="G202" s="260"/>
      <c r="H202" s="260"/>
      <c r="I202" s="260"/>
      <c r="J202" s="261"/>
      <c r="K202" s="260"/>
      <c r="L202" s="260"/>
      <c r="M202" s="323"/>
      <c r="N202" s="260"/>
      <c r="O202" s="236">
        <f t="shared" si="50"/>
        <v>0</v>
      </c>
      <c r="Q202" s="16"/>
      <c r="R202" s="2"/>
      <c r="S202" s="2"/>
    </row>
    <row r="203" spans="1:19" outlineLevel="2" x14ac:dyDescent="0.25">
      <c r="A203" s="258" t="s">
        <v>415</v>
      </c>
      <c r="B203" s="249"/>
      <c r="C203" s="404"/>
      <c r="D203" s="260"/>
      <c r="E203" s="260"/>
      <c r="F203" s="260"/>
      <c r="G203" s="260"/>
      <c r="H203" s="260"/>
      <c r="I203" s="260"/>
      <c r="J203" s="261"/>
      <c r="K203" s="260"/>
      <c r="L203" s="260"/>
      <c r="M203" s="323"/>
      <c r="N203" s="260"/>
      <c r="O203" s="236">
        <f t="shared" si="50"/>
        <v>0</v>
      </c>
      <c r="Q203" s="16"/>
      <c r="R203" s="2"/>
      <c r="S203" s="2"/>
    </row>
    <row r="204" spans="1:19" outlineLevel="2" x14ac:dyDescent="0.25">
      <c r="A204" s="258" t="s">
        <v>685</v>
      </c>
      <c r="B204" s="249"/>
      <c r="C204" s="404"/>
      <c r="D204" s="260"/>
      <c r="E204" s="260"/>
      <c r="F204" s="260"/>
      <c r="G204" s="260"/>
      <c r="H204" s="260"/>
      <c r="I204" s="260"/>
      <c r="J204" s="261"/>
      <c r="K204" s="260"/>
      <c r="L204" s="260"/>
      <c r="M204" s="323"/>
      <c r="N204" s="260"/>
      <c r="O204" s="236">
        <f t="shared" si="50"/>
        <v>0</v>
      </c>
      <c r="Q204" s="16"/>
      <c r="R204" s="2"/>
      <c r="S204" s="2"/>
    </row>
    <row r="205" spans="1:19" outlineLevel="2" x14ac:dyDescent="0.25">
      <c r="A205" s="258" t="s">
        <v>418</v>
      </c>
      <c r="B205" s="249"/>
      <c r="C205" s="404"/>
      <c r="D205" s="260"/>
      <c r="E205" s="260"/>
      <c r="F205" s="260"/>
      <c r="G205" s="260"/>
      <c r="H205" s="260"/>
      <c r="I205" s="260"/>
      <c r="J205" s="261"/>
      <c r="K205" s="260"/>
      <c r="L205" s="260"/>
      <c r="M205" s="323"/>
      <c r="N205" s="260"/>
      <c r="O205" s="236">
        <f t="shared" si="50"/>
        <v>0</v>
      </c>
      <c r="Q205" s="16"/>
      <c r="R205" s="2"/>
      <c r="S205" s="2"/>
    </row>
    <row r="206" spans="1:19" outlineLevel="2" x14ac:dyDescent="0.25">
      <c r="A206" s="258" t="s">
        <v>420</v>
      </c>
      <c r="B206" s="249"/>
      <c r="C206" s="404"/>
      <c r="D206" s="260"/>
      <c r="E206" s="260"/>
      <c r="F206" s="260"/>
      <c r="G206" s="260"/>
      <c r="H206" s="260"/>
      <c r="I206" s="260"/>
      <c r="J206" s="261"/>
      <c r="K206" s="260"/>
      <c r="L206" s="260"/>
      <c r="M206" s="323"/>
      <c r="N206" s="260"/>
      <c r="O206" s="236">
        <f t="shared" si="50"/>
        <v>0</v>
      </c>
      <c r="Q206" s="16"/>
      <c r="R206" s="2"/>
      <c r="S206" s="2"/>
    </row>
    <row r="207" spans="1:19" outlineLevel="2" x14ac:dyDescent="0.25">
      <c r="A207" s="258" t="s">
        <v>422</v>
      </c>
      <c r="B207" s="249"/>
      <c r="C207" s="404"/>
      <c r="D207" s="260"/>
      <c r="E207" s="260"/>
      <c r="F207" s="260"/>
      <c r="G207" s="260"/>
      <c r="H207" s="260"/>
      <c r="I207" s="260"/>
      <c r="J207" s="261"/>
      <c r="K207" s="260"/>
      <c r="L207" s="260"/>
      <c r="M207" s="323"/>
      <c r="N207" s="260"/>
      <c r="O207" s="236">
        <f t="shared" si="50"/>
        <v>0</v>
      </c>
      <c r="Q207" s="16"/>
      <c r="R207" s="2"/>
      <c r="S207" s="2"/>
    </row>
    <row r="208" spans="1:19" outlineLevel="2" x14ac:dyDescent="0.25">
      <c r="A208" s="258" t="s">
        <v>424</v>
      </c>
      <c r="B208" s="249"/>
      <c r="C208" s="404"/>
      <c r="D208" s="260"/>
      <c r="E208" s="260"/>
      <c r="F208" s="260"/>
      <c r="G208" s="260"/>
      <c r="H208" s="260"/>
      <c r="I208" s="260"/>
      <c r="J208" s="261"/>
      <c r="K208" s="260"/>
      <c r="L208" s="260"/>
      <c r="M208" s="323"/>
      <c r="N208" s="260"/>
      <c r="O208" s="236">
        <f t="shared" si="50"/>
        <v>0</v>
      </c>
      <c r="Q208" s="16"/>
      <c r="R208" s="2"/>
      <c r="S208" s="2"/>
    </row>
    <row r="209" spans="1:19" outlineLevel="2" x14ac:dyDescent="0.25">
      <c r="A209" s="258" t="s">
        <v>426</v>
      </c>
      <c r="B209" s="249"/>
      <c r="C209" s="404"/>
      <c r="D209" s="260"/>
      <c r="E209" s="260"/>
      <c r="F209" s="260"/>
      <c r="G209" s="260"/>
      <c r="H209" s="260"/>
      <c r="I209" s="260"/>
      <c r="J209" s="261"/>
      <c r="K209" s="260"/>
      <c r="L209" s="260"/>
      <c r="M209" s="323"/>
      <c r="N209" s="260"/>
      <c r="O209" s="236">
        <f t="shared" si="50"/>
        <v>0</v>
      </c>
      <c r="Q209" s="16"/>
      <c r="R209" s="2"/>
      <c r="S209" s="2"/>
    </row>
    <row r="210" spans="1:19" outlineLevel="1" x14ac:dyDescent="0.25">
      <c r="A210" s="265" t="s">
        <v>428</v>
      </c>
      <c r="B210" s="266"/>
      <c r="C210" s="267">
        <f t="shared" ref="C210:N210" si="51">SUM(C211:C214)</f>
        <v>0</v>
      </c>
      <c r="D210" s="268">
        <f t="shared" si="51"/>
        <v>0</v>
      </c>
      <c r="E210" s="268">
        <f t="shared" si="51"/>
        <v>0</v>
      </c>
      <c r="F210" s="268">
        <f t="shared" si="51"/>
        <v>0</v>
      </c>
      <c r="G210" s="268">
        <f t="shared" si="51"/>
        <v>0</v>
      </c>
      <c r="H210" s="268">
        <f t="shared" si="51"/>
        <v>0</v>
      </c>
      <c r="I210" s="268">
        <f t="shared" si="51"/>
        <v>0</v>
      </c>
      <c r="J210" s="268">
        <f t="shared" si="51"/>
        <v>0</v>
      </c>
      <c r="K210" s="268">
        <f t="shared" si="51"/>
        <v>0</v>
      </c>
      <c r="L210" s="268">
        <f t="shared" si="51"/>
        <v>0</v>
      </c>
      <c r="M210" s="268">
        <f t="shared" si="51"/>
        <v>0</v>
      </c>
      <c r="N210" s="269">
        <f t="shared" si="51"/>
        <v>0</v>
      </c>
      <c r="O210" s="236">
        <f t="shared" si="50"/>
        <v>0</v>
      </c>
      <c r="Q210" s="16"/>
      <c r="R210" s="2"/>
      <c r="S210" s="2"/>
    </row>
    <row r="211" spans="1:19" outlineLevel="2" x14ac:dyDescent="0.25">
      <c r="A211" s="258" t="s">
        <v>684</v>
      </c>
      <c r="B211" s="249"/>
      <c r="C211" s="234"/>
      <c r="D211" s="259"/>
      <c r="E211" s="260"/>
      <c r="F211" s="260"/>
      <c r="G211" s="260"/>
      <c r="H211" s="260"/>
      <c r="I211" s="260"/>
      <c r="J211" s="261"/>
      <c r="K211" s="259"/>
      <c r="L211" s="260"/>
      <c r="M211" s="239"/>
      <c r="N211" s="259"/>
      <c r="O211" s="236">
        <f t="shared" si="50"/>
        <v>0</v>
      </c>
      <c r="Q211" s="16"/>
      <c r="R211" s="2"/>
      <c r="S211" s="2"/>
    </row>
    <row r="212" spans="1:19" outlineLevel="2" x14ac:dyDescent="0.25">
      <c r="A212" s="258" t="s">
        <v>432</v>
      </c>
      <c r="B212" s="249"/>
      <c r="C212" s="234"/>
      <c r="D212" s="259"/>
      <c r="E212" s="260"/>
      <c r="F212" s="260"/>
      <c r="G212" s="260"/>
      <c r="H212" s="260"/>
      <c r="I212" s="260"/>
      <c r="J212" s="261"/>
      <c r="K212" s="259"/>
      <c r="L212" s="260"/>
      <c r="M212" s="239"/>
      <c r="N212" s="259"/>
      <c r="O212" s="236">
        <f t="shared" si="50"/>
        <v>0</v>
      </c>
      <c r="Q212" s="16"/>
      <c r="R212" s="2"/>
      <c r="S212" s="2"/>
    </row>
    <row r="213" spans="1:19" outlineLevel="2" x14ac:dyDescent="0.25">
      <c r="A213" s="258" t="s">
        <v>434</v>
      </c>
      <c r="B213" s="249"/>
      <c r="C213" s="234"/>
      <c r="D213" s="259"/>
      <c r="E213" s="260"/>
      <c r="F213" s="260"/>
      <c r="G213" s="260"/>
      <c r="H213" s="260"/>
      <c r="I213" s="260"/>
      <c r="J213" s="261"/>
      <c r="K213" s="259"/>
      <c r="L213" s="260"/>
      <c r="M213" s="239"/>
      <c r="N213" s="259"/>
      <c r="O213" s="236">
        <f t="shared" si="50"/>
        <v>0</v>
      </c>
      <c r="Q213" s="16"/>
      <c r="R213" s="2"/>
      <c r="S213" s="2"/>
    </row>
    <row r="214" spans="1:19" outlineLevel="2" x14ac:dyDescent="0.25">
      <c r="A214" s="258" t="s">
        <v>436</v>
      </c>
      <c r="B214" s="249"/>
      <c r="C214" s="234"/>
      <c r="D214" s="259"/>
      <c r="E214" s="260"/>
      <c r="F214" s="260"/>
      <c r="G214" s="260"/>
      <c r="H214" s="260"/>
      <c r="I214" s="260"/>
      <c r="J214" s="261"/>
      <c r="K214" s="259"/>
      <c r="L214" s="260"/>
      <c r="M214" s="239"/>
      <c r="N214" s="259"/>
      <c r="O214" s="236">
        <f t="shared" si="50"/>
        <v>0</v>
      </c>
      <c r="Q214" s="16"/>
      <c r="R214" s="2"/>
      <c r="S214" s="2"/>
    </row>
    <row r="215" spans="1:19" outlineLevel="1" x14ac:dyDescent="0.25">
      <c r="A215" s="265" t="s">
        <v>438</v>
      </c>
      <c r="B215" s="266"/>
      <c r="C215" s="267">
        <f t="shared" ref="C215:N215" si="52">SUM(C216:C216)</f>
        <v>0</v>
      </c>
      <c r="D215" s="268">
        <f t="shared" si="52"/>
        <v>0</v>
      </c>
      <c r="E215" s="268">
        <f t="shared" si="52"/>
        <v>0</v>
      </c>
      <c r="F215" s="268">
        <f t="shared" si="52"/>
        <v>0</v>
      </c>
      <c r="G215" s="268">
        <f t="shared" si="52"/>
        <v>0</v>
      </c>
      <c r="H215" s="268">
        <f t="shared" si="52"/>
        <v>0</v>
      </c>
      <c r="I215" s="268">
        <f t="shared" si="52"/>
        <v>0</v>
      </c>
      <c r="J215" s="268">
        <f t="shared" si="52"/>
        <v>0</v>
      </c>
      <c r="K215" s="268">
        <f t="shared" si="52"/>
        <v>0</v>
      </c>
      <c r="L215" s="268">
        <f t="shared" si="52"/>
        <v>0</v>
      </c>
      <c r="M215" s="268">
        <f t="shared" si="52"/>
        <v>0</v>
      </c>
      <c r="N215" s="269">
        <f t="shared" si="52"/>
        <v>0</v>
      </c>
      <c r="O215" s="236">
        <f t="shared" si="50"/>
        <v>0</v>
      </c>
      <c r="Q215" s="16"/>
      <c r="R215" s="2"/>
      <c r="S215" s="2"/>
    </row>
    <row r="216" spans="1:19" outlineLevel="2" x14ac:dyDescent="0.25">
      <c r="A216" s="258" t="s">
        <v>440</v>
      </c>
      <c r="B216" s="249"/>
      <c r="C216" s="234"/>
      <c r="D216" s="259"/>
      <c r="E216" s="260"/>
      <c r="F216" s="260"/>
      <c r="G216" s="260"/>
      <c r="H216" s="260"/>
      <c r="I216" s="260"/>
      <c r="J216" s="261"/>
      <c r="K216" s="259"/>
      <c r="L216" s="260"/>
      <c r="M216" s="239"/>
      <c r="N216" s="259"/>
      <c r="O216" s="236">
        <f t="shared" si="50"/>
        <v>0</v>
      </c>
      <c r="Q216" s="16"/>
      <c r="R216" s="2"/>
      <c r="S216" s="2"/>
    </row>
    <row r="217" spans="1:19" outlineLevel="1" x14ac:dyDescent="0.25">
      <c r="A217" s="265" t="s">
        <v>442</v>
      </c>
      <c r="B217" s="266"/>
      <c r="C217" s="267">
        <f t="shared" ref="C217:N217" si="53">SUM(C218:C220)</f>
        <v>0</v>
      </c>
      <c r="D217" s="268">
        <f t="shared" si="53"/>
        <v>0</v>
      </c>
      <c r="E217" s="268">
        <f t="shared" si="53"/>
        <v>0</v>
      </c>
      <c r="F217" s="268">
        <f t="shared" si="53"/>
        <v>0</v>
      </c>
      <c r="G217" s="268">
        <f t="shared" si="53"/>
        <v>0</v>
      </c>
      <c r="H217" s="268">
        <f t="shared" si="53"/>
        <v>0</v>
      </c>
      <c r="I217" s="268">
        <f t="shared" si="53"/>
        <v>0</v>
      </c>
      <c r="J217" s="268">
        <f t="shared" si="53"/>
        <v>0</v>
      </c>
      <c r="K217" s="268">
        <f t="shared" si="53"/>
        <v>0</v>
      </c>
      <c r="L217" s="268">
        <f t="shared" si="53"/>
        <v>0</v>
      </c>
      <c r="M217" s="268">
        <f t="shared" si="53"/>
        <v>0</v>
      </c>
      <c r="N217" s="269">
        <f t="shared" si="53"/>
        <v>0</v>
      </c>
      <c r="O217" s="236">
        <f t="shared" si="50"/>
        <v>0</v>
      </c>
      <c r="Q217" s="16"/>
      <c r="R217" s="2"/>
      <c r="S217" s="2"/>
    </row>
    <row r="218" spans="1:19" outlineLevel="2" x14ac:dyDescent="0.25">
      <c r="A218" s="258" t="s">
        <v>444</v>
      </c>
      <c r="B218" s="249"/>
      <c r="C218" s="234"/>
      <c r="D218" s="259"/>
      <c r="E218" s="260"/>
      <c r="F218" s="260"/>
      <c r="G218" s="260"/>
      <c r="H218" s="260"/>
      <c r="I218" s="260"/>
      <c r="J218" s="261"/>
      <c r="K218" s="259"/>
      <c r="L218" s="260"/>
      <c r="M218" s="239"/>
      <c r="N218" s="259"/>
      <c r="O218" s="236">
        <f t="shared" si="50"/>
        <v>0</v>
      </c>
      <c r="Q218" s="16"/>
      <c r="R218" s="2"/>
      <c r="S218" s="2"/>
    </row>
    <row r="219" spans="1:19" outlineLevel="2" x14ac:dyDescent="0.25">
      <c r="A219" s="258" t="s">
        <v>446</v>
      </c>
      <c r="B219" s="249"/>
      <c r="C219" s="234"/>
      <c r="D219" s="259"/>
      <c r="E219" s="260"/>
      <c r="F219" s="260"/>
      <c r="G219" s="260"/>
      <c r="H219" s="260"/>
      <c r="I219" s="260"/>
      <c r="J219" s="261"/>
      <c r="K219" s="259"/>
      <c r="L219" s="260"/>
      <c r="M219" s="239"/>
      <c r="N219" s="259"/>
      <c r="O219" s="236">
        <f t="shared" si="50"/>
        <v>0</v>
      </c>
      <c r="Q219" s="16"/>
      <c r="R219" s="2"/>
      <c r="S219" s="2"/>
    </row>
    <row r="220" spans="1:19" outlineLevel="2" x14ac:dyDescent="0.25">
      <c r="A220" s="258" t="s">
        <v>447</v>
      </c>
      <c r="B220" s="249"/>
      <c r="C220" s="234"/>
      <c r="D220" s="259"/>
      <c r="E220" s="260"/>
      <c r="F220" s="260"/>
      <c r="G220" s="260"/>
      <c r="H220" s="260"/>
      <c r="I220" s="260"/>
      <c r="J220" s="261"/>
      <c r="K220" s="259"/>
      <c r="L220" s="260"/>
      <c r="M220" s="239"/>
      <c r="N220" s="259"/>
      <c r="O220" s="236">
        <f t="shared" si="50"/>
        <v>0</v>
      </c>
      <c r="Q220" s="16"/>
      <c r="R220" s="2"/>
      <c r="S220" s="2"/>
    </row>
    <row r="221" spans="1:19" s="6" customFormat="1" x14ac:dyDescent="0.25">
      <c r="A221" s="223" t="s">
        <v>449</v>
      </c>
      <c r="B221" s="253"/>
      <c r="C221" s="254">
        <f t="shared" ref="C221:N221" si="54">SUM(C222,C236)</f>
        <v>0</v>
      </c>
      <c r="D221" s="255">
        <f t="shared" si="54"/>
        <v>0</v>
      </c>
      <c r="E221" s="255">
        <f t="shared" si="54"/>
        <v>0</v>
      </c>
      <c r="F221" s="255">
        <f t="shared" si="54"/>
        <v>0</v>
      </c>
      <c r="G221" s="255">
        <f t="shared" si="54"/>
        <v>0</v>
      </c>
      <c r="H221" s="255">
        <f t="shared" si="54"/>
        <v>0</v>
      </c>
      <c r="I221" s="255">
        <f t="shared" si="54"/>
        <v>0</v>
      </c>
      <c r="J221" s="255">
        <f t="shared" si="54"/>
        <v>0</v>
      </c>
      <c r="K221" s="255">
        <f t="shared" si="54"/>
        <v>0</v>
      </c>
      <c r="L221" s="255">
        <f t="shared" si="54"/>
        <v>0</v>
      </c>
      <c r="M221" s="255">
        <f t="shared" si="54"/>
        <v>0</v>
      </c>
      <c r="N221" s="256">
        <f t="shared" si="54"/>
        <v>0</v>
      </c>
      <c r="O221" s="257">
        <f t="shared" si="44"/>
        <v>0</v>
      </c>
      <c r="Q221" s="18"/>
      <c r="R221" s="19"/>
      <c r="S221" s="19"/>
    </row>
    <row r="222" spans="1:19" outlineLevel="1" x14ac:dyDescent="0.25">
      <c r="A222" s="265" t="s">
        <v>451</v>
      </c>
      <c r="B222" s="266"/>
      <c r="C222" s="267">
        <f t="shared" ref="C222:N222" si="55">SUM(C223:C235)</f>
        <v>0</v>
      </c>
      <c r="D222" s="268">
        <f t="shared" si="55"/>
        <v>0</v>
      </c>
      <c r="E222" s="268">
        <f t="shared" si="55"/>
        <v>0</v>
      </c>
      <c r="F222" s="268">
        <f t="shared" si="55"/>
        <v>0</v>
      </c>
      <c r="G222" s="268">
        <f t="shared" si="55"/>
        <v>0</v>
      </c>
      <c r="H222" s="268">
        <f t="shared" si="55"/>
        <v>0</v>
      </c>
      <c r="I222" s="268">
        <f t="shared" si="55"/>
        <v>0</v>
      </c>
      <c r="J222" s="268">
        <f t="shared" si="55"/>
        <v>0</v>
      </c>
      <c r="K222" s="268">
        <f t="shared" si="55"/>
        <v>0</v>
      </c>
      <c r="L222" s="268">
        <f t="shared" si="55"/>
        <v>0</v>
      </c>
      <c r="M222" s="268">
        <f t="shared" si="55"/>
        <v>0</v>
      </c>
      <c r="N222" s="269">
        <f t="shared" si="55"/>
        <v>0</v>
      </c>
      <c r="O222" s="270">
        <f t="shared" si="44"/>
        <v>0</v>
      </c>
      <c r="Q222" s="16"/>
      <c r="R222" s="2"/>
      <c r="S222" s="2"/>
    </row>
    <row r="223" spans="1:19" outlineLevel="2" x14ac:dyDescent="0.25">
      <c r="A223" s="258" t="s">
        <v>453</v>
      </c>
      <c r="B223" s="249"/>
      <c r="C223" s="234"/>
      <c r="D223" s="259"/>
      <c r="E223" s="260"/>
      <c r="F223" s="260"/>
      <c r="G223" s="260"/>
      <c r="H223" s="260"/>
      <c r="I223" s="260"/>
      <c r="J223" s="261"/>
      <c r="K223" s="259"/>
      <c r="L223" s="260"/>
      <c r="M223" s="239"/>
      <c r="N223" s="259"/>
      <c r="O223" s="236">
        <f t="shared" ref="O223:O235" si="56">SUM(C223:N223)</f>
        <v>0</v>
      </c>
      <c r="Q223" s="16"/>
      <c r="R223" s="2"/>
      <c r="S223" s="2"/>
    </row>
    <row r="224" spans="1:19" outlineLevel="2" x14ac:dyDescent="0.25">
      <c r="A224" s="258" t="s">
        <v>455</v>
      </c>
      <c r="B224" s="249"/>
      <c r="C224" s="234"/>
      <c r="D224" s="259"/>
      <c r="E224" s="260"/>
      <c r="F224" s="260"/>
      <c r="G224" s="260"/>
      <c r="H224" s="260"/>
      <c r="I224" s="260"/>
      <c r="J224" s="261"/>
      <c r="K224" s="259"/>
      <c r="L224" s="260"/>
      <c r="M224" s="239"/>
      <c r="N224" s="259"/>
      <c r="O224" s="236">
        <f t="shared" si="56"/>
        <v>0</v>
      </c>
      <c r="Q224" s="16"/>
      <c r="R224" s="2"/>
      <c r="S224" s="2"/>
    </row>
    <row r="225" spans="1:19" outlineLevel="2" x14ac:dyDescent="0.25">
      <c r="A225" s="258" t="s">
        <v>457</v>
      </c>
      <c r="B225" s="249"/>
      <c r="C225" s="234"/>
      <c r="D225" s="259"/>
      <c r="E225" s="260"/>
      <c r="F225" s="260"/>
      <c r="G225" s="260"/>
      <c r="H225" s="260"/>
      <c r="I225" s="260"/>
      <c r="J225" s="261"/>
      <c r="K225" s="259"/>
      <c r="L225" s="260"/>
      <c r="M225" s="239"/>
      <c r="N225" s="259"/>
      <c r="O225" s="236">
        <f t="shared" si="56"/>
        <v>0</v>
      </c>
      <c r="Q225" s="16"/>
      <c r="R225" s="2"/>
      <c r="S225" s="2"/>
    </row>
    <row r="226" spans="1:19" outlineLevel="2" x14ac:dyDescent="0.25">
      <c r="A226" s="258" t="s">
        <v>459</v>
      </c>
      <c r="B226" s="249"/>
      <c r="C226" s="234"/>
      <c r="D226" s="259"/>
      <c r="E226" s="260"/>
      <c r="F226" s="260"/>
      <c r="G226" s="260"/>
      <c r="H226" s="260"/>
      <c r="I226" s="260"/>
      <c r="J226" s="261"/>
      <c r="K226" s="259"/>
      <c r="L226" s="260"/>
      <c r="M226" s="239"/>
      <c r="N226" s="259"/>
      <c r="O226" s="236">
        <f t="shared" si="56"/>
        <v>0</v>
      </c>
      <c r="Q226" s="16"/>
      <c r="R226" s="2"/>
      <c r="S226" s="2"/>
    </row>
    <row r="227" spans="1:19" outlineLevel="2" x14ac:dyDescent="0.25">
      <c r="A227" s="258" t="s">
        <v>461</v>
      </c>
      <c r="B227" s="249"/>
      <c r="C227" s="234"/>
      <c r="D227" s="259"/>
      <c r="E227" s="260"/>
      <c r="F227" s="260"/>
      <c r="G227" s="260"/>
      <c r="H227" s="260"/>
      <c r="I227" s="260"/>
      <c r="J227" s="261"/>
      <c r="K227" s="259"/>
      <c r="L227" s="260"/>
      <c r="M227" s="239"/>
      <c r="N227" s="259"/>
      <c r="O227" s="236">
        <f t="shared" si="56"/>
        <v>0</v>
      </c>
      <c r="Q227" s="16"/>
      <c r="R227" s="2"/>
      <c r="S227" s="2"/>
    </row>
    <row r="228" spans="1:19" outlineLevel="2" x14ac:dyDescent="0.25">
      <c r="A228" s="258" t="s">
        <v>463</v>
      </c>
      <c r="B228" s="249"/>
      <c r="C228" s="234"/>
      <c r="D228" s="259"/>
      <c r="E228" s="260"/>
      <c r="F228" s="260"/>
      <c r="G228" s="260"/>
      <c r="H228" s="260"/>
      <c r="I228" s="260"/>
      <c r="J228" s="261"/>
      <c r="K228" s="259"/>
      <c r="L228" s="260"/>
      <c r="M228" s="239"/>
      <c r="N228" s="259"/>
      <c r="O228" s="236">
        <f t="shared" si="56"/>
        <v>0</v>
      </c>
      <c r="Q228" s="16"/>
      <c r="R228" s="2"/>
      <c r="S228" s="2"/>
    </row>
    <row r="229" spans="1:19" outlineLevel="2" x14ac:dyDescent="0.25">
      <c r="A229" s="258" t="s">
        <v>465</v>
      </c>
      <c r="B229" s="249"/>
      <c r="C229" s="234"/>
      <c r="D229" s="259"/>
      <c r="E229" s="260"/>
      <c r="F229" s="260"/>
      <c r="G229" s="260"/>
      <c r="H229" s="260"/>
      <c r="I229" s="260"/>
      <c r="J229" s="261"/>
      <c r="K229" s="259"/>
      <c r="L229" s="260"/>
      <c r="M229" s="239"/>
      <c r="N229" s="259"/>
      <c r="O229" s="236">
        <f t="shared" si="56"/>
        <v>0</v>
      </c>
      <c r="Q229" s="16"/>
      <c r="R229" s="2"/>
      <c r="S229" s="2"/>
    </row>
    <row r="230" spans="1:19" outlineLevel="2" x14ac:dyDescent="0.25">
      <c r="A230" s="258" t="s">
        <v>467</v>
      </c>
      <c r="B230" s="249"/>
      <c r="C230" s="234"/>
      <c r="D230" s="259"/>
      <c r="E230" s="260"/>
      <c r="F230" s="260"/>
      <c r="G230" s="260"/>
      <c r="H230" s="260"/>
      <c r="I230" s="260"/>
      <c r="J230" s="261"/>
      <c r="K230" s="259"/>
      <c r="L230" s="260"/>
      <c r="M230" s="239"/>
      <c r="N230" s="259"/>
      <c r="O230" s="236">
        <f t="shared" si="56"/>
        <v>0</v>
      </c>
      <c r="Q230" s="16"/>
      <c r="R230" s="2"/>
      <c r="S230" s="2"/>
    </row>
    <row r="231" spans="1:19" outlineLevel="2" x14ac:dyDescent="0.25">
      <c r="A231" s="258" t="s">
        <v>469</v>
      </c>
      <c r="B231" s="249"/>
      <c r="C231" s="234"/>
      <c r="D231" s="259"/>
      <c r="E231" s="260"/>
      <c r="F231" s="260"/>
      <c r="G231" s="260"/>
      <c r="H231" s="260"/>
      <c r="I231" s="260"/>
      <c r="J231" s="261"/>
      <c r="K231" s="259"/>
      <c r="L231" s="260"/>
      <c r="M231" s="239"/>
      <c r="N231" s="259"/>
      <c r="O231" s="236">
        <f t="shared" si="56"/>
        <v>0</v>
      </c>
      <c r="Q231" s="16"/>
      <c r="R231" s="2"/>
      <c r="S231" s="2"/>
    </row>
    <row r="232" spans="1:19" outlineLevel="2" x14ac:dyDescent="0.25">
      <c r="A232" s="258" t="s">
        <v>471</v>
      </c>
      <c r="B232" s="249"/>
      <c r="C232" s="234"/>
      <c r="D232" s="259"/>
      <c r="E232" s="260"/>
      <c r="F232" s="260"/>
      <c r="G232" s="260"/>
      <c r="H232" s="260"/>
      <c r="I232" s="260"/>
      <c r="J232" s="261"/>
      <c r="K232" s="259"/>
      <c r="L232" s="260"/>
      <c r="M232" s="239"/>
      <c r="N232" s="259"/>
      <c r="O232" s="236">
        <f t="shared" si="56"/>
        <v>0</v>
      </c>
      <c r="Q232" s="16"/>
      <c r="R232" s="2"/>
      <c r="S232" s="2"/>
    </row>
    <row r="233" spans="1:19" outlineLevel="2" x14ac:dyDescent="0.25">
      <c r="A233" s="258" t="s">
        <v>473</v>
      </c>
      <c r="B233" s="249"/>
      <c r="C233" s="234"/>
      <c r="D233" s="259"/>
      <c r="E233" s="260"/>
      <c r="F233" s="260"/>
      <c r="G233" s="260"/>
      <c r="H233" s="260"/>
      <c r="I233" s="260"/>
      <c r="J233" s="261"/>
      <c r="K233" s="259"/>
      <c r="L233" s="260"/>
      <c r="M233" s="239"/>
      <c r="N233" s="259"/>
      <c r="O233" s="236">
        <f t="shared" si="56"/>
        <v>0</v>
      </c>
      <c r="Q233" s="16"/>
      <c r="R233" s="2"/>
      <c r="S233" s="2"/>
    </row>
    <row r="234" spans="1:19" outlineLevel="2" x14ac:dyDescent="0.25">
      <c r="A234" s="258" t="s">
        <v>682</v>
      </c>
      <c r="B234" s="249"/>
      <c r="C234" s="234"/>
      <c r="D234" s="259"/>
      <c r="E234" s="260"/>
      <c r="F234" s="260"/>
      <c r="G234" s="260"/>
      <c r="H234" s="260"/>
      <c r="I234" s="260"/>
      <c r="J234" s="261"/>
      <c r="K234" s="261"/>
      <c r="L234" s="261"/>
      <c r="M234" s="239"/>
      <c r="N234" s="259"/>
      <c r="O234" s="236">
        <f t="shared" si="56"/>
        <v>0</v>
      </c>
      <c r="Q234" s="16"/>
      <c r="R234" s="2"/>
      <c r="S234" s="2"/>
    </row>
    <row r="235" spans="1:19" outlineLevel="2" x14ac:dyDescent="0.25">
      <c r="A235" s="258" t="s">
        <v>477</v>
      </c>
      <c r="B235" s="249"/>
      <c r="C235" s="234"/>
      <c r="D235" s="260"/>
      <c r="E235" s="260"/>
      <c r="F235" s="260"/>
      <c r="G235" s="260"/>
      <c r="H235" s="260"/>
      <c r="I235" s="260"/>
      <c r="J235" s="261"/>
      <c r="K235" s="259"/>
      <c r="L235" s="260"/>
      <c r="M235" s="239"/>
      <c r="N235" s="259"/>
      <c r="O235" s="236">
        <f t="shared" si="56"/>
        <v>0</v>
      </c>
      <c r="Q235" s="16"/>
      <c r="R235" s="2"/>
      <c r="S235" s="2"/>
    </row>
    <row r="236" spans="1:19" outlineLevel="1" x14ac:dyDescent="0.25">
      <c r="A236" s="265" t="s">
        <v>479</v>
      </c>
      <c r="B236" s="266"/>
      <c r="C236" s="267">
        <f t="shared" ref="C236:N236" si="57">SUM(C237)</f>
        <v>0</v>
      </c>
      <c r="D236" s="268">
        <f t="shared" si="57"/>
        <v>0</v>
      </c>
      <c r="E236" s="268">
        <f t="shared" si="57"/>
        <v>0</v>
      </c>
      <c r="F236" s="268">
        <f t="shared" si="57"/>
        <v>0</v>
      </c>
      <c r="G236" s="268">
        <f t="shared" si="57"/>
        <v>0</v>
      </c>
      <c r="H236" s="268">
        <f t="shared" si="57"/>
        <v>0</v>
      </c>
      <c r="I236" s="268">
        <f t="shared" si="57"/>
        <v>0</v>
      </c>
      <c r="J236" s="268">
        <f t="shared" si="57"/>
        <v>0</v>
      </c>
      <c r="K236" s="268">
        <f t="shared" si="57"/>
        <v>0</v>
      </c>
      <c r="L236" s="268">
        <f t="shared" si="57"/>
        <v>0</v>
      </c>
      <c r="M236" s="268">
        <f t="shared" si="57"/>
        <v>0</v>
      </c>
      <c r="N236" s="269">
        <f t="shared" si="57"/>
        <v>0</v>
      </c>
      <c r="O236" s="270">
        <f t="shared" si="44"/>
        <v>0</v>
      </c>
      <c r="Q236" s="16"/>
      <c r="R236" s="2"/>
      <c r="S236" s="2"/>
    </row>
    <row r="237" spans="1:19" outlineLevel="2" x14ac:dyDescent="0.25">
      <c r="A237" s="258" t="s">
        <v>481</v>
      </c>
      <c r="B237" s="249"/>
      <c r="C237" s="234"/>
      <c r="D237" s="259"/>
      <c r="E237" s="260"/>
      <c r="F237" s="260"/>
      <c r="G237" s="260"/>
      <c r="H237" s="260"/>
      <c r="I237" s="260"/>
      <c r="J237" s="261"/>
      <c r="K237" s="259"/>
      <c r="L237" s="260"/>
      <c r="M237" s="239"/>
      <c r="N237" s="259"/>
      <c r="O237" s="236">
        <f t="shared" ref="O237:O273" si="58">SUM(C237:N237)</f>
        <v>0</v>
      </c>
      <c r="Q237" s="16"/>
      <c r="R237" s="2"/>
      <c r="S237" s="2"/>
    </row>
    <row r="238" spans="1:19" x14ac:dyDescent="0.25">
      <c r="A238" s="223" t="s">
        <v>545</v>
      </c>
      <c r="B238" s="253"/>
      <c r="C238" s="254">
        <f t="shared" ref="C238:N238" si="59">C239+C242+C248+C250</f>
        <v>0</v>
      </c>
      <c r="D238" s="255">
        <f t="shared" si="59"/>
        <v>0</v>
      </c>
      <c r="E238" s="255">
        <f t="shared" si="59"/>
        <v>0</v>
      </c>
      <c r="F238" s="255">
        <f t="shared" si="59"/>
        <v>0</v>
      </c>
      <c r="G238" s="255">
        <f t="shared" si="59"/>
        <v>0</v>
      </c>
      <c r="H238" s="255">
        <f t="shared" si="59"/>
        <v>0</v>
      </c>
      <c r="I238" s="255">
        <f t="shared" si="59"/>
        <v>0</v>
      </c>
      <c r="J238" s="255">
        <f t="shared" si="59"/>
        <v>0</v>
      </c>
      <c r="K238" s="255">
        <f t="shared" si="59"/>
        <v>0</v>
      </c>
      <c r="L238" s="255">
        <f t="shared" si="59"/>
        <v>0</v>
      </c>
      <c r="M238" s="255">
        <f t="shared" si="59"/>
        <v>0</v>
      </c>
      <c r="N238" s="255">
        <f t="shared" si="59"/>
        <v>0</v>
      </c>
      <c r="O238" s="257">
        <f t="shared" ref="O238" si="60">SUM(C238:N238)</f>
        <v>0</v>
      </c>
      <c r="Q238" s="16"/>
      <c r="R238" s="2"/>
      <c r="S238" s="2"/>
    </row>
    <row r="239" spans="1:19" outlineLevel="1" x14ac:dyDescent="0.25">
      <c r="A239" s="265" t="s">
        <v>451</v>
      </c>
      <c r="B239" s="266"/>
      <c r="C239" s="267">
        <f t="shared" ref="C239:N239" si="61">SUM(C240:C241)</f>
        <v>0</v>
      </c>
      <c r="D239" s="267">
        <f t="shared" si="61"/>
        <v>0</v>
      </c>
      <c r="E239" s="267">
        <f t="shared" si="61"/>
        <v>0</v>
      </c>
      <c r="F239" s="267">
        <f t="shared" si="61"/>
        <v>0</v>
      </c>
      <c r="G239" s="267">
        <f t="shared" si="61"/>
        <v>0</v>
      </c>
      <c r="H239" s="267">
        <f t="shared" si="61"/>
        <v>0</v>
      </c>
      <c r="I239" s="267">
        <f t="shared" si="61"/>
        <v>0</v>
      </c>
      <c r="J239" s="267">
        <f t="shared" si="61"/>
        <v>0</v>
      </c>
      <c r="K239" s="267">
        <f t="shared" si="61"/>
        <v>0</v>
      </c>
      <c r="L239" s="267">
        <f t="shared" si="61"/>
        <v>0</v>
      </c>
      <c r="M239" s="267">
        <f t="shared" si="61"/>
        <v>0</v>
      </c>
      <c r="N239" s="267">
        <f t="shared" si="61"/>
        <v>0</v>
      </c>
      <c r="O239" s="236">
        <f t="shared" si="58"/>
        <v>0</v>
      </c>
      <c r="Q239" s="16"/>
      <c r="R239" s="2"/>
      <c r="S239" s="2"/>
    </row>
    <row r="240" spans="1:19" outlineLevel="2" x14ac:dyDescent="0.25">
      <c r="A240" s="258" t="s">
        <v>482</v>
      </c>
      <c r="B240" s="249"/>
      <c r="C240" s="259"/>
      <c r="D240" s="260"/>
      <c r="E240" s="260"/>
      <c r="F240" s="260"/>
      <c r="G240" s="260"/>
      <c r="H240" s="260"/>
      <c r="I240" s="260"/>
      <c r="J240" s="261"/>
      <c r="K240" s="259"/>
      <c r="L240" s="260"/>
      <c r="M240" s="239"/>
      <c r="N240" s="275"/>
      <c r="O240" s="236">
        <f t="shared" si="58"/>
        <v>0</v>
      </c>
      <c r="Q240" s="16"/>
      <c r="R240" s="2"/>
      <c r="S240" s="2"/>
    </row>
    <row r="241" spans="1:19" outlineLevel="2" x14ac:dyDescent="0.25">
      <c r="A241" s="258" t="s">
        <v>483</v>
      </c>
      <c r="B241" s="249"/>
      <c r="C241" s="259"/>
      <c r="D241" s="260"/>
      <c r="E241" s="260"/>
      <c r="F241" s="260"/>
      <c r="G241" s="260"/>
      <c r="H241" s="260"/>
      <c r="I241" s="260"/>
      <c r="J241" s="261"/>
      <c r="K241" s="259"/>
      <c r="L241" s="260"/>
      <c r="M241" s="239"/>
      <c r="N241" s="275"/>
      <c r="O241" s="236">
        <f t="shared" si="58"/>
        <v>0</v>
      </c>
      <c r="Q241" s="16"/>
      <c r="R241" s="2"/>
      <c r="S241" s="2"/>
    </row>
    <row r="242" spans="1:19" outlineLevel="1" x14ac:dyDescent="0.25">
      <c r="A242" s="265" t="s">
        <v>486</v>
      </c>
      <c r="B242" s="266"/>
      <c r="C242" s="267">
        <f>SUM(C243:C247)</f>
        <v>0</v>
      </c>
      <c r="D242" s="268">
        <f t="shared" ref="D242:N242" si="62">SUM(D243:D247)</f>
        <v>0</v>
      </c>
      <c r="E242" s="268">
        <f t="shared" si="62"/>
        <v>0</v>
      </c>
      <c r="F242" s="268">
        <f t="shared" si="62"/>
        <v>0</v>
      </c>
      <c r="G242" s="268">
        <f t="shared" si="62"/>
        <v>0</v>
      </c>
      <c r="H242" s="268">
        <f t="shared" si="62"/>
        <v>0</v>
      </c>
      <c r="I242" s="268">
        <f t="shared" si="62"/>
        <v>0</v>
      </c>
      <c r="J242" s="268">
        <f>SUM(J243:J247)</f>
        <v>0</v>
      </c>
      <c r="K242" s="268">
        <f t="shared" si="62"/>
        <v>0</v>
      </c>
      <c r="L242" s="268">
        <f t="shared" si="62"/>
        <v>0</v>
      </c>
      <c r="M242" s="268">
        <f t="shared" si="62"/>
        <v>0</v>
      </c>
      <c r="N242" s="269">
        <f t="shared" si="62"/>
        <v>0</v>
      </c>
      <c r="O242" s="236">
        <f t="shared" ref="O242:O251" si="63">SUM(C242:N242)</f>
        <v>0</v>
      </c>
      <c r="Q242" s="16"/>
      <c r="R242" s="2"/>
      <c r="S242" s="2"/>
    </row>
    <row r="243" spans="1:19" outlineLevel="2" x14ac:dyDescent="0.25">
      <c r="A243" s="258" t="s">
        <v>683</v>
      </c>
      <c r="B243" s="249"/>
      <c r="C243" s="234"/>
      <c r="D243" s="259"/>
      <c r="E243" s="260"/>
      <c r="F243" s="260"/>
      <c r="G243" s="260"/>
      <c r="H243" s="260"/>
      <c r="I243" s="260"/>
      <c r="J243" s="261"/>
      <c r="K243" s="259"/>
      <c r="L243" s="260"/>
      <c r="M243" s="239"/>
      <c r="N243" s="259"/>
      <c r="O243" s="236">
        <f t="shared" si="63"/>
        <v>0</v>
      </c>
      <c r="Q243" s="16"/>
      <c r="R243" s="2"/>
      <c r="S243" s="2"/>
    </row>
    <row r="244" spans="1:19" outlineLevel="2" x14ac:dyDescent="0.25">
      <c r="A244" s="258" t="s">
        <v>489</v>
      </c>
      <c r="B244" s="249"/>
      <c r="C244" s="234"/>
      <c r="D244" s="259"/>
      <c r="E244" s="259"/>
      <c r="F244" s="260"/>
      <c r="G244" s="260"/>
      <c r="H244" s="260"/>
      <c r="I244" s="260"/>
      <c r="J244" s="261"/>
      <c r="K244" s="259"/>
      <c r="L244" s="260"/>
      <c r="M244" s="239"/>
      <c r="N244" s="259"/>
      <c r="O244" s="236">
        <f t="shared" si="63"/>
        <v>0</v>
      </c>
      <c r="Q244" s="16"/>
      <c r="R244" s="2"/>
      <c r="S244" s="2"/>
    </row>
    <row r="245" spans="1:19" outlineLevel="2" x14ac:dyDescent="0.25">
      <c r="A245" s="258" t="s">
        <v>490</v>
      </c>
      <c r="B245" s="249"/>
      <c r="C245" s="234"/>
      <c r="D245" s="259"/>
      <c r="E245" s="260"/>
      <c r="F245" s="260"/>
      <c r="G245" s="260"/>
      <c r="H245" s="260"/>
      <c r="I245" s="260"/>
      <c r="J245" s="261"/>
      <c r="K245" s="259"/>
      <c r="L245" s="276"/>
      <c r="M245" s="239"/>
      <c r="N245" s="259"/>
      <c r="O245" s="236">
        <f t="shared" si="63"/>
        <v>0</v>
      </c>
      <c r="Q245" s="16"/>
      <c r="R245" s="2"/>
      <c r="S245" s="2"/>
    </row>
    <row r="246" spans="1:19" outlineLevel="2" x14ac:dyDescent="0.25">
      <c r="A246" s="258" t="s">
        <v>491</v>
      </c>
      <c r="B246" s="249"/>
      <c r="C246" s="234"/>
      <c r="D246" s="259"/>
      <c r="E246" s="260"/>
      <c r="F246" s="260"/>
      <c r="G246" s="260"/>
      <c r="H246" s="260"/>
      <c r="I246" s="260"/>
      <c r="J246" s="261"/>
      <c r="K246" s="259"/>
      <c r="L246" s="260"/>
      <c r="M246" s="239"/>
      <c r="N246" s="259"/>
      <c r="O246" s="236">
        <f t="shared" si="63"/>
        <v>0</v>
      </c>
      <c r="Q246" s="16"/>
      <c r="R246" s="2"/>
      <c r="S246" s="2"/>
    </row>
    <row r="247" spans="1:19" outlineLevel="2" x14ac:dyDescent="0.25">
      <c r="A247" s="258" t="s">
        <v>493</v>
      </c>
      <c r="B247" s="249"/>
      <c r="C247" s="234"/>
      <c r="D247" s="259"/>
      <c r="E247" s="260"/>
      <c r="F247" s="260"/>
      <c r="G247" s="260"/>
      <c r="H247" s="260"/>
      <c r="I247" s="260"/>
      <c r="J247" s="261"/>
      <c r="K247" s="259"/>
      <c r="L247" s="260"/>
      <c r="M247" s="239"/>
      <c r="N247" s="259"/>
      <c r="O247" s="236">
        <f t="shared" si="63"/>
        <v>0</v>
      </c>
      <c r="Q247" s="16"/>
      <c r="R247" s="2"/>
      <c r="S247" s="2"/>
    </row>
    <row r="248" spans="1:19" outlineLevel="1" x14ac:dyDescent="0.25">
      <c r="A248" s="265" t="s">
        <v>495</v>
      </c>
      <c r="B248" s="266"/>
      <c r="C248" s="267">
        <f t="shared" ref="C248:N248" si="64">SUM(C249)</f>
        <v>0</v>
      </c>
      <c r="D248" s="268">
        <f t="shared" si="64"/>
        <v>0</v>
      </c>
      <c r="E248" s="268">
        <f t="shared" si="64"/>
        <v>0</v>
      </c>
      <c r="F248" s="268">
        <f t="shared" si="64"/>
        <v>0</v>
      </c>
      <c r="G248" s="268">
        <f t="shared" si="64"/>
        <v>0</v>
      </c>
      <c r="H248" s="268">
        <f t="shared" si="64"/>
        <v>0</v>
      </c>
      <c r="I248" s="268">
        <f t="shared" si="64"/>
        <v>0</v>
      </c>
      <c r="J248" s="268">
        <f t="shared" si="64"/>
        <v>0</v>
      </c>
      <c r="K248" s="268">
        <f t="shared" si="64"/>
        <v>0</v>
      </c>
      <c r="L248" s="268">
        <f t="shared" si="64"/>
        <v>0</v>
      </c>
      <c r="M248" s="268">
        <f t="shared" si="64"/>
        <v>0</v>
      </c>
      <c r="N248" s="269">
        <f t="shared" si="64"/>
        <v>0</v>
      </c>
      <c r="O248" s="236">
        <f t="shared" si="63"/>
        <v>0</v>
      </c>
      <c r="Q248" s="16"/>
      <c r="R248" s="2"/>
      <c r="S248" s="2"/>
    </row>
    <row r="249" spans="1:19" outlineLevel="2" x14ac:dyDescent="0.25">
      <c r="A249" s="258" t="s">
        <v>497</v>
      </c>
      <c r="B249" s="249"/>
      <c r="C249" s="234"/>
      <c r="D249" s="259"/>
      <c r="E249" s="260"/>
      <c r="F249" s="260"/>
      <c r="G249" s="260"/>
      <c r="H249" s="260"/>
      <c r="I249" s="260"/>
      <c r="J249" s="261"/>
      <c r="K249" s="259"/>
      <c r="L249" s="260"/>
      <c r="M249" s="239"/>
      <c r="N249" s="259"/>
      <c r="O249" s="236">
        <f t="shared" si="63"/>
        <v>0</v>
      </c>
      <c r="Q249" s="16"/>
      <c r="R249" s="2"/>
      <c r="S249" s="2"/>
    </row>
    <row r="250" spans="1:19" outlineLevel="1" x14ac:dyDescent="0.25">
      <c r="A250" s="265" t="s">
        <v>499</v>
      </c>
      <c r="B250" s="266"/>
      <c r="C250" s="267">
        <f t="shared" ref="C250:N250" si="65">SUM(C251:C252)</f>
        <v>0</v>
      </c>
      <c r="D250" s="268">
        <f t="shared" si="65"/>
        <v>0</v>
      </c>
      <c r="E250" s="268">
        <f t="shared" si="65"/>
        <v>0</v>
      </c>
      <c r="F250" s="268">
        <f t="shared" si="65"/>
        <v>0</v>
      </c>
      <c r="G250" s="268">
        <f t="shared" si="65"/>
        <v>0</v>
      </c>
      <c r="H250" s="268">
        <f t="shared" si="65"/>
        <v>0</v>
      </c>
      <c r="I250" s="268">
        <f t="shared" si="65"/>
        <v>0</v>
      </c>
      <c r="J250" s="268">
        <f t="shared" si="65"/>
        <v>0</v>
      </c>
      <c r="K250" s="268">
        <f t="shared" si="65"/>
        <v>0</v>
      </c>
      <c r="L250" s="268">
        <f t="shared" si="65"/>
        <v>0</v>
      </c>
      <c r="M250" s="268">
        <f t="shared" si="65"/>
        <v>0</v>
      </c>
      <c r="N250" s="269">
        <f t="shared" si="65"/>
        <v>0</v>
      </c>
      <c r="O250" s="236">
        <f t="shared" si="63"/>
        <v>0</v>
      </c>
      <c r="Q250" s="16"/>
      <c r="R250" s="2"/>
      <c r="S250" s="2"/>
    </row>
    <row r="251" spans="1:19" outlineLevel="2" x14ac:dyDescent="0.25">
      <c r="A251" s="258" t="s">
        <v>501</v>
      </c>
      <c r="B251" s="249"/>
      <c r="C251" s="234"/>
      <c r="D251" s="259"/>
      <c r="E251" s="260"/>
      <c r="F251" s="260"/>
      <c r="G251" s="260"/>
      <c r="H251" s="260"/>
      <c r="I251" s="260"/>
      <c r="J251" s="261"/>
      <c r="K251" s="259"/>
      <c r="L251" s="260"/>
      <c r="M251" s="239"/>
      <c r="N251" s="259"/>
      <c r="O251" s="236">
        <f t="shared" si="63"/>
        <v>0</v>
      </c>
      <c r="Q251" s="16"/>
      <c r="R251" s="2"/>
      <c r="S251" s="2"/>
    </row>
    <row r="252" spans="1:19" outlineLevel="2" x14ac:dyDescent="0.25">
      <c r="A252" s="258" t="s">
        <v>503</v>
      </c>
      <c r="B252" s="249"/>
      <c r="C252" s="234"/>
      <c r="D252" s="259"/>
      <c r="E252" s="260"/>
      <c r="F252" s="260"/>
      <c r="G252" s="260"/>
      <c r="H252" s="260"/>
      <c r="I252" s="260"/>
      <c r="J252" s="261"/>
      <c r="K252" s="259"/>
      <c r="L252" s="260"/>
      <c r="M252" s="239"/>
      <c r="N252" s="259"/>
      <c r="O252" s="236">
        <f t="shared" si="58"/>
        <v>0</v>
      </c>
      <c r="Q252" s="16"/>
      <c r="R252" s="2"/>
      <c r="S252" s="2"/>
    </row>
    <row r="253" spans="1:19" s="6" customFormat="1" x14ac:dyDescent="0.25">
      <c r="A253" s="223" t="s">
        <v>505</v>
      </c>
      <c r="B253" s="253"/>
      <c r="C253" s="254">
        <f t="shared" ref="C253:N253" si="66">SUM(C254,C257)</f>
        <v>0</v>
      </c>
      <c r="D253" s="255">
        <f t="shared" si="66"/>
        <v>0</v>
      </c>
      <c r="E253" s="255">
        <f t="shared" si="66"/>
        <v>0</v>
      </c>
      <c r="F253" s="255">
        <f t="shared" si="66"/>
        <v>0</v>
      </c>
      <c r="G253" s="255">
        <f t="shared" si="66"/>
        <v>0</v>
      </c>
      <c r="H253" s="255">
        <f t="shared" si="66"/>
        <v>0</v>
      </c>
      <c r="I253" s="255">
        <f t="shared" si="66"/>
        <v>0</v>
      </c>
      <c r="J253" s="255">
        <f t="shared" si="66"/>
        <v>0</v>
      </c>
      <c r="K253" s="255">
        <f t="shared" si="66"/>
        <v>0</v>
      </c>
      <c r="L253" s="255">
        <f t="shared" si="66"/>
        <v>0</v>
      </c>
      <c r="M253" s="255">
        <f t="shared" si="66"/>
        <v>0</v>
      </c>
      <c r="N253" s="256">
        <f t="shared" si="66"/>
        <v>0</v>
      </c>
      <c r="O253" s="257">
        <f t="shared" si="58"/>
        <v>0</v>
      </c>
      <c r="Q253" s="18"/>
      <c r="R253" s="19"/>
      <c r="S253" s="19"/>
    </row>
    <row r="254" spans="1:19" outlineLevel="1" x14ac:dyDescent="0.25">
      <c r="A254" s="265" t="s">
        <v>507</v>
      </c>
      <c r="B254" s="266"/>
      <c r="C254" s="267">
        <f t="shared" ref="C254:N254" si="67">SUM(C255:C256)</f>
        <v>0</v>
      </c>
      <c r="D254" s="268">
        <f t="shared" si="67"/>
        <v>0</v>
      </c>
      <c r="E254" s="268">
        <f t="shared" si="67"/>
        <v>0</v>
      </c>
      <c r="F254" s="268">
        <f t="shared" si="67"/>
        <v>0</v>
      </c>
      <c r="G254" s="268">
        <f t="shared" si="67"/>
        <v>0</v>
      </c>
      <c r="H254" s="268">
        <f t="shared" si="67"/>
        <v>0</v>
      </c>
      <c r="I254" s="268">
        <f t="shared" si="67"/>
        <v>0</v>
      </c>
      <c r="J254" s="268">
        <f>SUM(J255:J256)</f>
        <v>0</v>
      </c>
      <c r="K254" s="268">
        <f t="shared" si="67"/>
        <v>0</v>
      </c>
      <c r="L254" s="268">
        <f t="shared" si="67"/>
        <v>0</v>
      </c>
      <c r="M254" s="268">
        <f t="shared" si="67"/>
        <v>0</v>
      </c>
      <c r="N254" s="269">
        <f t="shared" si="67"/>
        <v>0</v>
      </c>
      <c r="O254" s="236">
        <f t="shared" ref="O254:O267" si="68">SUM(C254:N254)</f>
        <v>0</v>
      </c>
      <c r="Q254" s="16"/>
      <c r="R254" s="2"/>
      <c r="S254" s="2"/>
    </row>
    <row r="255" spans="1:19" ht="13.2" outlineLevel="2" x14ac:dyDescent="0.25">
      <c r="A255" s="258" t="s">
        <v>680</v>
      </c>
      <c r="B255" s="249"/>
      <c r="C255" s="234"/>
      <c r="D255" s="259"/>
      <c r="E255" s="260"/>
      <c r="F255" s="260"/>
      <c r="G255" s="260"/>
      <c r="H255" s="260"/>
      <c r="I255" s="260"/>
      <c r="J255" s="433"/>
      <c r="K255" s="433"/>
      <c r="L255" s="433"/>
      <c r="M255" s="239"/>
      <c r="N255" s="259"/>
      <c r="O255" s="236">
        <f t="shared" si="68"/>
        <v>0</v>
      </c>
      <c r="Q255" s="16"/>
      <c r="R255" s="2"/>
      <c r="S255" s="2"/>
    </row>
    <row r="256" spans="1:19" outlineLevel="2" x14ac:dyDescent="0.25">
      <c r="A256" s="258" t="s">
        <v>511</v>
      </c>
      <c r="B256" s="249"/>
      <c r="C256" s="234"/>
      <c r="D256" s="259"/>
      <c r="E256" s="260"/>
      <c r="F256" s="260"/>
      <c r="G256" s="260"/>
      <c r="H256" s="260"/>
      <c r="I256" s="260"/>
      <c r="J256" s="261"/>
      <c r="K256" s="259"/>
      <c r="L256" s="260"/>
      <c r="M256" s="239"/>
      <c r="N256" s="259"/>
      <c r="O256" s="236">
        <f t="shared" si="68"/>
        <v>0</v>
      </c>
      <c r="Q256" s="16"/>
      <c r="R256" s="2"/>
      <c r="S256" s="2"/>
    </row>
    <row r="257" spans="1:19" outlineLevel="1" x14ac:dyDescent="0.25">
      <c r="A257" s="265" t="s">
        <v>513</v>
      </c>
      <c r="B257" s="266"/>
      <c r="C257" s="267">
        <f t="shared" ref="C257:N257" si="69">SUM(C258:C267)</f>
        <v>0</v>
      </c>
      <c r="D257" s="268">
        <f t="shared" si="69"/>
        <v>0</v>
      </c>
      <c r="E257" s="268">
        <f t="shared" si="69"/>
        <v>0</v>
      </c>
      <c r="F257" s="268">
        <f t="shared" si="69"/>
        <v>0</v>
      </c>
      <c r="G257" s="268">
        <f t="shared" si="69"/>
        <v>0</v>
      </c>
      <c r="H257" s="268">
        <f t="shared" si="69"/>
        <v>0</v>
      </c>
      <c r="I257" s="268">
        <f t="shared" si="69"/>
        <v>0</v>
      </c>
      <c r="J257" s="268">
        <f t="shared" si="69"/>
        <v>0</v>
      </c>
      <c r="K257" s="268">
        <f t="shared" si="69"/>
        <v>0</v>
      </c>
      <c r="L257" s="268">
        <f t="shared" si="69"/>
        <v>0</v>
      </c>
      <c r="M257" s="268">
        <f t="shared" si="69"/>
        <v>0</v>
      </c>
      <c r="N257" s="269">
        <f t="shared" si="69"/>
        <v>0</v>
      </c>
      <c r="O257" s="236">
        <f t="shared" si="68"/>
        <v>0</v>
      </c>
      <c r="Q257" s="16"/>
      <c r="R257" s="2"/>
      <c r="S257" s="2"/>
    </row>
    <row r="258" spans="1:19" outlineLevel="2" x14ac:dyDescent="0.25">
      <c r="A258" s="258" t="s">
        <v>309</v>
      </c>
      <c r="B258" s="249"/>
      <c r="C258" s="234"/>
      <c r="D258" s="259"/>
      <c r="E258" s="260"/>
      <c r="F258" s="260"/>
      <c r="G258" s="260"/>
      <c r="H258" s="260"/>
      <c r="I258" s="260"/>
      <c r="J258" s="261"/>
      <c r="K258" s="259"/>
      <c r="L258" s="260"/>
      <c r="M258" s="239"/>
      <c r="N258" s="259"/>
      <c r="O258" s="236">
        <f t="shared" si="68"/>
        <v>0</v>
      </c>
      <c r="Q258" s="16"/>
      <c r="R258" s="2"/>
      <c r="S258" s="2"/>
    </row>
    <row r="259" spans="1:19" outlineLevel="2" x14ac:dyDescent="0.25">
      <c r="A259" s="258" t="s">
        <v>291</v>
      </c>
      <c r="B259" s="249"/>
      <c r="C259" s="234"/>
      <c r="D259" s="259"/>
      <c r="E259" s="260"/>
      <c r="F259" s="260"/>
      <c r="G259" s="260"/>
      <c r="H259" s="260"/>
      <c r="I259" s="260"/>
      <c r="J259" s="261"/>
      <c r="K259" s="259"/>
      <c r="L259" s="260"/>
      <c r="M259" s="239"/>
      <c r="N259" s="259"/>
      <c r="O259" s="236">
        <f t="shared" si="68"/>
        <v>0</v>
      </c>
      <c r="Q259" s="16"/>
      <c r="R259" s="2"/>
      <c r="S259" s="2"/>
    </row>
    <row r="260" spans="1:19" outlineLevel="2" x14ac:dyDescent="0.25">
      <c r="A260" s="258" t="s">
        <v>293</v>
      </c>
      <c r="B260" s="249"/>
      <c r="C260" s="234"/>
      <c r="D260" s="259"/>
      <c r="E260" s="260"/>
      <c r="F260" s="260"/>
      <c r="G260" s="260"/>
      <c r="H260" s="260"/>
      <c r="I260" s="260"/>
      <c r="J260" s="261"/>
      <c r="K260" s="259"/>
      <c r="L260" s="260"/>
      <c r="M260" s="239"/>
      <c r="N260" s="259"/>
      <c r="O260" s="236">
        <f t="shared" si="68"/>
        <v>0</v>
      </c>
      <c r="Q260" s="16"/>
      <c r="R260" s="2"/>
      <c r="S260" s="2"/>
    </row>
    <row r="261" spans="1:19" outlineLevel="2" x14ac:dyDescent="0.25">
      <c r="A261" s="258" t="s">
        <v>295</v>
      </c>
      <c r="B261" s="249"/>
      <c r="C261" s="234"/>
      <c r="D261" s="259"/>
      <c r="E261" s="260"/>
      <c r="F261" s="260"/>
      <c r="G261" s="260"/>
      <c r="H261" s="260"/>
      <c r="I261" s="260"/>
      <c r="J261" s="261"/>
      <c r="K261" s="259"/>
      <c r="L261" s="260"/>
      <c r="M261" s="239"/>
      <c r="N261" s="259"/>
      <c r="O261" s="236">
        <f t="shared" si="68"/>
        <v>0</v>
      </c>
      <c r="Q261" s="16"/>
      <c r="R261" s="2"/>
      <c r="S261" s="2"/>
    </row>
    <row r="262" spans="1:19" outlineLevel="2" x14ac:dyDescent="0.25">
      <c r="A262" s="258" t="s">
        <v>519</v>
      </c>
      <c r="B262" s="249"/>
      <c r="C262" s="234"/>
      <c r="D262" s="259"/>
      <c r="E262" s="260"/>
      <c r="F262" s="260"/>
      <c r="G262" s="260"/>
      <c r="H262" s="260"/>
      <c r="I262" s="260"/>
      <c r="J262" s="261"/>
      <c r="K262" s="259"/>
      <c r="L262" s="260"/>
      <c r="M262" s="239"/>
      <c r="N262" s="259"/>
      <c r="O262" s="236">
        <f t="shared" si="68"/>
        <v>0</v>
      </c>
      <c r="Q262" s="16"/>
      <c r="R262" s="2"/>
      <c r="S262" s="2"/>
    </row>
    <row r="263" spans="1:19" outlineLevel="2" x14ac:dyDescent="0.25">
      <c r="A263" s="258" t="s">
        <v>303</v>
      </c>
      <c r="B263" s="249"/>
      <c r="C263" s="234"/>
      <c r="D263" s="259"/>
      <c r="E263" s="260"/>
      <c r="F263" s="260"/>
      <c r="G263" s="260"/>
      <c r="H263" s="260"/>
      <c r="I263" s="260"/>
      <c r="J263" s="261"/>
      <c r="K263" s="259"/>
      <c r="L263" s="260"/>
      <c r="M263" s="239"/>
      <c r="N263" s="259"/>
      <c r="O263" s="236">
        <f t="shared" si="68"/>
        <v>0</v>
      </c>
      <c r="Q263" s="16"/>
      <c r="R263" s="2"/>
      <c r="S263" s="2"/>
    </row>
    <row r="264" spans="1:19" outlineLevel="2" x14ac:dyDescent="0.25">
      <c r="A264" s="258" t="s">
        <v>522</v>
      </c>
      <c r="B264" s="249"/>
      <c r="C264" s="234"/>
      <c r="D264" s="259"/>
      <c r="E264" s="260"/>
      <c r="F264" s="260"/>
      <c r="G264" s="260"/>
      <c r="H264" s="260"/>
      <c r="I264" s="260"/>
      <c r="J264" s="261"/>
      <c r="K264" s="259"/>
      <c r="L264" s="260"/>
      <c r="M264" s="239"/>
      <c r="N264" s="259"/>
      <c r="O264" s="236">
        <f t="shared" si="68"/>
        <v>0</v>
      </c>
      <c r="Q264" s="16"/>
      <c r="R264" s="2"/>
      <c r="S264" s="2"/>
    </row>
    <row r="265" spans="1:19" outlineLevel="2" x14ac:dyDescent="0.25">
      <c r="A265" s="258" t="s">
        <v>524</v>
      </c>
      <c r="B265" s="249"/>
      <c r="C265" s="234"/>
      <c r="D265" s="259"/>
      <c r="E265" s="260"/>
      <c r="F265" s="260"/>
      <c r="G265" s="260"/>
      <c r="H265" s="260"/>
      <c r="I265" s="260"/>
      <c r="J265" s="261"/>
      <c r="K265" s="259"/>
      <c r="L265" s="260"/>
      <c r="M265" s="239"/>
      <c r="N265" s="259"/>
      <c r="O265" s="236">
        <f t="shared" si="68"/>
        <v>0</v>
      </c>
      <c r="Q265" s="16"/>
      <c r="R265" s="2"/>
      <c r="S265" s="2"/>
    </row>
    <row r="266" spans="1:19" outlineLevel="2" x14ac:dyDescent="0.25">
      <c r="A266" s="258" t="s">
        <v>526</v>
      </c>
      <c r="B266" s="249"/>
      <c r="C266" s="234"/>
      <c r="D266" s="259"/>
      <c r="E266" s="260"/>
      <c r="F266" s="260"/>
      <c r="G266" s="260"/>
      <c r="H266" s="260"/>
      <c r="I266" s="260"/>
      <c r="J266" s="261"/>
      <c r="K266" s="259"/>
      <c r="L266" s="260"/>
      <c r="M266" s="239"/>
      <c r="N266" s="259"/>
      <c r="O266" s="236">
        <f t="shared" si="68"/>
        <v>0</v>
      </c>
      <c r="Q266" s="16"/>
      <c r="R266" s="2"/>
      <c r="S266" s="2"/>
    </row>
    <row r="267" spans="1:19" outlineLevel="2" x14ac:dyDescent="0.25">
      <c r="A267" s="258" t="s">
        <v>528</v>
      </c>
      <c r="B267" s="249"/>
      <c r="C267" s="234"/>
      <c r="D267" s="259"/>
      <c r="E267" s="260"/>
      <c r="F267" s="260"/>
      <c r="G267" s="260"/>
      <c r="H267" s="260"/>
      <c r="I267" s="260"/>
      <c r="J267" s="261"/>
      <c r="K267" s="259"/>
      <c r="L267" s="260"/>
      <c r="M267" s="239"/>
      <c r="N267" s="259"/>
      <c r="O267" s="236">
        <f t="shared" si="68"/>
        <v>0</v>
      </c>
      <c r="Q267" s="16"/>
      <c r="R267" s="2"/>
      <c r="S267" s="2"/>
    </row>
    <row r="268" spans="1:19" s="6" customFormat="1" x14ac:dyDescent="0.25">
      <c r="A268" s="223" t="s">
        <v>530</v>
      </c>
      <c r="B268" s="253"/>
      <c r="C268" s="255">
        <f t="shared" ref="C268:N268" si="70">SUM(C269:C270)</f>
        <v>0</v>
      </c>
      <c r="D268" s="255">
        <f t="shared" si="70"/>
        <v>0</v>
      </c>
      <c r="E268" s="255">
        <f t="shared" si="70"/>
        <v>0</v>
      </c>
      <c r="F268" s="255">
        <f t="shared" si="70"/>
        <v>0</v>
      </c>
      <c r="G268" s="255">
        <f t="shared" si="70"/>
        <v>0</v>
      </c>
      <c r="H268" s="255">
        <f t="shared" si="70"/>
        <v>0</v>
      </c>
      <c r="I268" s="255">
        <f t="shared" si="70"/>
        <v>0</v>
      </c>
      <c r="J268" s="255">
        <f t="shared" si="70"/>
        <v>0</v>
      </c>
      <c r="K268" s="255">
        <f t="shared" si="70"/>
        <v>0</v>
      </c>
      <c r="L268" s="255">
        <f t="shared" si="70"/>
        <v>0</v>
      </c>
      <c r="M268" s="255">
        <f t="shared" si="70"/>
        <v>0</v>
      </c>
      <c r="N268" s="255">
        <f t="shared" si="70"/>
        <v>0</v>
      </c>
      <c r="O268" s="257">
        <f t="shared" si="58"/>
        <v>0</v>
      </c>
      <c r="Q268" s="18"/>
      <c r="R268" s="19"/>
      <c r="S268" s="19"/>
    </row>
    <row r="269" spans="1:19" outlineLevel="2" x14ac:dyDescent="0.25">
      <c r="A269" s="258" t="s">
        <v>532</v>
      </c>
      <c r="B269" s="249"/>
      <c r="C269" s="234"/>
      <c r="D269" s="259"/>
      <c r="E269" s="260"/>
      <c r="F269" s="260"/>
      <c r="G269" s="260"/>
      <c r="H269" s="260"/>
      <c r="I269" s="260"/>
      <c r="J269" s="261"/>
      <c r="K269" s="259"/>
      <c r="L269" s="260"/>
      <c r="M269" s="239"/>
      <c r="N269" s="259"/>
      <c r="O269" s="236">
        <f t="shared" ref="O269" si="71">SUM(C269:N269)</f>
        <v>0</v>
      </c>
      <c r="Q269" s="16"/>
      <c r="R269" s="2"/>
      <c r="S269" s="2"/>
    </row>
    <row r="270" spans="1:19" ht="12.6" outlineLevel="2" thickBot="1" x14ac:dyDescent="0.3">
      <c r="A270" s="258" t="s">
        <v>547</v>
      </c>
      <c r="B270" s="249"/>
      <c r="C270" s="234"/>
      <c r="D270" s="259"/>
      <c r="E270" s="260"/>
      <c r="F270" s="260"/>
      <c r="G270" s="260"/>
      <c r="H270" s="260"/>
      <c r="I270" s="260"/>
      <c r="J270" s="261"/>
      <c r="K270" s="259"/>
      <c r="L270" s="260"/>
      <c r="M270" s="239"/>
      <c r="N270" s="259"/>
      <c r="O270" s="236">
        <f t="shared" si="58"/>
        <v>0</v>
      </c>
      <c r="Q270" s="16"/>
      <c r="R270" s="2"/>
      <c r="S270" s="2"/>
    </row>
    <row r="271" spans="1:19" s="6" customFormat="1" ht="12.6" collapsed="1" thickBot="1" x14ac:dyDescent="0.3">
      <c r="A271" s="196" t="s">
        <v>535</v>
      </c>
      <c r="B271" s="197"/>
      <c r="C271" s="198">
        <f t="shared" ref="C271:N271" si="72">SUM(C27,C82,C100,C167,C154,C183,C199,C221,C238,C253,C268,C17)</f>
        <v>0</v>
      </c>
      <c r="D271" s="199">
        <f t="shared" si="72"/>
        <v>0</v>
      </c>
      <c r="E271" s="199">
        <f t="shared" si="72"/>
        <v>0</v>
      </c>
      <c r="F271" s="199">
        <f t="shared" si="72"/>
        <v>0</v>
      </c>
      <c r="G271" s="199">
        <f t="shared" si="72"/>
        <v>0</v>
      </c>
      <c r="H271" s="199">
        <f t="shared" si="72"/>
        <v>0</v>
      </c>
      <c r="I271" s="199">
        <f t="shared" si="72"/>
        <v>0</v>
      </c>
      <c r="J271" s="199">
        <f t="shared" si="72"/>
        <v>0</v>
      </c>
      <c r="K271" s="199">
        <f t="shared" si="72"/>
        <v>0</v>
      </c>
      <c r="L271" s="199">
        <f t="shared" si="72"/>
        <v>0</v>
      </c>
      <c r="M271" s="199">
        <f t="shared" si="72"/>
        <v>0</v>
      </c>
      <c r="N271" s="200">
        <f t="shared" si="72"/>
        <v>0</v>
      </c>
      <c r="O271" s="201">
        <f t="shared" si="58"/>
        <v>0</v>
      </c>
      <c r="Q271" s="18"/>
      <c r="R271" s="19"/>
      <c r="S271" s="19"/>
    </row>
    <row r="272" spans="1:19" ht="12.6" thickBot="1" x14ac:dyDescent="0.3">
      <c r="B272" s="28"/>
      <c r="C272" s="4"/>
      <c r="D272" s="4"/>
      <c r="E272" s="4"/>
      <c r="F272" s="4"/>
      <c r="G272" s="4"/>
      <c r="H272" s="4"/>
      <c r="K272" s="4"/>
      <c r="L272" s="4"/>
      <c r="M272" s="4"/>
      <c r="N272" s="4"/>
      <c r="O272" s="26">
        <f t="shared" si="58"/>
        <v>0</v>
      </c>
      <c r="Q272" s="17"/>
      <c r="R272" s="2"/>
      <c r="S272" s="2"/>
    </row>
    <row r="273" spans="1:19" s="6" customFormat="1" ht="12.6" thickBot="1" x14ac:dyDescent="0.3">
      <c r="A273" s="24" t="s">
        <v>536</v>
      </c>
      <c r="B273" s="202"/>
      <c r="C273" s="203">
        <f t="shared" ref="C273:N273" si="73">C15-C271</f>
        <v>0</v>
      </c>
      <c r="D273" s="23">
        <f t="shared" si="73"/>
        <v>0</v>
      </c>
      <c r="E273" s="23">
        <f t="shared" si="73"/>
        <v>0</v>
      </c>
      <c r="F273" s="23">
        <f t="shared" si="73"/>
        <v>0</v>
      </c>
      <c r="G273" s="23">
        <f t="shared" si="73"/>
        <v>0</v>
      </c>
      <c r="H273" s="23">
        <f t="shared" si="73"/>
        <v>0</v>
      </c>
      <c r="I273" s="23">
        <f t="shared" si="73"/>
        <v>0</v>
      </c>
      <c r="J273" s="23">
        <f t="shared" si="73"/>
        <v>0</v>
      </c>
      <c r="K273" s="23">
        <f t="shared" si="73"/>
        <v>0</v>
      </c>
      <c r="L273" s="23">
        <f t="shared" si="73"/>
        <v>0</v>
      </c>
      <c r="M273" s="23">
        <f t="shared" si="73"/>
        <v>0</v>
      </c>
      <c r="N273" s="25">
        <f t="shared" si="73"/>
        <v>0</v>
      </c>
      <c r="O273" s="27">
        <f t="shared" si="58"/>
        <v>0</v>
      </c>
      <c r="P273" s="22"/>
      <c r="Q273" s="18"/>
      <c r="R273" s="19"/>
      <c r="S273" s="19"/>
    </row>
    <row r="274" spans="1:19" s="13" customFormat="1" x14ac:dyDescent="0.25">
      <c r="A274" s="277"/>
      <c r="B274" s="277"/>
      <c r="C274" s="278"/>
      <c r="D274" s="278"/>
      <c r="E274" s="278"/>
      <c r="F274" s="278"/>
      <c r="G274" s="278"/>
      <c r="H274" s="278"/>
      <c r="I274" s="278"/>
      <c r="J274" s="278"/>
      <c r="K274" s="278"/>
      <c r="L274" s="278"/>
      <c r="M274" s="278"/>
      <c r="N274" s="278"/>
      <c r="O274" s="279"/>
    </row>
    <row r="276" spans="1:19" x14ac:dyDescent="0.25">
      <c r="G276" s="30">
        <v>11000</v>
      </c>
    </row>
    <row r="277" spans="1:19" x14ac:dyDescent="0.25">
      <c r="G277" s="2"/>
    </row>
    <row r="278" spans="1:19" x14ac:dyDescent="0.25">
      <c r="G278" s="30">
        <v>201.57</v>
      </c>
    </row>
    <row r="279" spans="1:19" x14ac:dyDescent="0.25">
      <c r="G279" s="30">
        <v>384</v>
      </c>
    </row>
    <row r="280" spans="1:19" x14ac:dyDescent="0.25">
      <c r="G280" s="30">
        <v>3849.42</v>
      </c>
    </row>
    <row r="281" spans="1:19" x14ac:dyDescent="0.25">
      <c r="G281" s="30">
        <v>550</v>
      </c>
    </row>
    <row r="282" spans="1:19" x14ac:dyDescent="0.25">
      <c r="G282" s="30">
        <f>SUM(G271,G276:G281)</f>
        <v>15984.99</v>
      </c>
    </row>
    <row r="283" spans="1:19" x14ac:dyDescent="0.25">
      <c r="G283" s="30">
        <v>-114478.52</v>
      </c>
    </row>
    <row r="284" spans="1:19" x14ac:dyDescent="0.25">
      <c r="G284" s="30">
        <f>SUM(G282:G283)</f>
        <v>-98493.53</v>
      </c>
    </row>
  </sheetData>
  <autoFilter ref="C27:O173" xr:uid="{00000000-0001-0000-0300-000000000000}"/>
  <dataConsolidate/>
  <mergeCells count="2">
    <mergeCell ref="A3:A4"/>
    <mergeCell ref="B3:B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055A-A45F-4C8B-A038-1BBD2664797C}">
  <sheetPr>
    <tabColor rgb="FF002060"/>
    <outlinePr summaryBelow="0"/>
  </sheetPr>
  <dimension ref="A1:S286"/>
  <sheetViews>
    <sheetView showGridLines="0" zoomScale="85" zoomScaleNormal="85" workbookViewId="0">
      <selection activeCell="F29" sqref="F29"/>
    </sheetView>
  </sheetViews>
  <sheetFormatPr defaultColWidth="13.88671875" defaultRowHeight="12" outlineLevelRow="2" x14ac:dyDescent="0.25"/>
  <cols>
    <col min="1" max="1" width="42.6640625" style="1" bestFit="1" customWidth="1"/>
    <col min="2" max="2" width="4.44140625" style="1" bestFit="1" customWidth="1"/>
    <col min="3" max="3" width="10" style="2" bestFit="1" customWidth="1"/>
    <col min="4" max="8" width="10" style="1" bestFit="1" customWidth="1"/>
    <col min="9" max="9" width="10" style="4" bestFit="1" customWidth="1"/>
    <col min="10" max="10" width="11.6640625" style="4" bestFit="1" customWidth="1"/>
    <col min="11" max="12" width="11.6640625" style="1" bestFit="1" customWidth="1"/>
    <col min="13" max="14" width="11.21875" style="1" bestFit="1" customWidth="1"/>
    <col min="15" max="15" width="14.6640625" style="1" bestFit="1" customWidth="1"/>
    <col min="16" max="16" width="1" style="1" customWidth="1"/>
    <col min="17" max="16384" width="13.88671875" style="1"/>
  </cols>
  <sheetData>
    <row r="1" spans="1:19" x14ac:dyDescent="0.25">
      <c r="A1" s="3"/>
      <c r="B1" s="3"/>
    </row>
    <row r="2" spans="1:19" ht="12.6" thickBot="1" x14ac:dyDescent="0.3">
      <c r="A2" s="3"/>
      <c r="B2" s="3"/>
      <c r="C2" s="34"/>
    </row>
    <row r="3" spans="1:19" s="12" customFormat="1" ht="20.100000000000001" customHeight="1" thickTop="1" x14ac:dyDescent="0.25">
      <c r="A3" s="520" t="s">
        <v>651</v>
      </c>
      <c r="B3" s="522"/>
      <c r="C3" s="224">
        <v>2026</v>
      </c>
      <c r="D3" s="224">
        <v>2026</v>
      </c>
      <c r="E3" s="224">
        <v>2026</v>
      </c>
      <c r="F3" s="224">
        <v>2026</v>
      </c>
      <c r="G3" s="224">
        <v>2026</v>
      </c>
      <c r="H3" s="224">
        <v>2026</v>
      </c>
      <c r="I3" s="224">
        <v>2026</v>
      </c>
      <c r="J3" s="224">
        <v>2026</v>
      </c>
      <c r="K3" s="224">
        <v>2026</v>
      </c>
      <c r="L3" s="224">
        <v>2026</v>
      </c>
      <c r="M3" s="224">
        <v>2026</v>
      </c>
      <c r="N3" s="224">
        <v>2026</v>
      </c>
      <c r="O3" s="29">
        <v>2026</v>
      </c>
    </row>
    <row r="4" spans="1:19" x14ac:dyDescent="0.25">
      <c r="A4" s="521"/>
      <c r="B4" s="523"/>
      <c r="C4" s="181" t="s">
        <v>67</v>
      </c>
      <c r="D4" s="176" t="s">
        <v>68</v>
      </c>
      <c r="E4" s="176" t="s">
        <v>69</v>
      </c>
      <c r="F4" s="176" t="s">
        <v>70</v>
      </c>
      <c r="G4" s="176" t="s">
        <v>71</v>
      </c>
      <c r="H4" s="176" t="s">
        <v>72</v>
      </c>
      <c r="I4" s="176" t="s">
        <v>73</v>
      </c>
      <c r="J4" s="176" t="s">
        <v>74</v>
      </c>
      <c r="K4" s="176" t="s">
        <v>75</v>
      </c>
      <c r="L4" s="176" t="s">
        <v>76</v>
      </c>
      <c r="M4" s="176" t="s">
        <v>77</v>
      </c>
      <c r="N4" s="182" t="s">
        <v>78</v>
      </c>
      <c r="O4" s="183" t="s">
        <v>79</v>
      </c>
    </row>
    <row r="5" spans="1:19" x14ac:dyDescent="0.25">
      <c r="A5" s="225" t="s">
        <v>80</v>
      </c>
      <c r="B5" s="226"/>
      <c r="C5" s="227"/>
      <c r="D5" s="228"/>
      <c r="E5" s="229"/>
      <c r="F5" s="228"/>
      <c r="G5" s="228"/>
      <c r="H5" s="230"/>
      <c r="I5" s="230"/>
      <c r="J5" s="228"/>
      <c r="K5" s="230"/>
      <c r="L5" s="230"/>
      <c r="M5" s="228"/>
      <c r="N5" s="231"/>
      <c r="O5" s="232"/>
    </row>
    <row r="6" spans="1:19" ht="13.2" outlineLevel="1" x14ac:dyDescent="0.25">
      <c r="A6" s="219" t="s">
        <v>672</v>
      </c>
      <c r="B6" s="233"/>
      <c r="C6" s="234"/>
      <c r="D6" s="234"/>
      <c r="E6" s="234"/>
      <c r="F6" s="234"/>
      <c r="G6" s="234"/>
      <c r="H6" s="234"/>
      <c r="I6" s="431"/>
      <c r="J6" s="432"/>
      <c r="K6" s="432"/>
      <c r="L6" s="432"/>
      <c r="M6" s="432">
        <v>0</v>
      </c>
      <c r="N6" s="432">
        <v>0</v>
      </c>
      <c r="O6" s="236">
        <f t="shared" ref="O6:O15" si="0">SUM(C6:N6)</f>
        <v>0</v>
      </c>
      <c r="Q6" s="16"/>
      <c r="R6" s="2"/>
      <c r="S6" s="2"/>
    </row>
    <row r="7" spans="1:19" outlineLevel="1" x14ac:dyDescent="0.25">
      <c r="A7" s="219" t="s">
        <v>673</v>
      </c>
      <c r="B7" s="233"/>
      <c r="C7" s="237"/>
      <c r="D7" s="237"/>
      <c r="E7" s="238"/>
      <c r="F7" s="239"/>
      <c r="G7" s="238"/>
      <c r="H7" s="238"/>
      <c r="I7" s="238"/>
      <c r="J7" s="240"/>
      <c r="K7" s="237"/>
      <c r="L7" s="237"/>
      <c r="M7" s="238"/>
      <c r="N7" s="239"/>
      <c r="O7" s="236">
        <f t="shared" si="0"/>
        <v>0</v>
      </c>
      <c r="Q7" s="16"/>
      <c r="R7" s="2"/>
      <c r="S7" s="2"/>
    </row>
    <row r="8" spans="1:19" outlineLevel="1" x14ac:dyDescent="0.25">
      <c r="A8" s="219" t="s">
        <v>674</v>
      </c>
      <c r="B8" s="233"/>
      <c r="C8" s="237"/>
      <c r="D8" s="237"/>
      <c r="E8" s="238"/>
      <c r="F8" s="239"/>
      <c r="G8" s="239"/>
      <c r="H8" s="239"/>
      <c r="I8" s="239"/>
      <c r="J8" s="240"/>
      <c r="K8" s="234"/>
      <c r="L8" s="238"/>
      <c r="M8" s="239"/>
      <c r="N8" s="239"/>
      <c r="O8" s="236">
        <f t="shared" si="0"/>
        <v>0</v>
      </c>
      <c r="Q8" s="16"/>
      <c r="R8" s="2"/>
      <c r="S8" s="2"/>
    </row>
    <row r="9" spans="1:19" ht="13.2" outlineLevel="1" x14ac:dyDescent="0.25">
      <c r="A9" s="219" t="s">
        <v>675</v>
      </c>
      <c r="B9" s="233"/>
      <c r="C9" s="234"/>
      <c r="D9" s="238"/>
      <c r="E9" s="239"/>
      <c r="F9" s="239"/>
      <c r="G9" s="239"/>
      <c r="H9" s="239"/>
      <c r="I9" s="184"/>
      <c r="J9" s="432"/>
      <c r="K9" s="432"/>
      <c r="L9" s="432"/>
      <c r="M9" s="239"/>
      <c r="N9" s="239"/>
      <c r="O9" s="236">
        <f t="shared" si="0"/>
        <v>0</v>
      </c>
      <c r="Q9" s="16"/>
      <c r="R9" s="2"/>
      <c r="S9" s="2"/>
    </row>
    <row r="10" spans="1:19" outlineLevel="1" x14ac:dyDescent="0.25">
      <c r="A10" s="219"/>
      <c r="B10" s="233"/>
      <c r="C10" s="234"/>
      <c r="D10" s="238"/>
      <c r="E10" s="239"/>
      <c r="F10" s="239"/>
      <c r="G10" s="239"/>
      <c r="H10" s="239"/>
      <c r="I10" s="184"/>
      <c r="J10" s="184"/>
      <c r="K10" s="239"/>
      <c r="L10" s="239"/>
      <c r="M10" s="239"/>
      <c r="N10" s="239"/>
      <c r="O10" s="236"/>
      <c r="Q10" s="16"/>
      <c r="R10" s="2"/>
      <c r="S10" s="2"/>
    </row>
    <row r="11" spans="1:19" ht="12.75" customHeight="1" outlineLevel="1" x14ac:dyDescent="0.25">
      <c r="A11" s="219"/>
      <c r="B11" s="233"/>
      <c r="C11" s="237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6">
        <f t="shared" si="0"/>
        <v>0</v>
      </c>
      <c r="Q11" s="16"/>
      <c r="R11" s="2"/>
      <c r="S11" s="2"/>
    </row>
    <row r="12" spans="1:19" outlineLevel="1" x14ac:dyDescent="0.25">
      <c r="A12" s="219"/>
      <c r="B12" s="233"/>
      <c r="C12" s="237"/>
      <c r="D12" s="239"/>
      <c r="E12" s="239"/>
      <c r="F12" s="239"/>
      <c r="G12" s="239"/>
      <c r="H12" s="239"/>
      <c r="I12" s="239"/>
      <c r="J12" s="241"/>
      <c r="K12" s="239"/>
      <c r="L12" s="239"/>
      <c r="M12" s="239"/>
      <c r="N12" s="239"/>
      <c r="O12" s="236">
        <f t="shared" si="0"/>
        <v>0</v>
      </c>
      <c r="Q12" s="16"/>
      <c r="R12" s="2"/>
      <c r="S12" s="2"/>
    </row>
    <row r="13" spans="1:19" outlineLevel="1" x14ac:dyDescent="0.25">
      <c r="A13" s="219"/>
      <c r="B13" s="233"/>
      <c r="C13" s="237"/>
      <c r="D13" s="239"/>
      <c r="E13" s="239"/>
      <c r="F13" s="239"/>
      <c r="G13" s="239"/>
      <c r="H13" s="239"/>
      <c r="I13" s="239"/>
      <c r="J13" s="241"/>
      <c r="K13" s="239"/>
      <c r="L13" s="239"/>
      <c r="M13" s="239"/>
      <c r="N13" s="239"/>
      <c r="O13" s="236">
        <f t="shared" si="0"/>
        <v>0</v>
      </c>
      <c r="Q13" s="16"/>
      <c r="R13" s="2"/>
      <c r="S13" s="2"/>
    </row>
    <row r="14" spans="1:19" outlineLevel="1" x14ac:dyDescent="0.25">
      <c r="A14" s="219"/>
      <c r="B14" s="233"/>
      <c r="C14" s="237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6">
        <f t="shared" si="0"/>
        <v>0</v>
      </c>
      <c r="Q14" s="16"/>
      <c r="R14" s="2"/>
      <c r="S14" s="2"/>
    </row>
    <row r="15" spans="1:19" x14ac:dyDescent="0.25">
      <c r="A15" s="242" t="s">
        <v>82</v>
      </c>
      <c r="B15" s="243"/>
      <c r="C15" s="244">
        <f t="shared" ref="C15:N15" si="1">SUM(C6:C14)</f>
        <v>0</v>
      </c>
      <c r="D15" s="245">
        <f t="shared" si="1"/>
        <v>0</v>
      </c>
      <c r="E15" s="245">
        <f t="shared" si="1"/>
        <v>0</v>
      </c>
      <c r="F15" s="245">
        <f t="shared" si="1"/>
        <v>0</v>
      </c>
      <c r="G15" s="245">
        <f t="shared" si="1"/>
        <v>0</v>
      </c>
      <c r="H15" s="245">
        <f t="shared" si="1"/>
        <v>0</v>
      </c>
      <c r="I15" s="245">
        <f t="shared" si="1"/>
        <v>0</v>
      </c>
      <c r="J15" s="245">
        <f t="shared" si="1"/>
        <v>0</v>
      </c>
      <c r="K15" s="245">
        <f t="shared" si="1"/>
        <v>0</v>
      </c>
      <c r="L15" s="245">
        <f t="shared" si="1"/>
        <v>0</v>
      </c>
      <c r="M15" s="245">
        <f t="shared" si="1"/>
        <v>0</v>
      </c>
      <c r="N15" s="246">
        <f t="shared" si="1"/>
        <v>0</v>
      </c>
      <c r="O15" s="247">
        <f t="shared" si="0"/>
        <v>0</v>
      </c>
      <c r="Q15" s="16"/>
      <c r="R15" s="2"/>
      <c r="S15" s="2"/>
    </row>
    <row r="16" spans="1:19" x14ac:dyDescent="0.25">
      <c r="A16" s="248"/>
      <c r="B16" s="249"/>
      <c r="C16" s="250"/>
      <c r="D16" s="250"/>
      <c r="E16" s="250"/>
      <c r="F16" s="250"/>
      <c r="G16" s="250"/>
      <c r="H16" s="250"/>
      <c r="I16" s="251"/>
      <c r="J16" s="250"/>
      <c r="K16" s="250"/>
      <c r="L16" s="250"/>
      <c r="M16" s="250"/>
      <c r="N16" s="250"/>
      <c r="O16" s="252"/>
      <c r="Q16" s="16"/>
      <c r="R16" s="2"/>
      <c r="S16" s="2"/>
    </row>
    <row r="17" spans="1:19" x14ac:dyDescent="0.25">
      <c r="A17" s="223" t="s">
        <v>43</v>
      </c>
      <c r="B17" s="253"/>
      <c r="C17" s="254">
        <f t="shared" ref="C17:N17" si="2">SUM(C18:C25)</f>
        <v>0</v>
      </c>
      <c r="D17" s="255">
        <f t="shared" si="2"/>
        <v>0</v>
      </c>
      <c r="E17" s="255">
        <f t="shared" si="2"/>
        <v>0</v>
      </c>
      <c r="F17" s="255">
        <f t="shared" si="2"/>
        <v>0</v>
      </c>
      <c r="G17" s="255">
        <f t="shared" si="2"/>
        <v>0</v>
      </c>
      <c r="H17" s="255">
        <f t="shared" si="2"/>
        <v>0</v>
      </c>
      <c r="I17" s="255">
        <f t="shared" si="2"/>
        <v>0</v>
      </c>
      <c r="J17" s="255">
        <f t="shared" si="2"/>
        <v>0</v>
      </c>
      <c r="K17" s="255">
        <f t="shared" si="2"/>
        <v>0</v>
      </c>
      <c r="L17" s="255">
        <f t="shared" si="2"/>
        <v>0</v>
      </c>
      <c r="M17" s="255">
        <f t="shared" si="2"/>
        <v>0</v>
      </c>
      <c r="N17" s="256">
        <f t="shared" si="2"/>
        <v>0</v>
      </c>
      <c r="O17" s="257">
        <f t="shared" ref="O17" si="3">SUM(C17:N17)</f>
        <v>0</v>
      </c>
      <c r="Q17" s="16"/>
      <c r="R17" s="2"/>
      <c r="S17" s="2"/>
    </row>
    <row r="18" spans="1:19" outlineLevel="2" x14ac:dyDescent="0.25">
      <c r="A18" s="258" t="s">
        <v>84</v>
      </c>
      <c r="B18" s="249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6">
        <f>SUM(C18:N18)</f>
        <v>0</v>
      </c>
      <c r="Q18" s="16"/>
      <c r="R18" s="2"/>
      <c r="S18" s="2"/>
    </row>
    <row r="19" spans="1:19" outlineLevel="2" x14ac:dyDescent="0.25">
      <c r="A19" s="258" t="s">
        <v>86</v>
      </c>
      <c r="B19" s="249">
        <v>0.03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6">
        <f>SUM(C19:N19)</f>
        <v>0</v>
      </c>
      <c r="Q19" s="16"/>
      <c r="R19" s="2"/>
      <c r="S19" s="2"/>
    </row>
    <row r="20" spans="1:19" outlineLevel="2" x14ac:dyDescent="0.25">
      <c r="A20" s="258" t="s">
        <v>88</v>
      </c>
      <c r="B20" s="249"/>
      <c r="C20" s="234"/>
      <c r="D20" s="259"/>
      <c r="E20" s="260"/>
      <c r="F20" s="260"/>
      <c r="G20" s="260"/>
      <c r="H20" s="260"/>
      <c r="I20" s="260"/>
      <c r="J20" s="261"/>
      <c r="K20" s="259"/>
      <c r="L20" s="260"/>
      <c r="M20" s="239"/>
      <c r="N20" s="259"/>
      <c r="O20" s="236">
        <f>SUM(C20:N20)</f>
        <v>0</v>
      </c>
      <c r="Q20" s="16"/>
      <c r="R20" s="2"/>
      <c r="S20" s="2"/>
    </row>
    <row r="21" spans="1:19" outlineLevel="2" x14ac:dyDescent="0.25">
      <c r="A21" s="258" t="s">
        <v>542</v>
      </c>
      <c r="B21" s="249"/>
      <c r="C21" s="234"/>
      <c r="D21" s="262"/>
      <c r="E21" s="263"/>
      <c r="F21" s="263"/>
      <c r="G21" s="263"/>
      <c r="H21" s="263"/>
      <c r="I21" s="263"/>
      <c r="J21" s="264"/>
      <c r="K21" s="262"/>
      <c r="L21" s="263"/>
      <c r="M21" s="234"/>
      <c r="N21" s="262"/>
      <c r="O21" s="236"/>
      <c r="Q21" s="16"/>
      <c r="R21" s="2"/>
      <c r="S21" s="2"/>
    </row>
    <row r="22" spans="1:19" x14ac:dyDescent="0.25">
      <c r="A22" s="258" t="s">
        <v>89</v>
      </c>
      <c r="B22" s="249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6"/>
      <c r="Q22" s="16"/>
      <c r="R22" s="2"/>
      <c r="S22" s="2"/>
    </row>
    <row r="23" spans="1:19" x14ac:dyDescent="0.25">
      <c r="A23" s="258" t="s">
        <v>90</v>
      </c>
      <c r="B23" s="249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6"/>
      <c r="Q23" s="16"/>
      <c r="R23" s="2"/>
      <c r="S23" s="2"/>
    </row>
    <row r="24" spans="1:19" outlineLevel="2" x14ac:dyDescent="0.25">
      <c r="A24" s="258" t="s">
        <v>92</v>
      </c>
      <c r="B24" s="249"/>
      <c r="C24" s="234"/>
      <c r="D24" s="259"/>
      <c r="E24" s="260"/>
      <c r="F24" s="260"/>
      <c r="G24" s="260"/>
      <c r="H24" s="260"/>
      <c r="I24" s="260"/>
      <c r="J24" s="261"/>
      <c r="K24" s="259"/>
      <c r="L24" s="260"/>
      <c r="M24" s="239"/>
      <c r="N24" s="259"/>
      <c r="O24" s="236">
        <f>SUM(C24:N24)</f>
        <v>0</v>
      </c>
      <c r="Q24" s="16"/>
      <c r="R24" s="2"/>
      <c r="S24" s="2"/>
    </row>
    <row r="25" spans="1:19" outlineLevel="2" x14ac:dyDescent="0.25">
      <c r="A25" s="258" t="s">
        <v>94</v>
      </c>
      <c r="B25" s="249"/>
      <c r="C25" s="234"/>
      <c r="D25" s="259"/>
      <c r="E25" s="260"/>
      <c r="F25" s="260"/>
      <c r="G25" s="260"/>
      <c r="H25" s="260"/>
      <c r="I25" s="260"/>
      <c r="J25" s="260"/>
      <c r="K25" s="259"/>
      <c r="L25" s="260"/>
      <c r="M25" s="239"/>
      <c r="N25" s="239"/>
      <c r="O25" s="236">
        <f>SUM(C25:N25)</f>
        <v>0</v>
      </c>
      <c r="Q25" s="16"/>
      <c r="R25" s="2"/>
      <c r="S25" s="2"/>
    </row>
    <row r="26" spans="1:19" x14ac:dyDescent="0.25">
      <c r="A26" s="248"/>
      <c r="B26" s="249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2"/>
      <c r="Q26" s="16"/>
      <c r="R26" s="2"/>
      <c r="S26" s="2"/>
    </row>
    <row r="27" spans="1:19" s="6" customFormat="1" x14ac:dyDescent="0.25">
      <c r="A27" s="223" t="s">
        <v>96</v>
      </c>
      <c r="B27" s="253"/>
      <c r="C27" s="254">
        <f>SUM(C28,C39,C46,C51,C73,C62,C66)</f>
        <v>0</v>
      </c>
      <c r="D27" s="255">
        <f t="shared" ref="D27:N27" si="4">SUM(D28,D39,D46,D51,D73,D62,D66)</f>
        <v>0</v>
      </c>
      <c r="E27" s="255">
        <f t="shared" si="4"/>
        <v>0</v>
      </c>
      <c r="F27" s="255">
        <f t="shared" si="4"/>
        <v>0</v>
      </c>
      <c r="G27" s="255">
        <f t="shared" si="4"/>
        <v>0</v>
      </c>
      <c r="H27" s="255">
        <f t="shared" si="4"/>
        <v>0</v>
      </c>
      <c r="I27" s="255">
        <f t="shared" si="4"/>
        <v>0</v>
      </c>
      <c r="J27" s="255">
        <f>SUM(J28,J39,J46,J51,J73,J62,J66)</f>
        <v>0</v>
      </c>
      <c r="K27" s="255">
        <f t="shared" si="4"/>
        <v>0</v>
      </c>
      <c r="L27" s="255">
        <f t="shared" si="4"/>
        <v>0</v>
      </c>
      <c r="M27" s="255">
        <f t="shared" si="4"/>
        <v>0</v>
      </c>
      <c r="N27" s="256">
        <f t="shared" si="4"/>
        <v>0</v>
      </c>
      <c r="O27" s="257">
        <f t="shared" ref="O27:O85" si="5">SUM(C27:N27)</f>
        <v>0</v>
      </c>
      <c r="Q27" s="18"/>
      <c r="R27" s="19"/>
      <c r="S27" s="19"/>
    </row>
    <row r="28" spans="1:19" outlineLevel="1" x14ac:dyDescent="0.25">
      <c r="A28" s="265" t="s">
        <v>98</v>
      </c>
      <c r="B28" s="266"/>
      <c r="C28" s="267">
        <f t="shared" ref="C28:N28" si="6">SUM(C29:C38)</f>
        <v>0</v>
      </c>
      <c r="D28" s="268">
        <f t="shared" si="6"/>
        <v>0</v>
      </c>
      <c r="E28" s="268">
        <f t="shared" si="6"/>
        <v>0</v>
      </c>
      <c r="F28" s="268">
        <f t="shared" si="6"/>
        <v>0</v>
      </c>
      <c r="G28" s="268">
        <f t="shared" si="6"/>
        <v>0</v>
      </c>
      <c r="H28" s="268">
        <f t="shared" si="6"/>
        <v>0</v>
      </c>
      <c r="I28" s="268">
        <f t="shared" si="6"/>
        <v>0</v>
      </c>
      <c r="J28" s="268">
        <f t="shared" si="6"/>
        <v>0</v>
      </c>
      <c r="K28" s="268">
        <f t="shared" si="6"/>
        <v>0</v>
      </c>
      <c r="L28" s="268">
        <f t="shared" si="6"/>
        <v>0</v>
      </c>
      <c r="M28" s="268">
        <f>SUM(M29:M38)</f>
        <v>0</v>
      </c>
      <c r="N28" s="269">
        <f t="shared" si="6"/>
        <v>0</v>
      </c>
      <c r="O28" s="270">
        <f t="shared" si="5"/>
        <v>0</v>
      </c>
      <c r="Q28" s="16"/>
      <c r="R28" s="2"/>
      <c r="S28" s="2"/>
    </row>
    <row r="29" spans="1:19" outlineLevel="2" x14ac:dyDescent="0.25">
      <c r="A29" s="258" t="s">
        <v>98</v>
      </c>
      <c r="B29" s="249"/>
      <c r="C29" s="234"/>
      <c r="D29" s="234"/>
      <c r="E29" s="260"/>
      <c r="F29" s="260"/>
      <c r="G29" s="260"/>
      <c r="H29" s="260"/>
      <c r="I29" s="261"/>
      <c r="J29" s="261"/>
      <c r="K29" s="260"/>
      <c r="L29" s="260"/>
      <c r="M29" s="239"/>
      <c r="N29" s="259"/>
      <c r="O29" s="236">
        <f t="shared" si="5"/>
        <v>0</v>
      </c>
      <c r="Q29" s="16"/>
      <c r="R29" s="2"/>
      <c r="S29" s="2"/>
    </row>
    <row r="30" spans="1:19" outlineLevel="2" x14ac:dyDescent="0.25">
      <c r="A30" s="258" t="s">
        <v>101</v>
      </c>
      <c r="B30" s="249"/>
      <c r="C30" s="234"/>
      <c r="D30" s="234"/>
      <c r="E30" s="260"/>
      <c r="F30" s="260"/>
      <c r="G30" s="260"/>
      <c r="H30" s="260"/>
      <c r="I30" s="261"/>
      <c r="J30" s="259"/>
      <c r="K30" s="260"/>
      <c r="L30" s="260"/>
      <c r="M30" s="239"/>
      <c r="N30" s="259"/>
      <c r="O30" s="236">
        <f t="shared" si="5"/>
        <v>0</v>
      </c>
      <c r="Q30" s="16"/>
      <c r="R30" s="2"/>
      <c r="S30" s="2"/>
    </row>
    <row r="31" spans="1:19" outlineLevel="2" x14ac:dyDescent="0.25">
      <c r="A31" s="258" t="s">
        <v>103</v>
      </c>
      <c r="B31" s="249"/>
      <c r="C31" s="234"/>
      <c r="D31" s="259"/>
      <c r="E31" s="260"/>
      <c r="F31" s="260"/>
      <c r="G31" s="260"/>
      <c r="H31" s="260"/>
      <c r="I31" s="261"/>
      <c r="J31" s="259"/>
      <c r="K31" s="260"/>
      <c r="L31" s="260"/>
      <c r="M31" s="239"/>
      <c r="N31" s="259"/>
      <c r="O31" s="236">
        <f t="shared" si="5"/>
        <v>0</v>
      </c>
      <c r="Q31" s="16"/>
      <c r="R31" s="2"/>
      <c r="S31" s="2"/>
    </row>
    <row r="32" spans="1:19" outlineLevel="2" x14ac:dyDescent="0.25">
      <c r="A32" s="258" t="s">
        <v>105</v>
      </c>
      <c r="B32" s="249"/>
      <c r="D32" s="259"/>
      <c r="E32" s="260"/>
      <c r="F32" s="260"/>
      <c r="G32" s="260"/>
      <c r="H32" s="260"/>
      <c r="I32" s="261"/>
      <c r="J32" s="259"/>
      <c r="K32" s="260"/>
      <c r="L32" s="260"/>
      <c r="M32" s="239"/>
      <c r="N32" s="259"/>
      <c r="O32" s="236">
        <f t="shared" si="5"/>
        <v>0</v>
      </c>
      <c r="Q32" s="16"/>
      <c r="R32" s="2"/>
      <c r="S32" s="2"/>
    </row>
    <row r="33" spans="1:19" outlineLevel="2" x14ac:dyDescent="0.25">
      <c r="A33" s="258" t="s">
        <v>107</v>
      </c>
      <c r="B33" s="249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6">
        <f t="shared" si="5"/>
        <v>0</v>
      </c>
      <c r="Q33" s="16"/>
      <c r="R33" s="2"/>
      <c r="S33" s="2"/>
    </row>
    <row r="34" spans="1:19" outlineLevel="2" x14ac:dyDescent="0.25">
      <c r="A34" s="258" t="s">
        <v>109</v>
      </c>
      <c r="B34" s="249"/>
      <c r="C34" s="234"/>
      <c r="D34" s="259"/>
      <c r="E34" s="260"/>
      <c r="F34" s="260"/>
      <c r="G34" s="260"/>
      <c r="H34" s="260"/>
      <c r="I34" s="261"/>
      <c r="J34" s="259"/>
      <c r="K34" s="260"/>
      <c r="L34" s="260"/>
      <c r="M34" s="239"/>
      <c r="N34" s="259"/>
      <c r="O34" s="236">
        <f t="shared" si="5"/>
        <v>0</v>
      </c>
      <c r="Q34" s="16"/>
      <c r="R34" s="2"/>
      <c r="S34" s="2"/>
    </row>
    <row r="35" spans="1:19" outlineLevel="2" x14ac:dyDescent="0.25">
      <c r="A35" s="258" t="s">
        <v>111</v>
      </c>
      <c r="B35" s="249"/>
      <c r="C35" s="234"/>
      <c r="D35" s="259"/>
      <c r="E35" s="260"/>
      <c r="F35" s="260"/>
      <c r="G35" s="260"/>
      <c r="H35" s="260"/>
      <c r="I35" s="261"/>
      <c r="J35" s="259"/>
      <c r="K35" s="260"/>
      <c r="L35" s="260"/>
      <c r="M35" s="239"/>
      <c r="N35" s="259"/>
      <c r="O35" s="236">
        <f t="shared" si="5"/>
        <v>0</v>
      </c>
      <c r="Q35" s="16"/>
      <c r="R35" s="2"/>
      <c r="S35" s="2"/>
    </row>
    <row r="36" spans="1:19" outlineLevel="2" x14ac:dyDescent="0.25">
      <c r="A36" s="258" t="s">
        <v>113</v>
      </c>
      <c r="B36" s="249"/>
      <c r="C36" s="234"/>
      <c r="D36" s="259"/>
      <c r="E36" s="260"/>
      <c r="F36" s="260"/>
      <c r="G36" s="260"/>
      <c r="H36" s="260"/>
      <c r="I36" s="261"/>
      <c r="J36" s="259"/>
      <c r="K36" s="260"/>
      <c r="L36" s="260"/>
      <c r="M36" s="239"/>
      <c r="N36" s="259"/>
      <c r="O36" s="236">
        <f t="shared" si="5"/>
        <v>0</v>
      </c>
      <c r="Q36" s="16"/>
      <c r="R36" s="2"/>
      <c r="S36" s="2"/>
    </row>
    <row r="37" spans="1:19" outlineLevel="2" x14ac:dyDescent="0.25">
      <c r="A37" s="258" t="s">
        <v>115</v>
      </c>
      <c r="B37" s="249"/>
      <c r="C37" s="234"/>
      <c r="D37" s="259"/>
      <c r="E37" s="260"/>
      <c r="F37" s="260"/>
      <c r="G37" s="260"/>
      <c r="H37" s="260"/>
      <c r="I37" s="261"/>
      <c r="J37" s="259"/>
      <c r="K37" s="260"/>
      <c r="L37" s="260"/>
      <c r="M37" s="239"/>
      <c r="N37" s="259"/>
      <c r="O37" s="236">
        <f t="shared" si="5"/>
        <v>0</v>
      </c>
      <c r="Q37" s="16"/>
      <c r="R37" s="2"/>
      <c r="S37" s="2"/>
    </row>
    <row r="38" spans="1:19" outlineLevel="2" x14ac:dyDescent="0.25">
      <c r="A38" s="258" t="s">
        <v>117</v>
      </c>
      <c r="B38" s="249"/>
      <c r="C38" s="234"/>
      <c r="D38" s="259"/>
      <c r="E38" s="260"/>
      <c r="F38" s="260"/>
      <c r="G38" s="260"/>
      <c r="H38" s="260"/>
      <c r="I38" s="261"/>
      <c r="J38" s="259"/>
      <c r="K38" s="260"/>
      <c r="L38" s="260"/>
      <c r="M38" s="239"/>
      <c r="N38" s="259"/>
      <c r="O38" s="236">
        <f t="shared" si="5"/>
        <v>0</v>
      </c>
      <c r="Q38" s="16"/>
      <c r="R38" s="2"/>
      <c r="S38" s="2"/>
    </row>
    <row r="39" spans="1:19" outlineLevel="1" x14ac:dyDescent="0.25">
      <c r="A39" s="265" t="s">
        <v>119</v>
      </c>
      <c r="B39" s="266"/>
      <c r="C39" s="267">
        <f>C40+C41+C42+C43+C44+C45</f>
        <v>0</v>
      </c>
      <c r="D39" s="267">
        <f t="shared" ref="D39:N39" si="7">D40+D41+D42+D43+D44+D45</f>
        <v>0</v>
      </c>
      <c r="E39" s="267">
        <f t="shared" si="7"/>
        <v>0</v>
      </c>
      <c r="F39" s="267">
        <f t="shared" si="7"/>
        <v>0</v>
      </c>
      <c r="G39" s="267">
        <f t="shared" si="7"/>
        <v>0</v>
      </c>
      <c r="H39" s="267">
        <f t="shared" si="7"/>
        <v>0</v>
      </c>
      <c r="I39" s="267">
        <f t="shared" si="7"/>
        <v>0</v>
      </c>
      <c r="J39" s="267">
        <f t="shared" si="7"/>
        <v>0</v>
      </c>
      <c r="K39" s="267">
        <f t="shared" si="7"/>
        <v>0</v>
      </c>
      <c r="L39" s="267">
        <f t="shared" si="7"/>
        <v>0</v>
      </c>
      <c r="M39" s="267">
        <f>M40+M41+M42+M43+M44+M45</f>
        <v>0</v>
      </c>
      <c r="N39" s="267">
        <f t="shared" si="7"/>
        <v>0</v>
      </c>
      <c r="O39" s="270">
        <f t="shared" si="5"/>
        <v>0</v>
      </c>
      <c r="Q39" s="16"/>
      <c r="R39" s="2"/>
      <c r="S39" s="2"/>
    </row>
    <row r="40" spans="1:19" outlineLevel="2" x14ac:dyDescent="0.25">
      <c r="A40" s="258" t="s">
        <v>121</v>
      </c>
      <c r="B40" s="249"/>
      <c r="C40" s="234"/>
      <c r="D40" s="259"/>
      <c r="E40" s="260"/>
      <c r="F40" s="260"/>
      <c r="G40" s="260"/>
      <c r="H40" s="260"/>
      <c r="I40" s="261"/>
      <c r="J40" s="259"/>
      <c r="K40" s="260"/>
      <c r="L40" s="260"/>
      <c r="M40" s="239"/>
      <c r="N40" s="259"/>
      <c r="O40" s="236">
        <f t="shared" si="5"/>
        <v>0</v>
      </c>
      <c r="Q40" s="16"/>
      <c r="R40" s="2"/>
      <c r="S40" s="2"/>
    </row>
    <row r="41" spans="1:19" outlineLevel="2" x14ac:dyDescent="0.25">
      <c r="A41" s="258" t="s">
        <v>123</v>
      </c>
      <c r="B41" s="249"/>
      <c r="C41" s="234"/>
      <c r="D41" s="259"/>
      <c r="E41" s="260"/>
      <c r="F41" s="260"/>
      <c r="G41" s="260"/>
      <c r="H41" s="260"/>
      <c r="I41" s="261"/>
      <c r="J41" s="259"/>
      <c r="K41" s="260"/>
      <c r="L41" s="260"/>
      <c r="M41" s="239"/>
      <c r="N41" s="259"/>
      <c r="O41" s="236">
        <f t="shared" si="5"/>
        <v>0</v>
      </c>
      <c r="Q41" s="16"/>
      <c r="R41" s="2"/>
      <c r="S41" s="2"/>
    </row>
    <row r="42" spans="1:19" outlineLevel="2" x14ac:dyDescent="0.25">
      <c r="A42" s="258" t="s">
        <v>125</v>
      </c>
      <c r="B42" s="249"/>
      <c r="C42" s="234"/>
      <c r="D42" s="259"/>
      <c r="E42" s="260"/>
      <c r="F42" s="260"/>
      <c r="G42" s="260"/>
      <c r="H42" s="260"/>
      <c r="I42" s="261"/>
      <c r="J42" s="259"/>
      <c r="K42" s="260"/>
      <c r="L42" s="260"/>
      <c r="M42" s="239"/>
      <c r="N42" s="259"/>
      <c r="O42" s="236">
        <f t="shared" si="5"/>
        <v>0</v>
      </c>
      <c r="Q42" s="16"/>
      <c r="R42" s="2"/>
      <c r="S42" s="2"/>
    </row>
    <row r="43" spans="1:19" outlineLevel="2" x14ac:dyDescent="0.25">
      <c r="A43" s="258" t="s">
        <v>127</v>
      </c>
      <c r="B43" s="249"/>
      <c r="C43" s="234"/>
      <c r="D43" s="259"/>
      <c r="E43" s="260"/>
      <c r="F43" s="260"/>
      <c r="G43" s="260"/>
      <c r="H43" s="260"/>
      <c r="I43" s="261"/>
      <c r="J43" s="259"/>
      <c r="K43" s="260"/>
      <c r="L43" s="260"/>
      <c r="M43" s="239"/>
      <c r="N43" s="259"/>
      <c r="O43" s="236">
        <f t="shared" si="5"/>
        <v>0</v>
      </c>
      <c r="Q43" s="16"/>
      <c r="R43" s="2"/>
      <c r="S43" s="2"/>
    </row>
    <row r="44" spans="1:19" outlineLevel="2" x14ac:dyDescent="0.25">
      <c r="A44" s="258" t="s">
        <v>129</v>
      </c>
      <c r="B44" s="249"/>
      <c r="C44" s="234"/>
      <c r="D44" s="259"/>
      <c r="E44" s="260"/>
      <c r="F44" s="260"/>
      <c r="G44" s="260"/>
      <c r="H44" s="260"/>
      <c r="I44" s="261"/>
      <c r="J44" s="259"/>
      <c r="K44" s="260"/>
      <c r="L44" s="260"/>
      <c r="M44" s="239"/>
      <c r="N44" s="259"/>
      <c r="O44" s="236">
        <f t="shared" si="5"/>
        <v>0</v>
      </c>
      <c r="Q44" s="16"/>
      <c r="R44" s="2"/>
      <c r="S44" s="2"/>
    </row>
    <row r="45" spans="1:19" outlineLevel="2" x14ac:dyDescent="0.25">
      <c r="A45" s="258" t="s">
        <v>131</v>
      </c>
      <c r="B45" s="249"/>
      <c r="C45" s="234"/>
      <c r="D45" s="259"/>
      <c r="E45" s="260"/>
      <c r="F45" s="260"/>
      <c r="G45" s="260"/>
      <c r="H45" s="260"/>
      <c r="I45" s="261"/>
      <c r="J45" s="259"/>
      <c r="K45" s="260"/>
      <c r="L45" s="260"/>
      <c r="M45" s="239"/>
      <c r="N45" s="259"/>
      <c r="O45" s="236">
        <f t="shared" si="5"/>
        <v>0</v>
      </c>
      <c r="Q45" s="16"/>
      <c r="R45" s="2"/>
      <c r="S45" s="2"/>
    </row>
    <row r="46" spans="1:19" outlineLevel="1" x14ac:dyDescent="0.25">
      <c r="A46" s="265" t="s">
        <v>133</v>
      </c>
      <c r="B46" s="266"/>
      <c r="C46" s="267">
        <f t="shared" ref="C46:N46" si="8">C47+C48+C49+C50</f>
        <v>0</v>
      </c>
      <c r="D46" s="267">
        <f t="shared" si="8"/>
        <v>0</v>
      </c>
      <c r="E46" s="267">
        <f t="shared" si="8"/>
        <v>0</v>
      </c>
      <c r="F46" s="267">
        <f t="shared" si="8"/>
        <v>0</v>
      </c>
      <c r="G46" s="267">
        <f t="shared" si="8"/>
        <v>0</v>
      </c>
      <c r="H46" s="267">
        <f t="shared" si="8"/>
        <v>0</v>
      </c>
      <c r="I46" s="267">
        <f t="shared" si="8"/>
        <v>0</v>
      </c>
      <c r="J46" s="267">
        <f t="shared" si="8"/>
        <v>0</v>
      </c>
      <c r="K46" s="267">
        <f t="shared" si="8"/>
        <v>0</v>
      </c>
      <c r="L46" s="267">
        <f t="shared" si="8"/>
        <v>0</v>
      </c>
      <c r="M46" s="267">
        <f>M47+M48+M49+M50</f>
        <v>0</v>
      </c>
      <c r="N46" s="267">
        <f t="shared" si="8"/>
        <v>0</v>
      </c>
      <c r="O46" s="270">
        <f t="shared" si="5"/>
        <v>0</v>
      </c>
      <c r="Q46" s="16"/>
      <c r="R46" s="2"/>
      <c r="S46" s="2"/>
    </row>
    <row r="47" spans="1:19" outlineLevel="2" x14ac:dyDescent="0.25">
      <c r="A47" s="258" t="s">
        <v>135</v>
      </c>
      <c r="B47" s="249"/>
      <c r="C47" s="234"/>
      <c r="D47" s="259"/>
      <c r="E47" s="260"/>
      <c r="F47" s="260"/>
      <c r="G47" s="260"/>
      <c r="H47" s="260"/>
      <c r="I47" s="260"/>
      <c r="J47" s="261"/>
      <c r="K47" s="259"/>
      <c r="L47" s="260"/>
      <c r="M47" s="239"/>
      <c r="N47" s="259"/>
      <c r="O47" s="236">
        <f t="shared" si="5"/>
        <v>0</v>
      </c>
      <c r="Q47" s="16"/>
      <c r="R47" s="2"/>
      <c r="S47" s="2"/>
    </row>
    <row r="48" spans="1:19" outlineLevel="2" x14ac:dyDescent="0.25">
      <c r="A48" s="258" t="s">
        <v>137</v>
      </c>
      <c r="B48" s="249"/>
      <c r="C48" s="234"/>
      <c r="D48" s="259"/>
      <c r="E48" s="260"/>
      <c r="F48" s="260"/>
      <c r="G48" s="260"/>
      <c r="H48" s="260"/>
      <c r="I48" s="260"/>
      <c r="J48" s="261"/>
      <c r="K48" s="259"/>
      <c r="L48" s="260"/>
      <c r="M48" s="239"/>
      <c r="N48" s="259"/>
      <c r="O48" s="236">
        <f t="shared" si="5"/>
        <v>0</v>
      </c>
      <c r="Q48" s="16"/>
      <c r="R48" s="2"/>
      <c r="S48" s="2"/>
    </row>
    <row r="49" spans="1:19" outlineLevel="2" x14ac:dyDescent="0.25">
      <c r="A49" s="258" t="s">
        <v>139</v>
      </c>
      <c r="B49" s="249"/>
      <c r="C49" s="234"/>
      <c r="D49" s="259"/>
      <c r="E49" s="260"/>
      <c r="F49" s="260"/>
      <c r="G49" s="260"/>
      <c r="H49" s="260"/>
      <c r="I49" s="260"/>
      <c r="J49" s="261"/>
      <c r="K49" s="259"/>
      <c r="L49" s="260"/>
      <c r="M49" s="239"/>
      <c r="N49" s="259"/>
      <c r="O49" s="236">
        <f t="shared" si="5"/>
        <v>0</v>
      </c>
      <c r="Q49" s="16"/>
      <c r="R49" s="2"/>
      <c r="S49" s="2"/>
    </row>
    <row r="50" spans="1:19" outlineLevel="2" x14ac:dyDescent="0.25">
      <c r="A50" s="258" t="s">
        <v>141</v>
      </c>
      <c r="B50" s="249"/>
      <c r="C50" s="234"/>
      <c r="D50" s="259"/>
      <c r="E50" s="260"/>
      <c r="F50" s="260"/>
      <c r="G50" s="260"/>
      <c r="H50" s="260"/>
      <c r="I50" s="260"/>
      <c r="J50" s="261"/>
      <c r="K50" s="259"/>
      <c r="L50" s="260"/>
      <c r="M50" s="239"/>
      <c r="N50" s="259"/>
      <c r="O50" s="236">
        <f t="shared" si="5"/>
        <v>0</v>
      </c>
      <c r="Q50" s="16"/>
      <c r="R50" s="2"/>
      <c r="S50" s="2"/>
    </row>
    <row r="51" spans="1:19" outlineLevel="1" x14ac:dyDescent="0.25">
      <c r="A51" s="265" t="s">
        <v>143</v>
      </c>
      <c r="B51" s="266"/>
      <c r="C51" s="267">
        <f>C52+C53+C54+C55+C56+C57+C58+C59+C60+C61</f>
        <v>0</v>
      </c>
      <c r="D51" s="267">
        <f t="shared" ref="D51:I51" si="9">D52+D53+D54+D55+D56+D57+D58+D59+D60+D61</f>
        <v>0</v>
      </c>
      <c r="E51" s="267">
        <f t="shared" si="9"/>
        <v>0</v>
      </c>
      <c r="F51" s="267">
        <f t="shared" si="9"/>
        <v>0</v>
      </c>
      <c r="G51" s="267">
        <f t="shared" si="9"/>
        <v>0</v>
      </c>
      <c r="H51" s="267">
        <f t="shared" si="9"/>
        <v>0</v>
      </c>
      <c r="I51" s="267">
        <f t="shared" si="9"/>
        <v>0</v>
      </c>
      <c r="J51" s="267">
        <f>J52+J53+J54+J55+J56+J57+J58+J59+J60+J61</f>
        <v>0</v>
      </c>
      <c r="K51" s="267">
        <f t="shared" ref="K51:N51" si="10">K52+K53+K54+K55+K56+K57+K58+K59+K60+K61</f>
        <v>0</v>
      </c>
      <c r="L51" s="267">
        <f t="shared" si="10"/>
        <v>0</v>
      </c>
      <c r="M51" s="267">
        <f>M52+M53+M54+M55+M56+M57+M58+M59+M60+M61</f>
        <v>0</v>
      </c>
      <c r="N51" s="267">
        <f t="shared" si="10"/>
        <v>0</v>
      </c>
      <c r="O51" s="270">
        <f t="shared" si="5"/>
        <v>0</v>
      </c>
      <c r="Q51" s="16"/>
      <c r="R51" s="2"/>
      <c r="S51" s="2"/>
    </row>
    <row r="52" spans="1:19" outlineLevel="2" x14ac:dyDescent="0.25">
      <c r="A52" s="258" t="s">
        <v>145</v>
      </c>
      <c r="B52" s="249"/>
      <c r="C52" s="234"/>
      <c r="D52" s="259"/>
      <c r="E52" s="260"/>
      <c r="F52" s="260"/>
      <c r="G52" s="260"/>
      <c r="H52" s="260"/>
      <c r="I52" s="260"/>
      <c r="J52" s="261"/>
      <c r="K52" s="259"/>
      <c r="L52" s="260"/>
      <c r="M52" s="239"/>
      <c r="N52" s="259"/>
      <c r="O52" s="236">
        <f t="shared" si="5"/>
        <v>0</v>
      </c>
      <c r="Q52" s="16"/>
      <c r="R52" s="2"/>
      <c r="S52" s="2"/>
    </row>
    <row r="53" spans="1:19" outlineLevel="2" x14ac:dyDescent="0.25">
      <c r="A53" s="258" t="s">
        <v>147</v>
      </c>
      <c r="B53" s="249"/>
      <c r="C53" s="234"/>
      <c r="D53" s="259"/>
      <c r="E53" s="260"/>
      <c r="F53" s="260"/>
      <c r="G53" s="260"/>
      <c r="H53" s="260"/>
      <c r="I53" s="260"/>
      <c r="J53" s="261"/>
      <c r="K53" s="259"/>
      <c r="L53" s="260"/>
      <c r="M53" s="239"/>
      <c r="N53" s="259"/>
      <c r="O53" s="236">
        <f t="shared" si="5"/>
        <v>0</v>
      </c>
      <c r="Q53" s="16"/>
      <c r="R53" s="2"/>
      <c r="S53" s="2"/>
    </row>
    <row r="54" spans="1:19" outlineLevel="2" x14ac:dyDescent="0.25">
      <c r="A54" s="258" t="s">
        <v>149</v>
      </c>
      <c r="B54" s="249"/>
      <c r="C54" s="234"/>
      <c r="D54" s="259"/>
      <c r="E54" s="260"/>
      <c r="F54" s="260"/>
      <c r="G54" s="260"/>
      <c r="H54" s="260"/>
      <c r="I54" s="260"/>
      <c r="J54" s="261"/>
      <c r="K54" s="259"/>
      <c r="L54" s="260"/>
      <c r="M54" s="239"/>
      <c r="N54" s="259"/>
      <c r="O54" s="236">
        <f t="shared" si="5"/>
        <v>0</v>
      </c>
      <c r="Q54" s="16"/>
      <c r="R54" s="2"/>
      <c r="S54" s="2"/>
    </row>
    <row r="55" spans="1:19" outlineLevel="2" x14ac:dyDescent="0.25">
      <c r="A55" s="258" t="s">
        <v>151</v>
      </c>
      <c r="B55" s="249"/>
      <c r="C55" s="234"/>
      <c r="D55" s="259"/>
      <c r="E55" s="260"/>
      <c r="F55" s="260"/>
      <c r="G55" s="260"/>
      <c r="H55" s="260"/>
      <c r="I55" s="260"/>
      <c r="J55" s="261"/>
      <c r="K55" s="259"/>
      <c r="L55" s="260"/>
      <c r="M55" s="239"/>
      <c r="N55" s="259"/>
      <c r="O55" s="236">
        <f t="shared" si="5"/>
        <v>0</v>
      </c>
      <c r="Q55" s="16"/>
      <c r="R55" s="2"/>
      <c r="S55" s="2"/>
    </row>
    <row r="56" spans="1:19" outlineLevel="2" x14ac:dyDescent="0.25">
      <c r="A56" s="258" t="s">
        <v>153</v>
      </c>
      <c r="B56" s="249"/>
      <c r="C56" s="404"/>
      <c r="D56" s="260"/>
      <c r="E56" s="260"/>
      <c r="F56" s="260"/>
      <c r="G56" s="260"/>
      <c r="H56" s="260"/>
      <c r="I56" s="260"/>
      <c r="J56" s="261"/>
      <c r="K56" s="260"/>
      <c r="L56" s="260"/>
      <c r="M56" s="323"/>
      <c r="N56" s="259"/>
      <c r="O56" s="236">
        <f>SUM(C56:N56)</f>
        <v>0</v>
      </c>
      <c r="Q56" s="16"/>
      <c r="R56" s="2"/>
      <c r="S56" s="2"/>
    </row>
    <row r="57" spans="1:19" outlineLevel="2" x14ac:dyDescent="0.25">
      <c r="A57" s="258" t="s">
        <v>155</v>
      </c>
      <c r="B57" s="249"/>
      <c r="C57" s="404"/>
      <c r="D57" s="260"/>
      <c r="E57" s="260"/>
      <c r="F57" s="260"/>
      <c r="G57" s="260"/>
      <c r="H57" s="260"/>
      <c r="I57" s="260"/>
      <c r="J57" s="261"/>
      <c r="K57" s="260"/>
      <c r="L57" s="260"/>
      <c r="M57" s="323"/>
      <c r="N57" s="259"/>
      <c r="O57" s="236">
        <f t="shared" si="5"/>
        <v>0</v>
      </c>
      <c r="Q57" s="16"/>
      <c r="R57" s="2"/>
      <c r="S57" s="2"/>
    </row>
    <row r="58" spans="1:19" outlineLevel="2" x14ac:dyDescent="0.25">
      <c r="A58" s="258" t="s">
        <v>157</v>
      </c>
      <c r="B58" s="249"/>
      <c r="C58" s="404"/>
      <c r="D58" s="260"/>
      <c r="E58" s="260"/>
      <c r="F58" s="260"/>
      <c r="G58" s="260"/>
      <c r="H58" s="260"/>
      <c r="I58" s="260"/>
      <c r="J58" s="261"/>
      <c r="K58" s="260"/>
      <c r="L58" s="260"/>
      <c r="M58" s="323"/>
      <c r="N58" s="259"/>
      <c r="O58" s="236">
        <f t="shared" si="5"/>
        <v>0</v>
      </c>
      <c r="Q58" s="16"/>
      <c r="R58" s="2"/>
      <c r="S58" s="2"/>
    </row>
    <row r="59" spans="1:19" outlineLevel="2" x14ac:dyDescent="0.25">
      <c r="A59" s="258" t="s">
        <v>159</v>
      </c>
      <c r="B59" s="249"/>
      <c r="C59" s="404"/>
      <c r="D59" s="260"/>
      <c r="E59" s="260"/>
      <c r="F59" s="260"/>
      <c r="G59" s="260"/>
      <c r="H59" s="260"/>
      <c r="I59" s="260"/>
      <c r="J59" s="261"/>
      <c r="K59" s="260"/>
      <c r="L59" s="260"/>
      <c r="M59" s="323"/>
      <c r="N59" s="259"/>
      <c r="O59" s="236">
        <f t="shared" si="5"/>
        <v>0</v>
      </c>
      <c r="Q59" s="16"/>
      <c r="R59" s="2"/>
      <c r="S59" s="2"/>
    </row>
    <row r="60" spans="1:19" outlineLevel="2" x14ac:dyDescent="0.25">
      <c r="A60" s="258" t="s">
        <v>161</v>
      </c>
      <c r="B60" s="249"/>
      <c r="C60" s="404"/>
      <c r="D60" s="260"/>
      <c r="E60" s="260"/>
      <c r="F60" s="260"/>
      <c r="G60" s="260"/>
      <c r="H60" s="260"/>
      <c r="I60" s="260"/>
      <c r="J60" s="261"/>
      <c r="K60" s="260"/>
      <c r="L60" s="260"/>
      <c r="M60" s="323"/>
      <c r="N60" s="259"/>
      <c r="O60" s="236">
        <f t="shared" si="5"/>
        <v>0</v>
      </c>
      <c r="Q60" s="16"/>
      <c r="R60" s="2"/>
      <c r="S60" s="2"/>
    </row>
    <row r="61" spans="1:19" outlineLevel="2" x14ac:dyDescent="0.25">
      <c r="A61" s="258" t="s">
        <v>163</v>
      </c>
      <c r="B61" s="249"/>
      <c r="C61" s="404"/>
      <c r="D61" s="260"/>
      <c r="E61" s="260"/>
      <c r="F61" s="260"/>
      <c r="G61" s="260"/>
      <c r="H61" s="260"/>
      <c r="I61" s="260"/>
      <c r="J61" s="261"/>
      <c r="K61" s="260"/>
      <c r="L61" s="260"/>
      <c r="M61" s="323"/>
      <c r="N61" s="259"/>
      <c r="O61" s="236">
        <f t="shared" si="5"/>
        <v>0</v>
      </c>
      <c r="Q61" s="16"/>
      <c r="R61" s="2"/>
      <c r="S61" s="2"/>
    </row>
    <row r="62" spans="1:19" outlineLevel="1" x14ac:dyDescent="0.25">
      <c r="A62" s="265" t="s">
        <v>543</v>
      </c>
      <c r="B62" s="266"/>
      <c r="C62" s="267">
        <f t="shared" ref="C62:N62" si="11">SUM(C63:C65)</f>
        <v>0</v>
      </c>
      <c r="D62" s="268">
        <f t="shared" si="11"/>
        <v>0</v>
      </c>
      <c r="E62" s="268">
        <f t="shared" si="11"/>
        <v>0</v>
      </c>
      <c r="F62" s="268">
        <f t="shared" si="11"/>
        <v>0</v>
      </c>
      <c r="G62" s="268">
        <f t="shared" si="11"/>
        <v>0</v>
      </c>
      <c r="H62" s="268">
        <f t="shared" si="11"/>
        <v>0</v>
      </c>
      <c r="I62" s="268">
        <f t="shared" si="11"/>
        <v>0</v>
      </c>
      <c r="J62" s="268">
        <f t="shared" si="11"/>
        <v>0</v>
      </c>
      <c r="K62" s="268">
        <f t="shared" si="11"/>
        <v>0</v>
      </c>
      <c r="L62" s="268">
        <f t="shared" si="11"/>
        <v>0</v>
      </c>
      <c r="M62" s="268">
        <f>SUM(M63:M65)</f>
        <v>0</v>
      </c>
      <c r="N62" s="269">
        <f t="shared" si="11"/>
        <v>0</v>
      </c>
      <c r="O62" s="270">
        <f>SUM(C62:N62)</f>
        <v>0</v>
      </c>
      <c r="Q62" s="16"/>
      <c r="R62" s="2"/>
      <c r="S62" s="2"/>
    </row>
    <row r="63" spans="1:19" outlineLevel="2" x14ac:dyDescent="0.25">
      <c r="A63" s="258" t="s">
        <v>167</v>
      </c>
      <c r="B63" s="249"/>
      <c r="C63" s="271"/>
      <c r="D63" s="259"/>
      <c r="E63" s="260"/>
      <c r="F63" s="260"/>
      <c r="G63" s="260"/>
      <c r="H63" s="260"/>
      <c r="I63" s="260"/>
      <c r="J63" s="260"/>
      <c r="K63" s="259"/>
      <c r="L63" s="259"/>
      <c r="M63" s="259"/>
      <c r="N63" s="259"/>
      <c r="O63" s="236">
        <f>SUM(C63:N63)</f>
        <v>0</v>
      </c>
      <c r="Q63" s="16"/>
      <c r="R63" s="2"/>
      <c r="S63" s="2"/>
    </row>
    <row r="64" spans="1:19" outlineLevel="2" x14ac:dyDescent="0.25">
      <c r="A64" s="258" t="s">
        <v>165</v>
      </c>
      <c r="B64" s="249"/>
      <c r="C64" s="271"/>
      <c r="D64" s="259"/>
      <c r="E64" s="260"/>
      <c r="F64" s="260"/>
      <c r="G64" s="260"/>
      <c r="H64" s="260"/>
      <c r="I64" s="260"/>
      <c r="J64" s="260"/>
      <c r="K64" s="259"/>
      <c r="L64" s="259"/>
      <c r="M64" s="259"/>
      <c r="N64" s="259"/>
      <c r="O64" s="236"/>
      <c r="Q64" s="16"/>
      <c r="R64" s="2"/>
      <c r="S64" s="2"/>
    </row>
    <row r="65" spans="1:19" outlineLevel="2" x14ac:dyDescent="0.25">
      <c r="A65" s="258" t="s">
        <v>169</v>
      </c>
      <c r="B65" s="249"/>
      <c r="C65" s="234"/>
      <c r="D65" s="259"/>
      <c r="E65" s="260"/>
      <c r="F65" s="260"/>
      <c r="G65" s="260"/>
      <c r="H65" s="260"/>
      <c r="I65" s="260"/>
      <c r="J65" s="261"/>
      <c r="K65" s="259"/>
      <c r="L65" s="260"/>
      <c r="M65" s="239"/>
      <c r="N65" s="259"/>
      <c r="O65" s="236">
        <f t="shared" ref="O65:O71" si="12">SUM(C65:N65)</f>
        <v>0</v>
      </c>
      <c r="Q65" s="16"/>
      <c r="R65" s="2"/>
      <c r="S65" s="2"/>
    </row>
    <row r="66" spans="1:19" outlineLevel="1" x14ac:dyDescent="0.25">
      <c r="A66" s="265" t="s">
        <v>171</v>
      </c>
      <c r="B66" s="266"/>
      <c r="C66" s="267">
        <f t="shared" ref="C66:N66" si="13">SUM(C67:C72)</f>
        <v>0</v>
      </c>
      <c r="D66" s="268">
        <f t="shared" si="13"/>
        <v>0</v>
      </c>
      <c r="E66" s="268">
        <f t="shared" si="13"/>
        <v>0</v>
      </c>
      <c r="F66" s="268">
        <f t="shared" si="13"/>
        <v>0</v>
      </c>
      <c r="G66" s="268">
        <f>SUM(G67:G72)</f>
        <v>0</v>
      </c>
      <c r="H66" s="268">
        <f t="shared" si="13"/>
        <v>0</v>
      </c>
      <c r="I66" s="268">
        <f t="shared" si="13"/>
        <v>0</v>
      </c>
      <c r="J66" s="268">
        <f t="shared" si="13"/>
        <v>0</v>
      </c>
      <c r="K66" s="268">
        <f>SUM(K67:K72)</f>
        <v>0</v>
      </c>
      <c r="L66" s="268">
        <f t="shared" si="13"/>
        <v>0</v>
      </c>
      <c r="M66" s="268">
        <f t="shared" si="13"/>
        <v>0</v>
      </c>
      <c r="N66" s="269">
        <f t="shared" si="13"/>
        <v>0</v>
      </c>
      <c r="O66" s="270">
        <f t="shared" si="12"/>
        <v>0</v>
      </c>
      <c r="Q66" s="16"/>
      <c r="R66" s="2"/>
      <c r="S66" s="2"/>
    </row>
    <row r="67" spans="1:19" outlineLevel="2" x14ac:dyDescent="0.25">
      <c r="A67" s="258" t="s">
        <v>173</v>
      </c>
      <c r="B67" s="249"/>
      <c r="C67" s="234"/>
      <c r="D67" s="259"/>
      <c r="E67" s="260"/>
      <c r="F67" s="260"/>
      <c r="G67" s="260"/>
      <c r="H67" s="260"/>
      <c r="I67" s="260"/>
      <c r="J67" s="261"/>
      <c r="K67" s="259"/>
      <c r="L67" s="260"/>
      <c r="M67" s="239"/>
      <c r="N67" s="259"/>
      <c r="O67" s="270">
        <f t="shared" si="12"/>
        <v>0</v>
      </c>
      <c r="Q67" s="16"/>
      <c r="R67" s="2"/>
      <c r="S67" s="2"/>
    </row>
    <row r="68" spans="1:19" outlineLevel="2" x14ac:dyDescent="0.25">
      <c r="A68" s="258" t="s">
        <v>174</v>
      </c>
      <c r="B68" s="249"/>
      <c r="C68" s="234"/>
      <c r="D68" s="262"/>
      <c r="E68" s="263"/>
      <c r="F68" s="263"/>
      <c r="G68" s="263"/>
      <c r="H68" s="262"/>
      <c r="I68" s="263"/>
      <c r="J68" s="272"/>
      <c r="K68" s="262"/>
      <c r="L68" s="263"/>
      <c r="M68" s="234"/>
      <c r="N68" s="259"/>
      <c r="O68" s="270">
        <f t="shared" si="12"/>
        <v>0</v>
      </c>
      <c r="Q68" s="16"/>
      <c r="R68" s="2"/>
      <c r="S68" s="2"/>
    </row>
    <row r="69" spans="1:19" outlineLevel="2" x14ac:dyDescent="0.25">
      <c r="A69" s="258" t="s">
        <v>175</v>
      </c>
      <c r="B69" s="249"/>
      <c r="C69" s="234"/>
      <c r="D69" s="234"/>
      <c r="E69" s="263"/>
      <c r="F69" s="263"/>
      <c r="G69" s="263"/>
      <c r="H69" s="263"/>
      <c r="I69" s="263"/>
      <c r="J69" s="272"/>
      <c r="K69" s="262"/>
      <c r="L69" s="263"/>
      <c r="M69" s="234"/>
      <c r="N69" s="259"/>
      <c r="O69" s="270">
        <f t="shared" si="12"/>
        <v>0</v>
      </c>
      <c r="Q69" s="16"/>
      <c r="R69" s="2"/>
      <c r="S69" s="2"/>
    </row>
    <row r="70" spans="1:19" outlineLevel="2" x14ac:dyDescent="0.25">
      <c r="A70" s="258" t="s">
        <v>176</v>
      </c>
      <c r="B70" s="249"/>
      <c r="C70" s="234"/>
      <c r="D70" s="234"/>
      <c r="E70" s="263"/>
      <c r="F70" s="263"/>
      <c r="G70" s="263"/>
      <c r="H70" s="263"/>
      <c r="I70" s="263"/>
      <c r="J70" s="264"/>
      <c r="K70" s="262"/>
      <c r="L70" s="263"/>
      <c r="M70" s="234"/>
      <c r="N70" s="259"/>
      <c r="O70" s="270">
        <f t="shared" si="12"/>
        <v>0</v>
      </c>
      <c r="Q70" s="16"/>
      <c r="R70" s="2"/>
      <c r="S70" s="2"/>
    </row>
    <row r="71" spans="1:19" outlineLevel="2" x14ac:dyDescent="0.25">
      <c r="A71" s="258" t="s">
        <v>177</v>
      </c>
      <c r="B71" s="249"/>
      <c r="C71" s="271"/>
      <c r="D71" s="259"/>
      <c r="E71" s="260"/>
      <c r="F71" s="260"/>
      <c r="G71" s="263"/>
      <c r="H71" s="263"/>
      <c r="I71" s="263"/>
      <c r="J71" s="264"/>
      <c r="K71" s="262"/>
      <c r="L71" s="263"/>
      <c r="M71" s="234"/>
      <c r="N71" s="259"/>
      <c r="O71" s="270">
        <f t="shared" si="12"/>
        <v>0</v>
      </c>
      <c r="Q71" s="16"/>
      <c r="R71" s="2"/>
      <c r="S71" s="2"/>
    </row>
    <row r="72" spans="1:19" outlineLevel="2" x14ac:dyDescent="0.25">
      <c r="A72" s="258" t="s">
        <v>179</v>
      </c>
      <c r="B72" s="249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59"/>
      <c r="O72" s="270">
        <f>SUM(C72:N72)</f>
        <v>0</v>
      </c>
      <c r="Q72" s="16"/>
      <c r="R72" s="2"/>
      <c r="S72" s="2"/>
    </row>
    <row r="73" spans="1:19" outlineLevel="1" x14ac:dyDescent="0.25">
      <c r="A73" s="265" t="s">
        <v>181</v>
      </c>
      <c r="B73" s="266"/>
      <c r="C73" s="267">
        <f t="shared" ref="C73:N73" si="14">SUM(C74:C81)</f>
        <v>0</v>
      </c>
      <c r="D73" s="268">
        <f t="shared" si="14"/>
        <v>0</v>
      </c>
      <c r="E73" s="268">
        <f t="shared" si="14"/>
        <v>0</v>
      </c>
      <c r="F73" s="268">
        <f t="shared" si="14"/>
        <v>0</v>
      </c>
      <c r="G73" s="268">
        <f t="shared" si="14"/>
        <v>0</v>
      </c>
      <c r="H73" s="268">
        <f t="shared" si="14"/>
        <v>0</v>
      </c>
      <c r="I73" s="268">
        <f t="shared" si="14"/>
        <v>0</v>
      </c>
      <c r="J73" s="268">
        <f t="shared" si="14"/>
        <v>0</v>
      </c>
      <c r="K73" s="268">
        <f t="shared" si="14"/>
        <v>0</v>
      </c>
      <c r="L73" s="268">
        <f t="shared" si="14"/>
        <v>0</v>
      </c>
      <c r="M73" s="268">
        <f t="shared" si="14"/>
        <v>0</v>
      </c>
      <c r="N73" s="269">
        <f t="shared" si="14"/>
        <v>0</v>
      </c>
      <c r="O73" s="270">
        <f t="shared" si="5"/>
        <v>0</v>
      </c>
      <c r="Q73" s="16"/>
      <c r="R73" s="2"/>
      <c r="S73" s="2"/>
    </row>
    <row r="74" spans="1:19" outlineLevel="2" x14ac:dyDescent="0.25">
      <c r="A74" s="258" t="s">
        <v>183</v>
      </c>
      <c r="B74" s="249"/>
      <c r="C74" s="234"/>
      <c r="D74" s="259"/>
      <c r="E74" s="260"/>
      <c r="F74" s="260"/>
      <c r="G74" s="260"/>
      <c r="H74" s="260"/>
      <c r="I74" s="260"/>
      <c r="J74" s="261"/>
      <c r="K74" s="259"/>
      <c r="L74" s="260"/>
      <c r="M74" s="239"/>
      <c r="N74" s="259"/>
      <c r="O74" s="236">
        <f t="shared" si="5"/>
        <v>0</v>
      </c>
      <c r="Q74" s="16"/>
      <c r="R74" s="2"/>
      <c r="S74" s="2"/>
    </row>
    <row r="75" spans="1:19" outlineLevel="2" x14ac:dyDescent="0.25">
      <c r="A75" s="258" t="s">
        <v>185</v>
      </c>
      <c r="B75" s="249"/>
      <c r="C75" s="234"/>
      <c r="D75" s="259"/>
      <c r="E75" s="260"/>
      <c r="F75" s="260"/>
      <c r="G75" s="260"/>
      <c r="H75" s="260"/>
      <c r="I75" s="260"/>
      <c r="J75" s="261"/>
      <c r="K75" s="259"/>
      <c r="L75" s="260"/>
      <c r="M75" s="239"/>
      <c r="N75" s="259"/>
      <c r="O75" s="236">
        <f t="shared" si="5"/>
        <v>0</v>
      </c>
      <c r="Q75" s="16"/>
      <c r="R75" s="2"/>
      <c r="S75" s="2"/>
    </row>
    <row r="76" spans="1:19" outlineLevel="2" x14ac:dyDescent="0.25">
      <c r="A76" s="258" t="s">
        <v>187</v>
      </c>
      <c r="B76" s="249"/>
      <c r="C76" s="234"/>
      <c r="D76" s="259"/>
      <c r="E76" s="260"/>
      <c r="F76" s="260"/>
      <c r="G76" s="260"/>
      <c r="H76" s="260"/>
      <c r="I76" s="260"/>
      <c r="J76" s="261"/>
      <c r="K76" s="259"/>
      <c r="L76" s="260"/>
      <c r="M76" s="239"/>
      <c r="N76" s="259"/>
      <c r="O76" s="236">
        <f t="shared" si="5"/>
        <v>0</v>
      </c>
      <c r="Q76" s="16"/>
      <c r="R76" s="2"/>
      <c r="S76" s="2"/>
    </row>
    <row r="77" spans="1:19" outlineLevel="2" x14ac:dyDescent="0.25">
      <c r="A77" s="258" t="s">
        <v>189</v>
      </c>
      <c r="B77" s="249"/>
      <c r="C77" s="234"/>
      <c r="D77" s="259"/>
      <c r="E77" s="260"/>
      <c r="F77" s="260"/>
      <c r="G77" s="260"/>
      <c r="H77" s="260"/>
      <c r="I77" s="260"/>
      <c r="J77" s="261"/>
      <c r="K77" s="259"/>
      <c r="L77" s="260"/>
      <c r="M77" s="239"/>
      <c r="N77" s="259"/>
      <c r="O77" s="236">
        <f t="shared" si="5"/>
        <v>0</v>
      </c>
      <c r="Q77" s="16"/>
      <c r="R77" s="2"/>
      <c r="S77" s="2"/>
    </row>
    <row r="78" spans="1:19" outlineLevel="2" x14ac:dyDescent="0.25">
      <c r="A78" s="258" t="s">
        <v>191</v>
      </c>
      <c r="B78" s="249"/>
      <c r="C78" s="234"/>
      <c r="D78" s="259"/>
      <c r="E78" s="260"/>
      <c r="F78" s="260"/>
      <c r="G78" s="260"/>
      <c r="H78" s="260"/>
      <c r="I78" s="260"/>
      <c r="J78" s="261"/>
      <c r="K78" s="259"/>
      <c r="L78" s="260"/>
      <c r="M78" s="239"/>
      <c r="N78" s="259"/>
      <c r="O78" s="236">
        <f t="shared" si="5"/>
        <v>0</v>
      </c>
      <c r="Q78" s="16"/>
      <c r="R78" s="2"/>
      <c r="S78" s="2"/>
    </row>
    <row r="79" spans="1:19" outlineLevel="2" x14ac:dyDescent="0.25">
      <c r="A79" s="258" t="s">
        <v>193</v>
      </c>
      <c r="B79" s="249"/>
      <c r="C79" s="234"/>
      <c r="D79" s="259"/>
      <c r="E79" s="260"/>
      <c r="F79" s="260"/>
      <c r="G79" s="260"/>
      <c r="H79" s="260"/>
      <c r="I79" s="260"/>
      <c r="J79" s="261"/>
      <c r="K79" s="259"/>
      <c r="L79" s="260"/>
      <c r="M79" s="239"/>
      <c r="N79" s="259"/>
      <c r="O79" s="236">
        <f t="shared" si="5"/>
        <v>0</v>
      </c>
      <c r="Q79" s="16"/>
      <c r="R79" s="2"/>
      <c r="S79" s="2"/>
    </row>
    <row r="80" spans="1:19" outlineLevel="2" x14ac:dyDescent="0.25">
      <c r="A80" s="258" t="s">
        <v>195</v>
      </c>
      <c r="B80" s="249"/>
      <c r="C80" s="234"/>
      <c r="D80" s="259"/>
      <c r="E80" s="260"/>
      <c r="F80" s="260"/>
      <c r="G80" s="260"/>
      <c r="H80" s="260"/>
      <c r="I80" s="260"/>
      <c r="J80" s="261"/>
      <c r="K80" s="259"/>
      <c r="L80" s="260"/>
      <c r="M80" s="239"/>
      <c r="N80" s="259"/>
      <c r="O80" s="236">
        <f t="shared" si="5"/>
        <v>0</v>
      </c>
      <c r="Q80" s="16"/>
      <c r="R80" s="2"/>
      <c r="S80" s="2"/>
    </row>
    <row r="81" spans="1:19" outlineLevel="2" x14ac:dyDescent="0.25">
      <c r="A81" s="258" t="s">
        <v>197</v>
      </c>
      <c r="B81" s="249"/>
      <c r="C81" s="234"/>
      <c r="D81" s="259"/>
      <c r="E81" s="260"/>
      <c r="F81" s="260"/>
      <c r="G81" s="260"/>
      <c r="H81" s="260"/>
      <c r="I81" s="260"/>
      <c r="J81" s="261"/>
      <c r="K81" s="259"/>
      <c r="L81" s="260"/>
      <c r="M81" s="239"/>
      <c r="N81" s="259"/>
      <c r="O81" s="236">
        <f t="shared" si="5"/>
        <v>0</v>
      </c>
      <c r="Q81" s="16"/>
      <c r="R81" s="2"/>
      <c r="S81" s="2"/>
    </row>
    <row r="82" spans="1:19" s="6" customFormat="1" x14ac:dyDescent="0.25">
      <c r="A82" s="223" t="s">
        <v>199</v>
      </c>
      <c r="B82" s="253"/>
      <c r="C82" s="254">
        <f>SUM(C83,C88,C92,C94,C86)</f>
        <v>0</v>
      </c>
      <c r="D82" s="254">
        <f t="shared" ref="D82:N82" si="15">SUM(D83,D88,D92,D94,D86)</f>
        <v>0</v>
      </c>
      <c r="E82" s="254">
        <f t="shared" si="15"/>
        <v>0</v>
      </c>
      <c r="F82" s="254">
        <f t="shared" si="15"/>
        <v>0</v>
      </c>
      <c r="G82" s="255">
        <f t="shared" si="15"/>
        <v>0</v>
      </c>
      <c r="H82" s="255">
        <f t="shared" si="15"/>
        <v>0</v>
      </c>
      <c r="I82" s="255">
        <f t="shared" si="15"/>
        <v>0</v>
      </c>
      <c r="J82" s="255">
        <f t="shared" si="15"/>
        <v>0</v>
      </c>
      <c r="K82" s="255">
        <f t="shared" si="15"/>
        <v>0</v>
      </c>
      <c r="L82" s="255">
        <f t="shared" si="15"/>
        <v>0</v>
      </c>
      <c r="M82" s="255">
        <f t="shared" si="15"/>
        <v>0</v>
      </c>
      <c r="N82" s="256">
        <f t="shared" si="15"/>
        <v>0</v>
      </c>
      <c r="O82" s="257">
        <f t="shared" si="5"/>
        <v>0</v>
      </c>
      <c r="Q82" s="18"/>
      <c r="R82" s="19"/>
      <c r="S82" s="19"/>
    </row>
    <row r="83" spans="1:19" outlineLevel="1" x14ac:dyDescent="0.25">
      <c r="A83" s="265" t="s">
        <v>201</v>
      </c>
      <c r="B83" s="266"/>
      <c r="C83" s="267">
        <f t="shared" ref="C83:N83" si="16">SUM(C84:C85)</f>
        <v>0</v>
      </c>
      <c r="D83" s="268">
        <f t="shared" si="16"/>
        <v>0</v>
      </c>
      <c r="E83" s="268">
        <f t="shared" si="16"/>
        <v>0</v>
      </c>
      <c r="F83" s="268">
        <f t="shared" si="16"/>
        <v>0</v>
      </c>
      <c r="G83" s="268">
        <f t="shared" si="16"/>
        <v>0</v>
      </c>
      <c r="H83" s="268">
        <f t="shared" si="16"/>
        <v>0</v>
      </c>
      <c r="I83" s="268">
        <f t="shared" si="16"/>
        <v>0</v>
      </c>
      <c r="J83" s="268">
        <f t="shared" si="16"/>
        <v>0</v>
      </c>
      <c r="K83" s="268">
        <f t="shared" si="16"/>
        <v>0</v>
      </c>
      <c r="L83" s="268">
        <f t="shared" si="16"/>
        <v>0</v>
      </c>
      <c r="M83" s="268">
        <f t="shared" si="16"/>
        <v>0</v>
      </c>
      <c r="N83" s="269">
        <f t="shared" si="16"/>
        <v>0</v>
      </c>
      <c r="O83" s="270">
        <f t="shared" si="5"/>
        <v>0</v>
      </c>
      <c r="Q83" s="16"/>
      <c r="R83" s="2"/>
      <c r="S83" s="2"/>
    </row>
    <row r="84" spans="1:19" outlineLevel="2" x14ac:dyDescent="0.25">
      <c r="A84" s="258" t="s">
        <v>203</v>
      </c>
      <c r="B84" s="249"/>
      <c r="C84" s="234"/>
      <c r="D84" s="259"/>
      <c r="E84" s="260"/>
      <c r="F84" s="260"/>
      <c r="G84" s="260"/>
      <c r="H84" s="260"/>
      <c r="I84" s="260"/>
      <c r="J84" s="261"/>
      <c r="K84" s="259"/>
      <c r="L84" s="260"/>
      <c r="M84" s="239"/>
      <c r="N84" s="259"/>
      <c r="O84" s="270">
        <f t="shared" si="5"/>
        <v>0</v>
      </c>
      <c r="Q84" s="16"/>
      <c r="R84" s="2"/>
      <c r="S84" s="2"/>
    </row>
    <row r="85" spans="1:19" outlineLevel="2" x14ac:dyDescent="0.25">
      <c r="A85" s="258" t="s">
        <v>205</v>
      </c>
      <c r="B85" s="249"/>
      <c r="C85" s="234"/>
      <c r="D85" s="259"/>
      <c r="E85" s="260"/>
      <c r="F85" s="260"/>
      <c r="G85" s="260"/>
      <c r="H85" s="260"/>
      <c r="I85" s="260"/>
      <c r="J85" s="261"/>
      <c r="K85" s="259"/>
      <c r="L85" s="260"/>
      <c r="M85" s="239"/>
      <c r="N85" s="259"/>
      <c r="O85" s="270">
        <f t="shared" si="5"/>
        <v>0</v>
      </c>
      <c r="Q85" s="16"/>
      <c r="R85" s="2"/>
      <c r="S85" s="2"/>
    </row>
    <row r="86" spans="1:19" outlineLevel="1" x14ac:dyDescent="0.25">
      <c r="A86" s="265" t="s">
        <v>206</v>
      </c>
      <c r="B86" s="266"/>
      <c r="C86" s="267">
        <f t="shared" ref="C86:N86" si="17">SUM(C87:C87)</f>
        <v>0</v>
      </c>
      <c r="D86" s="267">
        <f t="shared" si="17"/>
        <v>0</v>
      </c>
      <c r="E86" s="267">
        <f t="shared" si="17"/>
        <v>0</v>
      </c>
      <c r="F86" s="267">
        <f t="shared" si="17"/>
        <v>0</v>
      </c>
      <c r="G86" s="267">
        <f t="shared" si="17"/>
        <v>0</v>
      </c>
      <c r="H86" s="267">
        <f t="shared" si="17"/>
        <v>0</v>
      </c>
      <c r="I86" s="267">
        <f t="shared" si="17"/>
        <v>0</v>
      </c>
      <c r="J86" s="267">
        <f t="shared" si="17"/>
        <v>0</v>
      </c>
      <c r="K86" s="267">
        <f t="shared" si="17"/>
        <v>0</v>
      </c>
      <c r="L86" s="267">
        <f t="shared" si="17"/>
        <v>0</v>
      </c>
      <c r="M86" s="267">
        <f t="shared" si="17"/>
        <v>0</v>
      </c>
      <c r="N86" s="267">
        <f t="shared" si="17"/>
        <v>0</v>
      </c>
      <c r="O86" s="270">
        <f>SUM(C86:N86)</f>
        <v>0</v>
      </c>
      <c r="Q86" s="16"/>
      <c r="R86" s="2"/>
      <c r="S86" s="2"/>
    </row>
    <row r="87" spans="1:19" outlineLevel="2" x14ac:dyDescent="0.25">
      <c r="A87" s="258" t="s">
        <v>207</v>
      </c>
      <c r="B87" s="249"/>
      <c r="C87" s="234"/>
      <c r="D87" s="259"/>
      <c r="E87" s="260"/>
      <c r="F87" s="260"/>
      <c r="G87" s="260"/>
      <c r="H87" s="260"/>
      <c r="I87" s="260"/>
      <c r="J87" s="261"/>
      <c r="K87" s="259"/>
      <c r="L87" s="260"/>
      <c r="M87" s="239"/>
      <c r="N87" s="259"/>
      <c r="O87" s="270">
        <f>SUM(C87:N87)</f>
        <v>0</v>
      </c>
      <c r="Q87" s="16"/>
      <c r="R87" s="2"/>
      <c r="S87" s="2"/>
    </row>
    <row r="88" spans="1:19" outlineLevel="1" x14ac:dyDescent="0.25">
      <c r="A88" s="265" t="s">
        <v>209</v>
      </c>
      <c r="B88" s="266"/>
      <c r="C88" s="267">
        <f t="shared" ref="C88:N88" si="18">SUM(C89:C91)</f>
        <v>0</v>
      </c>
      <c r="D88" s="268">
        <f t="shared" si="18"/>
        <v>0</v>
      </c>
      <c r="E88" s="268">
        <f t="shared" si="18"/>
        <v>0</v>
      </c>
      <c r="F88" s="268">
        <f t="shared" si="18"/>
        <v>0</v>
      </c>
      <c r="G88" s="268">
        <f t="shared" si="18"/>
        <v>0</v>
      </c>
      <c r="H88" s="268">
        <f t="shared" si="18"/>
        <v>0</v>
      </c>
      <c r="I88" s="268">
        <f t="shared" si="18"/>
        <v>0</v>
      </c>
      <c r="J88" s="268">
        <f t="shared" si="18"/>
        <v>0</v>
      </c>
      <c r="K88" s="268">
        <f t="shared" si="18"/>
        <v>0</v>
      </c>
      <c r="L88" s="268">
        <f t="shared" si="18"/>
        <v>0</v>
      </c>
      <c r="M88" s="268">
        <f t="shared" si="18"/>
        <v>0</v>
      </c>
      <c r="N88" s="269">
        <f t="shared" si="18"/>
        <v>0</v>
      </c>
      <c r="O88" s="270">
        <f>SUM(C88:N88)</f>
        <v>0</v>
      </c>
      <c r="Q88" s="16"/>
      <c r="R88" s="2"/>
      <c r="S88" s="2"/>
    </row>
    <row r="89" spans="1:19" outlineLevel="2" x14ac:dyDescent="0.25">
      <c r="A89" s="258" t="s">
        <v>211</v>
      </c>
      <c r="B89" s="249"/>
      <c r="C89" s="234"/>
      <c r="D89" s="259"/>
      <c r="E89" s="260"/>
      <c r="F89" s="260"/>
      <c r="G89" s="260"/>
      <c r="H89" s="260"/>
      <c r="I89" s="260"/>
      <c r="J89" s="261"/>
      <c r="K89" s="259"/>
      <c r="L89" s="260"/>
      <c r="M89" s="239"/>
      <c r="N89" s="259"/>
      <c r="O89" s="270">
        <f>SUM(C89:N89)</f>
        <v>0</v>
      </c>
      <c r="Q89" s="16"/>
      <c r="R89" s="2"/>
      <c r="S89" s="2"/>
    </row>
    <row r="90" spans="1:19" outlineLevel="2" x14ac:dyDescent="0.25">
      <c r="A90" s="258" t="s">
        <v>213</v>
      </c>
      <c r="B90" s="249"/>
      <c r="C90" s="234"/>
      <c r="D90" s="259"/>
      <c r="E90" s="260"/>
      <c r="F90" s="260"/>
      <c r="G90" s="260"/>
      <c r="H90" s="260"/>
      <c r="I90" s="260"/>
      <c r="J90" s="261"/>
      <c r="K90" s="259"/>
      <c r="L90" s="260"/>
      <c r="M90" s="239"/>
      <c r="N90" s="259"/>
      <c r="O90" s="236">
        <f t="shared" ref="O90:O153" si="19">SUM(C90:N90)</f>
        <v>0</v>
      </c>
      <c r="Q90" s="16"/>
      <c r="R90" s="2"/>
      <c r="S90" s="2"/>
    </row>
    <row r="91" spans="1:19" outlineLevel="2" x14ac:dyDescent="0.25">
      <c r="A91" s="258" t="s">
        <v>215</v>
      </c>
      <c r="B91" s="249"/>
      <c r="C91" s="234"/>
      <c r="D91" s="259"/>
      <c r="E91" s="260"/>
      <c r="F91" s="260"/>
      <c r="G91" s="260"/>
      <c r="H91" s="260"/>
      <c r="I91" s="260"/>
      <c r="J91" s="261"/>
      <c r="K91" s="259"/>
      <c r="L91" s="260"/>
      <c r="M91" s="239"/>
      <c r="N91" s="259"/>
      <c r="O91" s="236">
        <f t="shared" si="19"/>
        <v>0</v>
      </c>
      <c r="Q91" s="16"/>
      <c r="R91" s="2"/>
      <c r="S91" s="2"/>
    </row>
    <row r="92" spans="1:19" outlineLevel="1" x14ac:dyDescent="0.25">
      <c r="A92" s="265" t="s">
        <v>217</v>
      </c>
      <c r="B92" s="266"/>
      <c r="C92" s="267">
        <f t="shared" ref="C92:N92" si="20">SUM(C93)</f>
        <v>0</v>
      </c>
      <c r="D92" s="268">
        <f t="shared" si="20"/>
        <v>0</v>
      </c>
      <c r="E92" s="268">
        <f t="shared" si="20"/>
        <v>0</v>
      </c>
      <c r="F92" s="268">
        <f t="shared" si="20"/>
        <v>0</v>
      </c>
      <c r="G92" s="268">
        <f t="shared" si="20"/>
        <v>0</v>
      </c>
      <c r="H92" s="268">
        <f t="shared" si="20"/>
        <v>0</v>
      </c>
      <c r="I92" s="268">
        <f t="shared" si="20"/>
        <v>0</v>
      </c>
      <c r="J92" s="268">
        <f t="shared" si="20"/>
        <v>0</v>
      </c>
      <c r="K92" s="268">
        <f t="shared" si="20"/>
        <v>0</v>
      </c>
      <c r="L92" s="268">
        <f t="shared" si="20"/>
        <v>0</v>
      </c>
      <c r="M92" s="268">
        <f t="shared" si="20"/>
        <v>0</v>
      </c>
      <c r="N92" s="269">
        <f t="shared" si="20"/>
        <v>0</v>
      </c>
      <c r="O92" s="270">
        <f t="shared" si="19"/>
        <v>0</v>
      </c>
      <c r="Q92" s="16"/>
      <c r="R92" s="2"/>
      <c r="S92" s="2"/>
    </row>
    <row r="93" spans="1:19" outlineLevel="2" x14ac:dyDescent="0.25">
      <c r="A93" s="258" t="s">
        <v>217</v>
      </c>
      <c r="B93" s="249"/>
      <c r="C93" s="234"/>
      <c r="D93" s="259"/>
      <c r="E93" s="260"/>
      <c r="F93" s="260"/>
      <c r="G93" s="260"/>
      <c r="H93" s="260"/>
      <c r="I93" s="260"/>
      <c r="J93" s="261"/>
      <c r="K93" s="259"/>
      <c r="L93" s="260"/>
      <c r="M93" s="239"/>
      <c r="N93" s="259"/>
      <c r="O93" s="236">
        <f t="shared" si="19"/>
        <v>0</v>
      </c>
      <c r="Q93" s="16"/>
      <c r="R93" s="2"/>
      <c r="S93" s="2"/>
    </row>
    <row r="94" spans="1:19" outlineLevel="1" x14ac:dyDescent="0.25">
      <c r="A94" s="265" t="s">
        <v>220</v>
      </c>
      <c r="B94" s="266"/>
      <c r="C94" s="267">
        <f t="shared" ref="C94:N94" si="21">SUM(C95:C99)</f>
        <v>0</v>
      </c>
      <c r="D94" s="268">
        <f t="shared" si="21"/>
        <v>0</v>
      </c>
      <c r="E94" s="268">
        <f t="shared" si="21"/>
        <v>0</v>
      </c>
      <c r="F94" s="268">
        <f t="shared" si="21"/>
        <v>0</v>
      </c>
      <c r="G94" s="268">
        <f t="shared" si="21"/>
        <v>0</v>
      </c>
      <c r="H94" s="268">
        <f t="shared" si="21"/>
        <v>0</v>
      </c>
      <c r="I94" s="268">
        <f t="shared" si="21"/>
        <v>0</v>
      </c>
      <c r="J94" s="268">
        <f t="shared" si="21"/>
        <v>0</v>
      </c>
      <c r="K94" s="268">
        <f t="shared" si="21"/>
        <v>0</v>
      </c>
      <c r="L94" s="268">
        <f t="shared" si="21"/>
        <v>0</v>
      </c>
      <c r="M94" s="268">
        <f t="shared" si="21"/>
        <v>0</v>
      </c>
      <c r="N94" s="269">
        <f t="shared" si="21"/>
        <v>0</v>
      </c>
      <c r="O94" s="270">
        <f t="shared" si="19"/>
        <v>0</v>
      </c>
      <c r="Q94" s="16"/>
      <c r="R94" s="2"/>
      <c r="S94" s="2"/>
    </row>
    <row r="95" spans="1:19" outlineLevel="2" x14ac:dyDescent="0.25">
      <c r="A95" s="258" t="s">
        <v>222</v>
      </c>
      <c r="B95" s="249"/>
      <c r="C95" s="234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36">
        <f t="shared" si="19"/>
        <v>0</v>
      </c>
      <c r="Q95" s="16"/>
      <c r="R95" s="2"/>
      <c r="S95" s="2"/>
    </row>
    <row r="96" spans="1:19" outlineLevel="2" x14ac:dyDescent="0.25">
      <c r="A96" s="258" t="s">
        <v>224</v>
      </c>
      <c r="B96" s="249"/>
      <c r="C96" s="234"/>
      <c r="D96" s="259"/>
      <c r="E96" s="260"/>
      <c r="F96" s="260"/>
      <c r="G96" s="260"/>
      <c r="H96" s="260"/>
      <c r="I96" s="260"/>
      <c r="J96" s="261"/>
      <c r="K96" s="259"/>
      <c r="L96" s="260"/>
      <c r="M96" s="239"/>
      <c r="N96" s="259"/>
      <c r="O96" s="236">
        <f t="shared" si="19"/>
        <v>0</v>
      </c>
      <c r="Q96" s="16"/>
      <c r="R96" s="2"/>
      <c r="S96" s="2"/>
    </row>
    <row r="97" spans="1:19" outlineLevel="2" x14ac:dyDescent="0.25">
      <c r="A97" s="258" t="s">
        <v>226</v>
      </c>
      <c r="B97" s="249"/>
      <c r="C97" s="234"/>
      <c r="D97" s="259"/>
      <c r="E97" s="259"/>
      <c r="F97" s="260"/>
      <c r="G97" s="260"/>
      <c r="H97" s="260"/>
      <c r="I97" s="260"/>
      <c r="J97" s="261"/>
      <c r="K97" s="259"/>
      <c r="L97" s="260"/>
      <c r="M97" s="239"/>
      <c r="N97" s="259"/>
      <c r="O97" s="236">
        <f t="shared" si="19"/>
        <v>0</v>
      </c>
      <c r="Q97" s="16"/>
      <c r="R97" s="2"/>
      <c r="S97" s="2"/>
    </row>
    <row r="98" spans="1:19" outlineLevel="2" x14ac:dyDescent="0.25">
      <c r="A98" s="258" t="s">
        <v>228</v>
      </c>
      <c r="B98" s="249"/>
      <c r="C98" s="234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36">
        <f t="shared" si="19"/>
        <v>0</v>
      </c>
      <c r="Q98" s="16"/>
      <c r="R98" s="2"/>
      <c r="S98" s="2"/>
    </row>
    <row r="99" spans="1:19" outlineLevel="2" x14ac:dyDescent="0.25">
      <c r="A99" s="258" t="s">
        <v>230</v>
      </c>
      <c r="B99" s="249"/>
      <c r="C99" s="271"/>
      <c r="D99" s="259"/>
      <c r="E99" s="260"/>
      <c r="F99" s="260"/>
      <c r="G99" s="260"/>
      <c r="H99" s="260"/>
      <c r="I99" s="260"/>
      <c r="J99" s="261"/>
      <c r="K99" s="259"/>
      <c r="L99" s="260"/>
      <c r="M99" s="239"/>
      <c r="N99" s="259"/>
      <c r="O99" s="236">
        <f t="shared" si="19"/>
        <v>0</v>
      </c>
      <c r="Q99" s="16"/>
      <c r="R99" s="2"/>
      <c r="S99" s="2"/>
    </row>
    <row r="100" spans="1:19" s="6" customFormat="1" x14ac:dyDescent="0.25">
      <c r="A100" s="223" t="s">
        <v>232</v>
      </c>
      <c r="B100" s="253"/>
      <c r="C100" s="254">
        <f t="shared" ref="C100:N100" si="22">SUM(C101,C112,C117,C119,C123,C126,C130,C138,C145)</f>
        <v>0</v>
      </c>
      <c r="D100" s="255">
        <f t="shared" si="22"/>
        <v>0</v>
      </c>
      <c r="E100" s="255">
        <f t="shared" si="22"/>
        <v>0</v>
      </c>
      <c r="F100" s="255">
        <f t="shared" si="22"/>
        <v>0</v>
      </c>
      <c r="G100" s="255">
        <f t="shared" si="22"/>
        <v>0</v>
      </c>
      <c r="H100" s="255">
        <f t="shared" si="22"/>
        <v>0</v>
      </c>
      <c r="I100" s="255">
        <f t="shared" si="22"/>
        <v>0</v>
      </c>
      <c r="J100" s="255">
        <f t="shared" si="22"/>
        <v>0</v>
      </c>
      <c r="K100" s="255">
        <f t="shared" si="22"/>
        <v>0</v>
      </c>
      <c r="L100" s="255">
        <f t="shared" si="22"/>
        <v>0</v>
      </c>
      <c r="M100" s="255">
        <f t="shared" si="22"/>
        <v>0</v>
      </c>
      <c r="N100" s="256">
        <f t="shared" si="22"/>
        <v>0</v>
      </c>
      <c r="O100" s="257">
        <f t="shared" si="19"/>
        <v>0</v>
      </c>
      <c r="Q100" s="18"/>
      <c r="R100" s="19"/>
      <c r="S100" s="19"/>
    </row>
    <row r="101" spans="1:19" outlineLevel="1" x14ac:dyDescent="0.25">
      <c r="A101" s="265" t="s">
        <v>234</v>
      </c>
      <c r="B101" s="266"/>
      <c r="C101" s="267">
        <f t="shared" ref="C101:N101" si="23">SUM(C102:C111)</f>
        <v>0</v>
      </c>
      <c r="D101" s="268">
        <f t="shared" si="23"/>
        <v>0</v>
      </c>
      <c r="E101" s="268">
        <f t="shared" si="23"/>
        <v>0</v>
      </c>
      <c r="F101" s="268">
        <f t="shared" si="23"/>
        <v>0</v>
      </c>
      <c r="G101" s="268">
        <f t="shared" si="23"/>
        <v>0</v>
      </c>
      <c r="H101" s="268">
        <f t="shared" si="23"/>
        <v>0</v>
      </c>
      <c r="I101" s="268">
        <f t="shared" si="23"/>
        <v>0</v>
      </c>
      <c r="J101" s="268">
        <f t="shared" si="23"/>
        <v>0</v>
      </c>
      <c r="K101" s="268">
        <f t="shared" si="23"/>
        <v>0</v>
      </c>
      <c r="L101" s="268">
        <f t="shared" si="23"/>
        <v>0</v>
      </c>
      <c r="M101" s="268">
        <f t="shared" si="23"/>
        <v>0</v>
      </c>
      <c r="N101" s="269">
        <f t="shared" si="23"/>
        <v>0</v>
      </c>
      <c r="O101" s="270">
        <f t="shared" si="19"/>
        <v>0</v>
      </c>
      <c r="Q101" s="16"/>
      <c r="R101" s="2"/>
      <c r="S101" s="2"/>
    </row>
    <row r="102" spans="1:19" outlineLevel="2" x14ac:dyDescent="0.25">
      <c r="A102" s="258" t="s">
        <v>236</v>
      </c>
      <c r="B102" s="249"/>
      <c r="C102" s="404"/>
      <c r="D102" s="260"/>
      <c r="E102" s="260"/>
      <c r="F102" s="260"/>
      <c r="G102" s="260"/>
      <c r="H102" s="260"/>
      <c r="I102" s="260"/>
      <c r="J102" s="261"/>
      <c r="K102" s="260"/>
      <c r="L102" s="260"/>
      <c r="M102" s="323"/>
      <c r="N102" s="260"/>
      <c r="O102" s="236">
        <f t="shared" si="19"/>
        <v>0</v>
      </c>
      <c r="Q102" s="16"/>
      <c r="R102" s="2"/>
      <c r="S102" s="2"/>
    </row>
    <row r="103" spans="1:19" outlineLevel="2" x14ac:dyDescent="0.25">
      <c r="A103" s="258" t="s">
        <v>238</v>
      </c>
      <c r="B103" s="249"/>
      <c r="C103" s="405"/>
      <c r="D103" s="260"/>
      <c r="E103" s="260"/>
      <c r="F103" s="260"/>
      <c r="G103" s="260"/>
      <c r="H103" s="260"/>
      <c r="I103" s="260"/>
      <c r="J103" s="261"/>
      <c r="K103" s="260"/>
      <c r="L103" s="260"/>
      <c r="M103" s="323"/>
      <c r="N103" s="260"/>
      <c r="O103" s="236">
        <f t="shared" si="19"/>
        <v>0</v>
      </c>
      <c r="Q103" s="16"/>
      <c r="R103" s="2"/>
      <c r="S103" s="2"/>
    </row>
    <row r="104" spans="1:19" outlineLevel="2" x14ac:dyDescent="0.25">
      <c r="A104" s="258" t="s">
        <v>544</v>
      </c>
      <c r="B104" s="249"/>
      <c r="C104" s="405"/>
      <c r="D104" s="260"/>
      <c r="E104" s="260"/>
      <c r="F104" s="260"/>
      <c r="G104" s="260"/>
      <c r="H104" s="260"/>
      <c r="I104" s="260"/>
      <c r="J104" s="261"/>
      <c r="K104" s="404"/>
      <c r="L104" s="260"/>
      <c r="M104" s="323"/>
      <c r="N104" s="260"/>
      <c r="O104" s="236">
        <f t="shared" si="19"/>
        <v>0</v>
      </c>
      <c r="Q104" s="16"/>
      <c r="R104" s="2"/>
      <c r="S104" s="2"/>
    </row>
    <row r="105" spans="1:19" outlineLevel="2" x14ac:dyDescent="0.25">
      <c r="A105" s="258" t="s">
        <v>241</v>
      </c>
      <c r="B105" s="249"/>
      <c r="C105" s="405"/>
      <c r="D105" s="404"/>
      <c r="E105" s="404"/>
      <c r="F105" s="404"/>
      <c r="G105" s="404"/>
      <c r="H105" s="404"/>
      <c r="I105" s="404"/>
      <c r="J105" s="404"/>
      <c r="K105" s="404"/>
      <c r="L105" s="404"/>
      <c r="M105" s="404"/>
      <c r="N105" s="260"/>
      <c r="O105" s="236">
        <f t="shared" si="19"/>
        <v>0</v>
      </c>
      <c r="Q105" s="16"/>
      <c r="R105" s="2"/>
      <c r="S105" s="2"/>
    </row>
    <row r="106" spans="1:19" outlineLevel="2" x14ac:dyDescent="0.25">
      <c r="A106" s="258" t="s">
        <v>243</v>
      </c>
      <c r="B106" s="249"/>
      <c r="C106" s="405"/>
      <c r="D106" s="260"/>
      <c r="E106" s="260"/>
      <c r="F106" s="260"/>
      <c r="G106" s="260"/>
      <c r="H106" s="260"/>
      <c r="I106" s="260"/>
      <c r="J106" s="261"/>
      <c r="K106" s="260"/>
      <c r="L106" s="260"/>
      <c r="M106" s="323"/>
      <c r="N106" s="260"/>
      <c r="O106" s="236">
        <f t="shared" si="19"/>
        <v>0</v>
      </c>
      <c r="Q106" s="16"/>
      <c r="R106" s="2"/>
      <c r="S106" s="2"/>
    </row>
    <row r="107" spans="1:19" outlineLevel="2" x14ac:dyDescent="0.25">
      <c r="A107" s="258" t="s">
        <v>245</v>
      </c>
      <c r="B107" s="249"/>
      <c r="C107" s="405"/>
      <c r="D107" s="260"/>
      <c r="E107" s="260"/>
      <c r="F107" s="260"/>
      <c r="G107" s="260"/>
      <c r="H107" s="260"/>
      <c r="I107" s="260"/>
      <c r="J107" s="261"/>
      <c r="K107" s="260"/>
      <c r="L107" s="260"/>
      <c r="M107" s="323"/>
      <c r="N107" s="260"/>
      <c r="O107" s="236">
        <f t="shared" si="19"/>
        <v>0</v>
      </c>
      <c r="Q107" s="16"/>
      <c r="R107" s="2"/>
      <c r="S107" s="2"/>
    </row>
    <row r="108" spans="1:19" outlineLevel="2" x14ac:dyDescent="0.25">
      <c r="A108" s="258" t="s">
        <v>247</v>
      </c>
      <c r="B108" s="249"/>
      <c r="C108" s="404"/>
      <c r="D108" s="260"/>
      <c r="E108" s="260"/>
      <c r="F108" s="260"/>
      <c r="G108" s="260"/>
      <c r="H108" s="260"/>
      <c r="I108" s="260"/>
      <c r="J108" s="261"/>
      <c r="K108" s="260"/>
      <c r="L108" s="260"/>
      <c r="M108" s="323"/>
      <c r="N108" s="260"/>
      <c r="O108" s="236">
        <f t="shared" si="19"/>
        <v>0</v>
      </c>
      <c r="Q108" s="16"/>
      <c r="R108" s="2"/>
      <c r="S108" s="2"/>
    </row>
    <row r="109" spans="1:19" outlineLevel="2" x14ac:dyDescent="0.25">
      <c r="A109" s="258" t="s">
        <v>249</v>
      </c>
      <c r="B109" s="249"/>
      <c r="C109" s="404"/>
      <c r="D109" s="260"/>
      <c r="E109" s="260"/>
      <c r="F109" s="260"/>
      <c r="G109" s="260"/>
      <c r="H109" s="260"/>
      <c r="I109" s="260"/>
      <c r="J109" s="261"/>
      <c r="K109" s="260"/>
      <c r="L109" s="260"/>
      <c r="M109" s="323"/>
      <c r="N109" s="260"/>
      <c r="O109" s="236">
        <f t="shared" si="19"/>
        <v>0</v>
      </c>
      <c r="Q109" s="16"/>
      <c r="R109" s="2"/>
      <c r="S109" s="2"/>
    </row>
    <row r="110" spans="1:19" outlineLevel="2" x14ac:dyDescent="0.25">
      <c r="A110" s="258" t="s">
        <v>251</v>
      </c>
      <c r="B110" s="249"/>
      <c r="C110" s="404"/>
      <c r="D110" s="260"/>
      <c r="E110" s="260"/>
      <c r="F110" s="260"/>
      <c r="G110" s="260"/>
      <c r="H110" s="260"/>
      <c r="I110" s="260"/>
      <c r="J110" s="261"/>
      <c r="K110" s="260"/>
      <c r="L110" s="260"/>
      <c r="M110" s="323"/>
      <c r="N110" s="260"/>
      <c r="O110" s="236">
        <f t="shared" si="19"/>
        <v>0</v>
      </c>
      <c r="Q110" s="16"/>
      <c r="R110" s="2"/>
      <c r="S110" s="2"/>
    </row>
    <row r="111" spans="1:19" outlineLevel="2" x14ac:dyDescent="0.25">
      <c r="A111" s="258" t="s">
        <v>253</v>
      </c>
      <c r="B111" s="249"/>
      <c r="C111" s="404"/>
      <c r="D111" s="260"/>
      <c r="E111" s="260"/>
      <c r="F111" s="260"/>
      <c r="G111" s="260"/>
      <c r="H111" s="260"/>
      <c r="I111" s="260"/>
      <c r="J111" s="261"/>
      <c r="K111" s="260"/>
      <c r="L111" s="260"/>
      <c r="M111" s="323"/>
      <c r="N111" s="260"/>
      <c r="O111" s="236">
        <f t="shared" si="19"/>
        <v>0</v>
      </c>
      <c r="Q111" s="16"/>
      <c r="R111" s="2"/>
      <c r="S111" s="2"/>
    </row>
    <row r="112" spans="1:19" outlineLevel="1" x14ac:dyDescent="0.25">
      <c r="A112" s="265" t="s">
        <v>255</v>
      </c>
      <c r="B112" s="266"/>
      <c r="C112" s="267">
        <f t="shared" ref="C112:N112" si="24">SUM(C113:C116)</f>
        <v>0</v>
      </c>
      <c r="D112" s="268">
        <f t="shared" si="24"/>
        <v>0</v>
      </c>
      <c r="E112" s="268">
        <f t="shared" si="24"/>
        <v>0</v>
      </c>
      <c r="F112" s="268">
        <f t="shared" si="24"/>
        <v>0</v>
      </c>
      <c r="G112" s="268">
        <f t="shared" si="24"/>
        <v>0</v>
      </c>
      <c r="H112" s="268">
        <f t="shared" si="24"/>
        <v>0</v>
      </c>
      <c r="I112" s="268">
        <f t="shared" si="24"/>
        <v>0</v>
      </c>
      <c r="J112" s="268">
        <f t="shared" si="24"/>
        <v>0</v>
      </c>
      <c r="K112" s="268">
        <f t="shared" si="24"/>
        <v>0</v>
      </c>
      <c r="L112" s="268">
        <f t="shared" si="24"/>
        <v>0</v>
      </c>
      <c r="M112" s="268">
        <f t="shared" si="24"/>
        <v>0</v>
      </c>
      <c r="N112" s="269">
        <f t="shared" si="24"/>
        <v>0</v>
      </c>
      <c r="O112" s="270">
        <f t="shared" si="19"/>
        <v>0</v>
      </c>
      <c r="Q112" s="16"/>
      <c r="R112" s="2"/>
      <c r="S112" s="2"/>
    </row>
    <row r="113" spans="1:19" outlineLevel="2" x14ac:dyDescent="0.25">
      <c r="A113" s="258" t="s">
        <v>257</v>
      </c>
      <c r="B113" s="249"/>
      <c r="C113" s="234"/>
      <c r="D113" s="259"/>
      <c r="E113" s="260"/>
      <c r="F113" s="260"/>
      <c r="G113" s="260"/>
      <c r="H113" s="260"/>
      <c r="I113" s="260"/>
      <c r="J113" s="261"/>
      <c r="K113" s="259"/>
      <c r="L113" s="260"/>
      <c r="M113" s="239"/>
      <c r="N113" s="259"/>
      <c r="O113" s="236">
        <f t="shared" si="19"/>
        <v>0</v>
      </c>
      <c r="Q113" s="16"/>
      <c r="R113" s="2"/>
      <c r="S113" s="2"/>
    </row>
    <row r="114" spans="1:19" outlineLevel="2" x14ac:dyDescent="0.25">
      <c r="A114" s="258" t="s">
        <v>259</v>
      </c>
      <c r="B114" s="249"/>
      <c r="C114" s="234"/>
      <c r="D114" s="259"/>
      <c r="E114" s="260"/>
      <c r="F114" s="260"/>
      <c r="G114" s="260"/>
      <c r="H114" s="260"/>
      <c r="I114" s="260"/>
      <c r="J114" s="261"/>
      <c r="K114" s="259"/>
      <c r="L114" s="260"/>
      <c r="M114" s="239"/>
      <c r="N114" s="259"/>
      <c r="O114" s="236">
        <f t="shared" si="19"/>
        <v>0</v>
      </c>
      <c r="Q114" s="16"/>
      <c r="R114" s="2"/>
      <c r="S114" s="2"/>
    </row>
    <row r="115" spans="1:19" outlineLevel="2" x14ac:dyDescent="0.25">
      <c r="A115" s="258" t="s">
        <v>261</v>
      </c>
      <c r="B115" s="249"/>
      <c r="C115" s="234"/>
      <c r="D115" s="259"/>
      <c r="E115" s="260"/>
      <c r="F115" s="260"/>
      <c r="G115" s="260"/>
      <c r="H115" s="260"/>
      <c r="I115" s="260"/>
      <c r="J115" s="261"/>
      <c r="K115" s="259"/>
      <c r="L115" s="260"/>
      <c r="M115" s="239"/>
      <c r="N115" s="259"/>
      <c r="O115" s="236">
        <f t="shared" si="19"/>
        <v>0</v>
      </c>
      <c r="Q115" s="16"/>
      <c r="R115" s="2"/>
      <c r="S115" s="2"/>
    </row>
    <row r="116" spans="1:19" outlineLevel="2" x14ac:dyDescent="0.25">
      <c r="A116" s="258" t="s">
        <v>263</v>
      </c>
      <c r="B116" s="249"/>
      <c r="C116" s="234"/>
      <c r="D116" s="259"/>
      <c r="E116" s="260"/>
      <c r="F116" s="260"/>
      <c r="G116" s="260"/>
      <c r="H116" s="260"/>
      <c r="I116" s="260"/>
      <c r="J116" s="261"/>
      <c r="K116" s="259"/>
      <c r="L116" s="260"/>
      <c r="M116" s="239"/>
      <c r="N116" s="259"/>
      <c r="O116" s="236">
        <f t="shared" si="19"/>
        <v>0</v>
      </c>
      <c r="Q116" s="16"/>
      <c r="R116" s="2"/>
      <c r="S116" s="2"/>
    </row>
    <row r="117" spans="1:19" outlineLevel="1" x14ac:dyDescent="0.25">
      <c r="A117" s="265" t="s">
        <v>265</v>
      </c>
      <c r="B117" s="266"/>
      <c r="C117" s="267">
        <f t="shared" ref="C117:N117" si="25">SUM(C118)</f>
        <v>0</v>
      </c>
      <c r="D117" s="268">
        <f t="shared" si="25"/>
        <v>0</v>
      </c>
      <c r="E117" s="268">
        <f t="shared" si="25"/>
        <v>0</v>
      </c>
      <c r="F117" s="268">
        <f t="shared" si="25"/>
        <v>0</v>
      </c>
      <c r="G117" s="268">
        <f t="shared" si="25"/>
        <v>0</v>
      </c>
      <c r="H117" s="268">
        <f t="shared" si="25"/>
        <v>0</v>
      </c>
      <c r="I117" s="268">
        <f t="shared" si="25"/>
        <v>0</v>
      </c>
      <c r="J117" s="268">
        <f t="shared" si="25"/>
        <v>0</v>
      </c>
      <c r="K117" s="268">
        <f t="shared" si="25"/>
        <v>0</v>
      </c>
      <c r="L117" s="268">
        <f t="shared" si="25"/>
        <v>0</v>
      </c>
      <c r="M117" s="268">
        <f t="shared" si="25"/>
        <v>0</v>
      </c>
      <c r="N117" s="269">
        <f t="shared" si="25"/>
        <v>0</v>
      </c>
      <c r="O117" s="236">
        <f t="shared" si="19"/>
        <v>0</v>
      </c>
      <c r="Q117" s="16"/>
      <c r="R117" s="2"/>
      <c r="S117" s="2"/>
    </row>
    <row r="118" spans="1:19" outlineLevel="2" x14ac:dyDescent="0.25">
      <c r="A118" s="258" t="s">
        <v>265</v>
      </c>
      <c r="B118" s="249"/>
      <c r="C118" s="234"/>
      <c r="D118" s="259"/>
      <c r="E118" s="260"/>
      <c r="F118" s="260"/>
      <c r="G118" s="260"/>
      <c r="H118" s="260"/>
      <c r="I118" s="260"/>
      <c r="J118" s="261"/>
      <c r="K118" s="259"/>
      <c r="L118" s="260"/>
      <c r="M118" s="239"/>
      <c r="N118" s="259"/>
      <c r="O118" s="236">
        <f t="shared" si="19"/>
        <v>0</v>
      </c>
      <c r="Q118" s="16"/>
      <c r="R118" s="2"/>
      <c r="S118" s="2"/>
    </row>
    <row r="119" spans="1:19" outlineLevel="1" x14ac:dyDescent="0.25">
      <c r="A119" s="265" t="s">
        <v>268</v>
      </c>
      <c r="B119" s="266"/>
      <c r="C119" s="267">
        <f t="shared" ref="C119:N119" si="26">SUM(C120:C122)</f>
        <v>0</v>
      </c>
      <c r="D119" s="268">
        <f t="shared" si="26"/>
        <v>0</v>
      </c>
      <c r="E119" s="268">
        <f t="shared" si="26"/>
        <v>0</v>
      </c>
      <c r="F119" s="268">
        <f t="shared" si="26"/>
        <v>0</v>
      </c>
      <c r="G119" s="268">
        <f t="shared" si="26"/>
        <v>0</v>
      </c>
      <c r="H119" s="268">
        <f t="shared" si="26"/>
        <v>0</v>
      </c>
      <c r="I119" s="268">
        <f t="shared" si="26"/>
        <v>0</v>
      </c>
      <c r="J119" s="268">
        <f t="shared" si="26"/>
        <v>0</v>
      </c>
      <c r="K119" s="268">
        <f t="shared" si="26"/>
        <v>0</v>
      </c>
      <c r="L119" s="268">
        <f t="shared" si="26"/>
        <v>0</v>
      </c>
      <c r="M119" s="268">
        <f t="shared" si="26"/>
        <v>0</v>
      </c>
      <c r="N119" s="269">
        <f t="shared" si="26"/>
        <v>0</v>
      </c>
      <c r="O119" s="236">
        <f t="shared" si="19"/>
        <v>0</v>
      </c>
      <c r="Q119" s="16"/>
      <c r="R119" s="2"/>
      <c r="S119" s="2"/>
    </row>
    <row r="120" spans="1:19" outlineLevel="2" x14ac:dyDescent="0.25">
      <c r="A120" s="258" t="s">
        <v>270</v>
      </c>
      <c r="B120" s="249"/>
      <c r="C120" s="234"/>
      <c r="D120" s="259"/>
      <c r="E120" s="260"/>
      <c r="F120" s="260"/>
      <c r="G120" s="260"/>
      <c r="H120" s="260"/>
      <c r="I120" s="260"/>
      <c r="J120" s="261"/>
      <c r="K120" s="259"/>
      <c r="L120" s="260"/>
      <c r="M120" s="239"/>
      <c r="N120" s="259"/>
      <c r="O120" s="236">
        <f t="shared" si="19"/>
        <v>0</v>
      </c>
      <c r="Q120" s="16"/>
      <c r="R120" s="2"/>
      <c r="S120" s="2"/>
    </row>
    <row r="121" spans="1:19" outlineLevel="2" x14ac:dyDescent="0.25">
      <c r="A121" s="258" t="s">
        <v>272</v>
      </c>
      <c r="B121" s="249"/>
      <c r="C121" s="234"/>
      <c r="D121" s="259"/>
      <c r="E121" s="260"/>
      <c r="F121" s="260"/>
      <c r="G121" s="260"/>
      <c r="H121" s="260"/>
      <c r="I121" s="260"/>
      <c r="J121" s="261"/>
      <c r="K121" s="259"/>
      <c r="L121" s="260"/>
      <c r="M121" s="239"/>
      <c r="N121" s="259"/>
      <c r="O121" s="236">
        <f t="shared" si="19"/>
        <v>0</v>
      </c>
      <c r="Q121" s="16"/>
      <c r="R121" s="2"/>
      <c r="S121" s="2"/>
    </row>
    <row r="122" spans="1:19" outlineLevel="2" x14ac:dyDescent="0.25">
      <c r="A122" s="258" t="s">
        <v>274</v>
      </c>
      <c r="B122" s="249"/>
      <c r="C122" s="234"/>
      <c r="D122" s="259"/>
      <c r="E122" s="260"/>
      <c r="F122" s="260"/>
      <c r="G122" s="260"/>
      <c r="H122" s="260"/>
      <c r="I122" s="260"/>
      <c r="J122" s="261"/>
      <c r="K122" s="259"/>
      <c r="L122" s="260"/>
      <c r="M122" s="239"/>
      <c r="N122" s="259"/>
      <c r="O122" s="236">
        <f t="shared" si="19"/>
        <v>0</v>
      </c>
      <c r="Q122" s="16"/>
      <c r="R122" s="2"/>
      <c r="S122" s="2"/>
    </row>
    <row r="123" spans="1:19" outlineLevel="1" x14ac:dyDescent="0.25">
      <c r="A123" s="265" t="s">
        <v>276</v>
      </c>
      <c r="B123" s="266"/>
      <c r="C123" s="267">
        <f t="shared" ref="C123:N123" si="27">SUM(C124:C125)</f>
        <v>0</v>
      </c>
      <c r="D123" s="268">
        <f t="shared" si="27"/>
        <v>0</v>
      </c>
      <c r="E123" s="268">
        <f t="shared" si="27"/>
        <v>0</v>
      </c>
      <c r="F123" s="268">
        <f t="shared" si="27"/>
        <v>0</v>
      </c>
      <c r="G123" s="268">
        <f t="shared" si="27"/>
        <v>0</v>
      </c>
      <c r="H123" s="268">
        <f t="shared" si="27"/>
        <v>0</v>
      </c>
      <c r="I123" s="268">
        <f t="shared" si="27"/>
        <v>0</v>
      </c>
      <c r="J123" s="268">
        <f t="shared" si="27"/>
        <v>0</v>
      </c>
      <c r="K123" s="268">
        <f t="shared" si="27"/>
        <v>0</v>
      </c>
      <c r="L123" s="268">
        <f t="shared" si="27"/>
        <v>0</v>
      </c>
      <c r="M123" s="268">
        <f t="shared" si="27"/>
        <v>0</v>
      </c>
      <c r="N123" s="269">
        <f t="shared" si="27"/>
        <v>0</v>
      </c>
      <c r="O123" s="236">
        <f t="shared" si="19"/>
        <v>0</v>
      </c>
      <c r="Q123" s="16"/>
      <c r="R123" s="2"/>
      <c r="S123" s="2"/>
    </row>
    <row r="124" spans="1:19" outlineLevel="2" x14ac:dyDescent="0.25">
      <c r="A124" s="258" t="s">
        <v>278</v>
      </c>
      <c r="B124" s="249"/>
      <c r="C124" s="234"/>
      <c r="D124" s="259"/>
      <c r="E124" s="260"/>
      <c r="F124" s="260"/>
      <c r="G124" s="260"/>
      <c r="H124" s="260"/>
      <c r="I124" s="260"/>
      <c r="J124" s="261"/>
      <c r="K124" s="259"/>
      <c r="L124" s="260"/>
      <c r="M124" s="239"/>
      <c r="N124" s="259"/>
      <c r="O124" s="236">
        <f t="shared" si="19"/>
        <v>0</v>
      </c>
      <c r="Q124" s="16"/>
      <c r="R124" s="2"/>
      <c r="S124" s="2"/>
    </row>
    <row r="125" spans="1:19" outlineLevel="2" x14ac:dyDescent="0.25">
      <c r="A125" s="258" t="s">
        <v>280</v>
      </c>
      <c r="B125" s="249"/>
      <c r="C125" s="234"/>
      <c r="D125" s="259"/>
      <c r="E125" s="260"/>
      <c r="F125" s="260"/>
      <c r="G125" s="260"/>
      <c r="H125" s="260"/>
      <c r="I125" s="260"/>
      <c r="J125" s="261"/>
      <c r="K125" s="259"/>
      <c r="L125" s="260"/>
      <c r="M125" s="239"/>
      <c r="N125" s="259"/>
      <c r="O125" s="236">
        <f t="shared" si="19"/>
        <v>0</v>
      </c>
      <c r="Q125" s="16"/>
      <c r="R125" s="2"/>
      <c r="S125" s="2"/>
    </row>
    <row r="126" spans="1:19" outlineLevel="1" x14ac:dyDescent="0.25">
      <c r="A126" s="265" t="s">
        <v>282</v>
      </c>
      <c r="B126" s="266"/>
      <c r="C126" s="267">
        <f t="shared" ref="C126:N126" si="28">SUM(C127:C129)</f>
        <v>0</v>
      </c>
      <c r="D126" s="268">
        <f t="shared" si="28"/>
        <v>0</v>
      </c>
      <c r="E126" s="268">
        <f t="shared" si="28"/>
        <v>0</v>
      </c>
      <c r="F126" s="268">
        <f t="shared" si="28"/>
        <v>0</v>
      </c>
      <c r="G126" s="268">
        <f t="shared" si="28"/>
        <v>0</v>
      </c>
      <c r="H126" s="268">
        <f t="shared" si="28"/>
        <v>0</v>
      </c>
      <c r="I126" s="268">
        <f>SUM(I127:I129)</f>
        <v>0</v>
      </c>
      <c r="J126" s="268">
        <f t="shared" si="28"/>
        <v>0</v>
      </c>
      <c r="K126" s="268">
        <f t="shared" si="28"/>
        <v>0</v>
      </c>
      <c r="L126" s="268">
        <f t="shared" si="28"/>
        <v>0</v>
      </c>
      <c r="M126" s="268">
        <f t="shared" si="28"/>
        <v>0</v>
      </c>
      <c r="N126" s="269">
        <f t="shared" si="28"/>
        <v>0</v>
      </c>
      <c r="O126" s="236">
        <f t="shared" si="19"/>
        <v>0</v>
      </c>
      <c r="Q126" s="16"/>
      <c r="R126" s="2"/>
      <c r="S126" s="2"/>
    </row>
    <row r="127" spans="1:19" outlineLevel="2" x14ac:dyDescent="0.25">
      <c r="A127" s="258" t="s">
        <v>282</v>
      </c>
      <c r="B127" s="249"/>
      <c r="C127" s="271"/>
      <c r="D127" s="271"/>
      <c r="E127" s="260"/>
      <c r="F127" s="260"/>
      <c r="G127" s="260"/>
      <c r="H127" s="260"/>
      <c r="I127" s="260"/>
      <c r="J127" s="261"/>
      <c r="K127" s="259"/>
      <c r="L127" s="259"/>
      <c r="M127" s="260"/>
      <c r="N127" s="259"/>
      <c r="O127" s="236">
        <f t="shared" si="19"/>
        <v>0</v>
      </c>
      <c r="Q127" s="16"/>
      <c r="R127" s="2"/>
      <c r="S127" s="2"/>
    </row>
    <row r="128" spans="1:19" outlineLevel="2" x14ac:dyDescent="0.25">
      <c r="A128" s="258" t="s">
        <v>285</v>
      </c>
      <c r="B128" s="249"/>
      <c r="C128" s="271"/>
      <c r="D128" s="259"/>
      <c r="E128" s="260"/>
      <c r="F128" s="260"/>
      <c r="G128" s="260"/>
      <c r="H128" s="260"/>
      <c r="J128" s="261"/>
      <c r="K128" s="259"/>
      <c r="L128" s="260"/>
      <c r="M128" s="239"/>
      <c r="N128" s="259"/>
      <c r="O128" s="236">
        <f t="shared" si="19"/>
        <v>0</v>
      </c>
      <c r="Q128" s="16"/>
      <c r="R128" s="2"/>
      <c r="S128" s="2"/>
    </row>
    <row r="129" spans="1:19" outlineLevel="2" x14ac:dyDescent="0.25">
      <c r="A129" s="258" t="s">
        <v>287</v>
      </c>
      <c r="B129" s="249"/>
      <c r="C129" s="234"/>
      <c r="D129" s="259"/>
      <c r="E129" s="260"/>
      <c r="F129" s="260"/>
      <c r="G129" s="260"/>
      <c r="H129" s="260"/>
      <c r="I129" s="260"/>
      <c r="J129" s="261"/>
      <c r="K129" s="259"/>
      <c r="L129" s="260"/>
      <c r="M129" s="239"/>
      <c r="N129" s="259"/>
      <c r="O129" s="236">
        <f t="shared" si="19"/>
        <v>0</v>
      </c>
      <c r="Q129" s="16"/>
      <c r="R129" s="2"/>
      <c r="S129" s="2"/>
    </row>
    <row r="130" spans="1:19" outlineLevel="1" x14ac:dyDescent="0.25">
      <c r="A130" s="265" t="s">
        <v>289</v>
      </c>
      <c r="B130" s="266"/>
      <c r="C130" s="267">
        <f t="shared" ref="C130:N130" si="29">SUM(C131:C137)</f>
        <v>0</v>
      </c>
      <c r="D130" s="268">
        <f t="shared" si="29"/>
        <v>0</v>
      </c>
      <c r="E130" s="268">
        <f t="shared" si="29"/>
        <v>0</v>
      </c>
      <c r="F130" s="268">
        <f t="shared" si="29"/>
        <v>0</v>
      </c>
      <c r="G130" s="268">
        <f t="shared" si="29"/>
        <v>0</v>
      </c>
      <c r="H130" s="268">
        <f>SUM(H131:H137)</f>
        <v>0</v>
      </c>
      <c r="I130" s="268">
        <f t="shared" si="29"/>
        <v>0</v>
      </c>
      <c r="J130" s="268">
        <f t="shared" si="29"/>
        <v>0</v>
      </c>
      <c r="K130" s="268">
        <f t="shared" si="29"/>
        <v>0</v>
      </c>
      <c r="L130" s="268">
        <f t="shared" si="29"/>
        <v>0</v>
      </c>
      <c r="M130" s="268">
        <f t="shared" si="29"/>
        <v>0</v>
      </c>
      <c r="N130" s="269">
        <f t="shared" si="29"/>
        <v>0</v>
      </c>
      <c r="O130" s="236">
        <f t="shared" si="19"/>
        <v>0</v>
      </c>
      <c r="Q130" s="16"/>
      <c r="R130" s="2"/>
      <c r="S130" s="2"/>
    </row>
    <row r="131" spans="1:19" outlineLevel="2" x14ac:dyDescent="0.25">
      <c r="A131" s="258" t="s">
        <v>291</v>
      </c>
      <c r="B131" s="249"/>
      <c r="C131" s="234"/>
      <c r="D131" s="259"/>
      <c r="E131" s="260"/>
      <c r="F131" s="260"/>
      <c r="G131" s="260"/>
      <c r="H131" s="260"/>
      <c r="I131" s="260"/>
      <c r="J131" s="261"/>
      <c r="K131" s="259"/>
      <c r="L131" s="260"/>
      <c r="M131" s="239"/>
      <c r="N131" s="259"/>
      <c r="O131" s="236">
        <f t="shared" si="19"/>
        <v>0</v>
      </c>
      <c r="Q131" s="16"/>
      <c r="R131" s="2"/>
      <c r="S131" s="2"/>
    </row>
    <row r="132" spans="1:19" outlineLevel="2" x14ac:dyDescent="0.25">
      <c r="A132" s="258" t="s">
        <v>293</v>
      </c>
      <c r="B132" s="249"/>
      <c r="C132" s="234"/>
      <c r="D132" s="259"/>
      <c r="E132" s="260"/>
      <c r="F132" s="260"/>
      <c r="G132" s="260"/>
      <c r="H132" s="260"/>
      <c r="I132" s="260"/>
      <c r="J132" s="261"/>
      <c r="K132" s="259"/>
      <c r="L132" s="260"/>
      <c r="M132" s="239"/>
      <c r="N132" s="259"/>
      <c r="O132" s="236">
        <f t="shared" si="19"/>
        <v>0</v>
      </c>
      <c r="Q132" s="16"/>
      <c r="R132" s="2"/>
      <c r="S132" s="2"/>
    </row>
    <row r="133" spans="1:19" outlineLevel="2" x14ac:dyDescent="0.25">
      <c r="A133" s="258" t="s">
        <v>295</v>
      </c>
      <c r="B133" s="249"/>
      <c r="C133" s="234"/>
      <c r="D133" s="259"/>
      <c r="E133" s="260"/>
      <c r="F133" s="260"/>
      <c r="G133" s="260"/>
      <c r="H133" s="260"/>
      <c r="I133" s="260"/>
      <c r="J133" s="261"/>
      <c r="K133" s="259"/>
      <c r="L133" s="260"/>
      <c r="M133" s="239"/>
      <c r="N133" s="259"/>
      <c r="O133" s="236">
        <f t="shared" si="19"/>
        <v>0</v>
      </c>
      <c r="Q133" s="16"/>
      <c r="R133" s="2"/>
      <c r="S133" s="2"/>
    </row>
    <row r="134" spans="1:19" outlineLevel="2" x14ac:dyDescent="0.25">
      <c r="A134" s="258" t="s">
        <v>297</v>
      </c>
      <c r="B134" s="249"/>
      <c r="C134" s="234"/>
      <c r="D134" s="259"/>
      <c r="E134" s="260"/>
      <c r="F134" s="260"/>
      <c r="G134" s="260"/>
      <c r="H134" s="260"/>
      <c r="I134" s="260"/>
      <c r="J134" s="261"/>
      <c r="K134" s="259"/>
      <c r="L134" s="260"/>
      <c r="M134" s="239"/>
      <c r="N134" s="259"/>
      <c r="O134" s="236">
        <f t="shared" si="19"/>
        <v>0</v>
      </c>
      <c r="Q134" s="16"/>
      <c r="R134" s="2"/>
      <c r="S134" s="2"/>
    </row>
    <row r="135" spans="1:19" outlineLevel="2" x14ac:dyDescent="0.25">
      <c r="A135" s="258" t="s">
        <v>299</v>
      </c>
      <c r="B135" s="249"/>
      <c r="C135" s="234"/>
      <c r="D135" s="259"/>
      <c r="E135" s="260"/>
      <c r="F135" s="260"/>
      <c r="G135" s="260"/>
      <c r="H135" s="260"/>
      <c r="I135" s="260"/>
      <c r="J135" s="261"/>
      <c r="K135" s="259"/>
      <c r="L135" s="260"/>
      <c r="M135" s="239"/>
      <c r="N135" s="259"/>
      <c r="O135" s="236">
        <f t="shared" si="19"/>
        <v>0</v>
      </c>
      <c r="Q135" s="16"/>
      <c r="R135" s="2"/>
      <c r="S135" s="2"/>
    </row>
    <row r="136" spans="1:19" outlineLevel="2" x14ac:dyDescent="0.25">
      <c r="A136" s="258" t="s">
        <v>301</v>
      </c>
      <c r="B136" s="249"/>
      <c r="C136" s="234"/>
      <c r="D136" s="259"/>
      <c r="E136" s="260"/>
      <c r="F136" s="260"/>
      <c r="G136" s="260"/>
      <c r="H136" s="260"/>
      <c r="I136" s="260"/>
      <c r="J136" s="261"/>
      <c r="K136" s="259"/>
      <c r="L136" s="260"/>
      <c r="M136" s="239"/>
      <c r="N136" s="259"/>
      <c r="O136" s="236">
        <f t="shared" si="19"/>
        <v>0</v>
      </c>
      <c r="Q136" s="16"/>
      <c r="R136" s="2"/>
      <c r="S136" s="2"/>
    </row>
    <row r="137" spans="1:19" outlineLevel="2" x14ac:dyDescent="0.25">
      <c r="A137" s="258" t="s">
        <v>303</v>
      </c>
      <c r="B137" s="249"/>
      <c r="C137" s="234"/>
      <c r="D137" s="259"/>
      <c r="E137" s="260"/>
      <c r="F137" s="260"/>
      <c r="G137" s="260"/>
      <c r="H137" s="260"/>
      <c r="I137" s="260"/>
      <c r="J137" s="261"/>
      <c r="K137" s="259"/>
      <c r="L137" s="260"/>
      <c r="M137" s="239"/>
      <c r="N137" s="259"/>
      <c r="O137" s="236">
        <f t="shared" si="19"/>
        <v>0</v>
      </c>
      <c r="Q137" s="16"/>
      <c r="R137" s="2"/>
      <c r="S137" s="2"/>
    </row>
    <row r="138" spans="1:19" outlineLevel="1" x14ac:dyDescent="0.25">
      <c r="A138" s="265" t="s">
        <v>305</v>
      </c>
      <c r="B138" s="266"/>
      <c r="C138" s="267">
        <f t="shared" ref="C138:N138" si="30">SUM(C139:C144)</f>
        <v>0</v>
      </c>
      <c r="D138" s="268">
        <f t="shared" si="30"/>
        <v>0</v>
      </c>
      <c r="E138" s="268">
        <f t="shared" si="30"/>
        <v>0</v>
      </c>
      <c r="F138" s="268">
        <f t="shared" si="30"/>
        <v>0</v>
      </c>
      <c r="G138" s="268">
        <f t="shared" si="30"/>
        <v>0</v>
      </c>
      <c r="H138" s="268">
        <f t="shared" si="30"/>
        <v>0</v>
      </c>
      <c r="I138" s="268">
        <f t="shared" si="30"/>
        <v>0</v>
      </c>
      <c r="J138" s="268">
        <f t="shared" si="30"/>
        <v>0</v>
      </c>
      <c r="K138" s="268">
        <f t="shared" si="30"/>
        <v>0</v>
      </c>
      <c r="L138" s="268">
        <f t="shared" si="30"/>
        <v>0</v>
      </c>
      <c r="M138" s="268">
        <f t="shared" si="30"/>
        <v>0</v>
      </c>
      <c r="N138" s="269">
        <f t="shared" si="30"/>
        <v>0</v>
      </c>
      <c r="O138" s="236">
        <f t="shared" si="19"/>
        <v>0</v>
      </c>
      <c r="Q138" s="16"/>
      <c r="R138" s="2"/>
      <c r="S138" s="2"/>
    </row>
    <row r="139" spans="1:19" outlineLevel="2" x14ac:dyDescent="0.25">
      <c r="A139" s="258" t="s">
        <v>307</v>
      </c>
      <c r="B139" s="249"/>
      <c r="C139" s="234"/>
      <c r="D139" s="259"/>
      <c r="E139" s="260"/>
      <c r="F139" s="260"/>
      <c r="G139" s="260"/>
      <c r="H139" s="260"/>
      <c r="I139" s="260"/>
      <c r="J139" s="261"/>
      <c r="K139" s="259"/>
      <c r="L139" s="260"/>
      <c r="M139" s="239"/>
      <c r="N139" s="259"/>
      <c r="O139" s="236">
        <f t="shared" si="19"/>
        <v>0</v>
      </c>
      <c r="Q139" s="16"/>
      <c r="R139" s="2"/>
      <c r="S139" s="2"/>
    </row>
    <row r="140" spans="1:19" outlineLevel="2" x14ac:dyDescent="0.25">
      <c r="A140" s="258" t="s">
        <v>309</v>
      </c>
      <c r="B140" s="249"/>
      <c r="C140" s="234"/>
      <c r="D140" s="259"/>
      <c r="E140" s="260"/>
      <c r="F140" s="260"/>
      <c r="G140" s="260"/>
      <c r="H140" s="260"/>
      <c r="I140" s="260"/>
      <c r="J140" s="261"/>
      <c r="K140" s="259"/>
      <c r="L140" s="260"/>
      <c r="M140" s="239"/>
      <c r="N140" s="259"/>
      <c r="O140" s="236">
        <f t="shared" si="19"/>
        <v>0</v>
      </c>
      <c r="Q140" s="16"/>
      <c r="R140" s="2"/>
      <c r="S140" s="2"/>
    </row>
    <row r="141" spans="1:19" outlineLevel="2" x14ac:dyDescent="0.25">
      <c r="A141" s="258" t="s">
        <v>293</v>
      </c>
      <c r="B141" s="249"/>
      <c r="C141" s="234"/>
      <c r="D141" s="259"/>
      <c r="E141" s="260"/>
      <c r="F141" s="260"/>
      <c r="G141" s="260"/>
      <c r="H141" s="260"/>
      <c r="I141" s="260"/>
      <c r="J141" s="261"/>
      <c r="K141" s="259"/>
      <c r="L141" s="260"/>
      <c r="M141" s="239"/>
      <c r="N141" s="259"/>
      <c r="O141" s="236">
        <f t="shared" si="19"/>
        <v>0</v>
      </c>
      <c r="Q141" s="16"/>
      <c r="R141" s="2"/>
      <c r="S141" s="2"/>
    </row>
    <row r="142" spans="1:19" outlineLevel="2" x14ac:dyDescent="0.25">
      <c r="A142" s="258" t="s">
        <v>312</v>
      </c>
      <c r="B142" s="249"/>
      <c r="C142" s="234"/>
      <c r="D142" s="259"/>
      <c r="E142" s="260"/>
      <c r="F142" s="260"/>
      <c r="G142" s="260"/>
      <c r="H142" s="260"/>
      <c r="I142" s="260"/>
      <c r="J142" s="261"/>
      <c r="K142" s="259"/>
      <c r="L142" s="260"/>
      <c r="M142" s="239"/>
      <c r="N142" s="259"/>
      <c r="O142" s="236">
        <f t="shared" si="19"/>
        <v>0</v>
      </c>
      <c r="Q142" s="16"/>
      <c r="R142" s="2"/>
      <c r="S142" s="2"/>
    </row>
    <row r="143" spans="1:19" outlineLevel="2" x14ac:dyDescent="0.25">
      <c r="A143" s="258" t="s">
        <v>314</v>
      </c>
      <c r="B143" s="249"/>
      <c r="C143" s="234"/>
      <c r="D143" s="259"/>
      <c r="E143" s="260"/>
      <c r="F143" s="260"/>
      <c r="G143" s="260"/>
      <c r="H143" s="260"/>
      <c r="I143" s="260"/>
      <c r="J143" s="261"/>
      <c r="K143" s="259"/>
      <c r="L143" s="260"/>
      <c r="M143" s="239"/>
      <c r="N143" s="259"/>
      <c r="O143" s="236">
        <f t="shared" si="19"/>
        <v>0</v>
      </c>
      <c r="Q143" s="16"/>
      <c r="R143" s="2"/>
      <c r="S143" s="2"/>
    </row>
    <row r="144" spans="1:19" outlineLevel="2" x14ac:dyDescent="0.25">
      <c r="A144" s="258" t="s">
        <v>316</v>
      </c>
      <c r="B144" s="249"/>
      <c r="C144" s="234"/>
      <c r="D144" s="259"/>
      <c r="E144" s="260"/>
      <c r="F144" s="260"/>
      <c r="G144" s="260"/>
      <c r="H144" s="260"/>
      <c r="I144" s="260"/>
      <c r="J144" s="261"/>
      <c r="K144" s="259"/>
      <c r="L144" s="260"/>
      <c r="M144" s="239"/>
      <c r="N144" s="259"/>
      <c r="O144" s="236">
        <f t="shared" si="19"/>
        <v>0</v>
      </c>
      <c r="Q144" s="16"/>
      <c r="R144" s="2"/>
      <c r="S144" s="2"/>
    </row>
    <row r="145" spans="1:19" outlineLevel="1" x14ac:dyDescent="0.25">
      <c r="A145" s="265" t="s">
        <v>318</v>
      </c>
      <c r="B145" s="266"/>
      <c r="C145" s="267">
        <f>SUM(C146:C153)</f>
        <v>0</v>
      </c>
      <c r="D145" s="268">
        <f t="shared" ref="D145:N145" si="31">SUM(D146:D153)</f>
        <v>0</v>
      </c>
      <c r="E145" s="268">
        <f t="shared" si="31"/>
        <v>0</v>
      </c>
      <c r="F145" s="268">
        <f t="shared" si="31"/>
        <v>0</v>
      </c>
      <c r="G145" s="268">
        <f t="shared" si="31"/>
        <v>0</v>
      </c>
      <c r="H145" s="268">
        <f t="shared" si="31"/>
        <v>0</v>
      </c>
      <c r="I145" s="268">
        <f t="shared" si="31"/>
        <v>0</v>
      </c>
      <c r="J145" s="268">
        <f t="shared" si="31"/>
        <v>0</v>
      </c>
      <c r="K145" s="268">
        <f t="shared" si="31"/>
        <v>0</v>
      </c>
      <c r="L145" s="268">
        <f t="shared" si="31"/>
        <v>0</v>
      </c>
      <c r="M145" s="268">
        <f t="shared" si="31"/>
        <v>0</v>
      </c>
      <c r="N145" s="269">
        <f t="shared" si="31"/>
        <v>0</v>
      </c>
      <c r="O145" s="236">
        <f t="shared" si="19"/>
        <v>0</v>
      </c>
      <c r="Q145" s="16"/>
      <c r="R145" s="2"/>
      <c r="S145" s="2"/>
    </row>
    <row r="146" spans="1:19" outlineLevel="2" x14ac:dyDescent="0.25">
      <c r="A146" s="258" t="s">
        <v>320</v>
      </c>
      <c r="B146" s="249"/>
      <c r="C146" s="234"/>
      <c r="D146" s="259"/>
      <c r="E146" s="260"/>
      <c r="F146" s="260"/>
      <c r="G146" s="260"/>
      <c r="H146" s="260"/>
      <c r="I146" s="260"/>
      <c r="J146" s="261"/>
      <c r="K146" s="259"/>
      <c r="L146" s="260"/>
      <c r="M146" s="239"/>
      <c r="N146" s="259"/>
      <c r="O146" s="236">
        <f t="shared" si="19"/>
        <v>0</v>
      </c>
      <c r="Q146" s="16"/>
      <c r="R146" s="2"/>
      <c r="S146" s="2"/>
    </row>
    <row r="147" spans="1:19" outlineLevel="2" x14ac:dyDescent="0.25">
      <c r="A147" s="258" t="s">
        <v>322</v>
      </c>
      <c r="B147" s="249"/>
      <c r="C147" s="234"/>
      <c r="D147" s="259"/>
      <c r="E147" s="260"/>
      <c r="F147" s="260"/>
      <c r="G147" s="260"/>
      <c r="H147" s="260"/>
      <c r="I147" s="260"/>
      <c r="J147" s="261"/>
      <c r="K147" s="259"/>
      <c r="L147" s="260"/>
      <c r="M147" s="239"/>
      <c r="N147" s="259"/>
      <c r="O147" s="236">
        <f t="shared" si="19"/>
        <v>0</v>
      </c>
      <c r="Q147" s="16"/>
      <c r="R147" s="2"/>
      <c r="S147" s="2"/>
    </row>
    <row r="148" spans="1:19" outlineLevel="2" x14ac:dyDescent="0.25">
      <c r="A148" s="258" t="s">
        <v>324</v>
      </c>
      <c r="B148" s="249"/>
      <c r="C148" s="234"/>
      <c r="D148" s="259"/>
      <c r="E148" s="260"/>
      <c r="F148" s="260"/>
      <c r="G148" s="260"/>
      <c r="H148" s="260"/>
      <c r="I148" s="260"/>
      <c r="J148" s="261"/>
      <c r="K148" s="259"/>
      <c r="L148" s="260"/>
      <c r="M148" s="239"/>
      <c r="N148" s="259"/>
      <c r="O148" s="236">
        <f t="shared" si="19"/>
        <v>0</v>
      </c>
      <c r="Q148" s="16"/>
      <c r="R148" s="2"/>
      <c r="S148" s="2"/>
    </row>
    <row r="149" spans="1:19" outlineLevel="2" x14ac:dyDescent="0.25">
      <c r="A149" s="258" t="s">
        <v>326</v>
      </c>
      <c r="B149" s="249"/>
      <c r="C149" s="234"/>
      <c r="D149" s="259"/>
      <c r="E149" s="260"/>
      <c r="F149" s="260"/>
      <c r="G149" s="260"/>
      <c r="H149" s="260"/>
      <c r="I149" s="260"/>
      <c r="J149" s="261"/>
      <c r="K149" s="259"/>
      <c r="L149" s="260"/>
      <c r="M149" s="239"/>
      <c r="N149" s="259"/>
      <c r="O149" s="236">
        <f t="shared" si="19"/>
        <v>0</v>
      </c>
      <c r="Q149" s="16"/>
      <c r="R149" s="2"/>
      <c r="S149" s="2"/>
    </row>
    <row r="150" spans="1:19" outlineLevel="2" x14ac:dyDescent="0.25">
      <c r="A150" s="258" t="s">
        <v>328</v>
      </c>
      <c r="B150" s="249"/>
      <c r="C150" s="234"/>
      <c r="D150" s="259"/>
      <c r="E150" s="260"/>
      <c r="F150" s="260"/>
      <c r="G150" s="260"/>
      <c r="H150" s="260"/>
      <c r="I150" s="260"/>
      <c r="J150" s="261"/>
      <c r="K150" s="259"/>
      <c r="L150" s="260"/>
      <c r="M150" s="239"/>
      <c r="N150" s="259"/>
      <c r="O150" s="236">
        <f t="shared" si="19"/>
        <v>0</v>
      </c>
      <c r="Q150" s="16"/>
      <c r="R150" s="2"/>
      <c r="S150" s="2"/>
    </row>
    <row r="151" spans="1:19" outlineLevel="2" x14ac:dyDescent="0.25">
      <c r="A151" s="258" t="s">
        <v>329</v>
      </c>
      <c r="B151" s="249"/>
      <c r="C151" s="234"/>
      <c r="D151" s="259"/>
      <c r="E151" s="260"/>
      <c r="F151" s="260"/>
      <c r="G151" s="260"/>
      <c r="H151" s="260"/>
      <c r="I151" s="260"/>
      <c r="J151" s="261"/>
      <c r="K151" s="259"/>
      <c r="L151" s="260"/>
      <c r="M151" s="239"/>
      <c r="N151" s="259"/>
      <c r="O151" s="236">
        <f t="shared" si="19"/>
        <v>0</v>
      </c>
      <c r="Q151" s="16"/>
      <c r="R151" s="2"/>
      <c r="S151" s="2"/>
    </row>
    <row r="152" spans="1:19" outlineLevel="2" x14ac:dyDescent="0.25">
      <c r="A152" s="258" t="s">
        <v>331</v>
      </c>
      <c r="B152" s="249"/>
      <c r="C152" s="234"/>
      <c r="D152" s="259"/>
      <c r="E152" s="260"/>
      <c r="F152" s="260"/>
      <c r="G152" s="260"/>
      <c r="H152" s="260"/>
      <c r="I152" s="260"/>
      <c r="J152" s="261"/>
      <c r="K152" s="259"/>
      <c r="L152" s="260"/>
      <c r="M152" s="239"/>
      <c r="N152" s="259"/>
      <c r="O152" s="236">
        <f t="shared" si="19"/>
        <v>0</v>
      </c>
      <c r="Q152" s="16"/>
      <c r="R152" s="2"/>
      <c r="S152" s="2"/>
    </row>
    <row r="153" spans="1:19" outlineLevel="2" x14ac:dyDescent="0.25">
      <c r="A153" s="258" t="s">
        <v>333</v>
      </c>
      <c r="B153" s="249"/>
      <c r="C153" s="234"/>
      <c r="D153" s="259"/>
      <c r="E153" s="260"/>
      <c r="F153" s="260"/>
      <c r="G153" s="260"/>
      <c r="H153" s="260"/>
      <c r="I153" s="260"/>
      <c r="J153" s="261"/>
      <c r="K153" s="259"/>
      <c r="L153" s="260"/>
      <c r="M153" s="239"/>
      <c r="N153" s="259"/>
      <c r="O153" s="236">
        <f t="shared" si="19"/>
        <v>0</v>
      </c>
      <c r="Q153" s="16"/>
      <c r="R153" s="2"/>
      <c r="S153" s="2"/>
    </row>
    <row r="154" spans="1:19" s="77" customFormat="1" x14ac:dyDescent="0.25">
      <c r="A154" s="220" t="s">
        <v>335</v>
      </c>
      <c r="B154" s="273"/>
      <c r="C154" s="274">
        <f t="shared" ref="C154:N154" si="32">C155</f>
        <v>0</v>
      </c>
      <c r="D154" s="274">
        <f t="shared" si="32"/>
        <v>0</v>
      </c>
      <c r="E154" s="274">
        <f t="shared" si="32"/>
        <v>0</v>
      </c>
      <c r="F154" s="274">
        <f t="shared" si="32"/>
        <v>0</v>
      </c>
      <c r="G154" s="274">
        <f t="shared" si="32"/>
        <v>0</v>
      </c>
      <c r="H154" s="274">
        <f t="shared" si="32"/>
        <v>0</v>
      </c>
      <c r="I154" s="274">
        <f t="shared" si="32"/>
        <v>0</v>
      </c>
      <c r="J154" s="274">
        <f t="shared" si="32"/>
        <v>0</v>
      </c>
      <c r="K154" s="274">
        <f t="shared" si="32"/>
        <v>0</v>
      </c>
      <c r="L154" s="274">
        <f t="shared" si="32"/>
        <v>0</v>
      </c>
      <c r="M154" s="274">
        <f t="shared" si="32"/>
        <v>0</v>
      </c>
      <c r="N154" s="274">
        <f t="shared" si="32"/>
        <v>0</v>
      </c>
      <c r="O154" s="221">
        <f t="shared" ref="O154" si="33">SUM(C154:N154)</f>
        <v>0</v>
      </c>
      <c r="Q154" s="205"/>
      <c r="R154" s="78"/>
      <c r="S154" s="78"/>
    </row>
    <row r="155" spans="1:19" outlineLevel="1" x14ac:dyDescent="0.25">
      <c r="A155" s="265" t="s">
        <v>337</v>
      </c>
      <c r="B155" s="266"/>
      <c r="C155" s="267">
        <f>SUM(C156:C166)</f>
        <v>0</v>
      </c>
      <c r="D155" s="267">
        <f>SUM(D156:D166)</f>
        <v>0</v>
      </c>
      <c r="E155" s="267">
        <f>SUM(E156:E166)</f>
        <v>0</v>
      </c>
      <c r="F155" s="267">
        <f>SUM(F156:F166)</f>
        <v>0</v>
      </c>
      <c r="G155" s="267">
        <f>SUM(G156:G166)</f>
        <v>0</v>
      </c>
      <c r="H155" s="267">
        <f t="shared" ref="H155:N155" si="34">SUM(H156:H166)</f>
        <v>0</v>
      </c>
      <c r="I155" s="267">
        <f t="shared" si="34"/>
        <v>0</v>
      </c>
      <c r="J155" s="267">
        <f t="shared" si="34"/>
        <v>0</v>
      </c>
      <c r="K155" s="267">
        <f t="shared" si="34"/>
        <v>0</v>
      </c>
      <c r="L155" s="267">
        <f t="shared" si="34"/>
        <v>0</v>
      </c>
      <c r="M155" s="267">
        <f t="shared" si="34"/>
        <v>0</v>
      </c>
      <c r="N155" s="267">
        <f t="shared" si="34"/>
        <v>0</v>
      </c>
      <c r="O155" s="236">
        <f t="shared" ref="O155:O164" si="35">SUM(C155:N155)</f>
        <v>0</v>
      </c>
      <c r="Q155" s="16"/>
      <c r="R155" s="2"/>
      <c r="S155" s="2"/>
    </row>
    <row r="156" spans="1:19" outlineLevel="2" x14ac:dyDescent="0.25">
      <c r="A156" s="258" t="s">
        <v>681</v>
      </c>
      <c r="B156" s="249"/>
      <c r="C156" s="405"/>
      <c r="D156" s="260"/>
      <c r="E156" s="260"/>
      <c r="F156" s="260"/>
      <c r="G156" s="260"/>
      <c r="H156" s="260"/>
      <c r="I156" s="260"/>
      <c r="J156" s="261"/>
      <c r="K156" s="260"/>
      <c r="L156" s="260"/>
      <c r="M156" s="323"/>
      <c r="N156" s="260"/>
      <c r="O156" s="236">
        <f t="shared" si="35"/>
        <v>0</v>
      </c>
      <c r="Q156" s="16"/>
      <c r="R156" s="2"/>
      <c r="S156" s="2"/>
    </row>
    <row r="157" spans="1:19" outlineLevel="2" x14ac:dyDescent="0.25">
      <c r="A157" s="258" t="s">
        <v>340</v>
      </c>
      <c r="B157" s="249"/>
      <c r="C157" s="405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323"/>
      <c r="O157" s="236">
        <f t="shared" si="35"/>
        <v>0</v>
      </c>
      <c r="Q157" s="16"/>
      <c r="R157" s="2"/>
      <c r="S157" s="2"/>
    </row>
    <row r="158" spans="1:19" outlineLevel="2" x14ac:dyDescent="0.25">
      <c r="A158" s="258" t="s">
        <v>341</v>
      </c>
      <c r="B158" s="249"/>
      <c r="C158" s="405"/>
      <c r="D158" s="260"/>
      <c r="E158" s="260"/>
      <c r="F158" s="260"/>
      <c r="G158" s="260"/>
      <c r="H158" s="260"/>
      <c r="I158" s="260"/>
      <c r="J158" s="261"/>
      <c r="K158" s="260"/>
      <c r="L158" s="260"/>
      <c r="M158" s="323"/>
      <c r="N158" s="406"/>
      <c r="O158" s="236">
        <f t="shared" si="35"/>
        <v>0</v>
      </c>
      <c r="Q158" s="16"/>
      <c r="R158" s="2"/>
      <c r="S158" s="2"/>
    </row>
    <row r="159" spans="1:19" outlineLevel="2" x14ac:dyDescent="0.25">
      <c r="A159" s="222" t="s">
        <v>342</v>
      </c>
      <c r="B159" s="249"/>
      <c r="C159" s="405"/>
      <c r="D159" s="260"/>
      <c r="E159" s="260"/>
      <c r="F159" s="260"/>
      <c r="G159" s="260"/>
      <c r="H159" s="260"/>
      <c r="I159" s="260"/>
      <c r="J159" s="261"/>
      <c r="K159" s="260"/>
      <c r="L159" s="260"/>
      <c r="M159" s="323"/>
      <c r="N159" s="406"/>
      <c r="O159" s="236">
        <f t="shared" si="35"/>
        <v>0</v>
      </c>
      <c r="Q159" s="16"/>
      <c r="R159" s="2"/>
      <c r="S159" s="2"/>
    </row>
    <row r="160" spans="1:19" outlineLevel="2" x14ac:dyDescent="0.25">
      <c r="A160" s="258" t="s">
        <v>343</v>
      </c>
      <c r="B160" s="249"/>
      <c r="C160" s="260"/>
      <c r="D160" s="260"/>
      <c r="E160" s="260"/>
      <c r="F160" s="260"/>
      <c r="G160" s="260"/>
      <c r="H160" s="260"/>
      <c r="I160" s="260"/>
      <c r="J160" s="261"/>
      <c r="K160" s="260"/>
      <c r="L160" s="260"/>
      <c r="M160" s="323"/>
      <c r="N160" s="406"/>
      <c r="O160" s="236">
        <f t="shared" si="35"/>
        <v>0</v>
      </c>
      <c r="Q160" s="16"/>
      <c r="R160" s="2"/>
      <c r="S160" s="2"/>
    </row>
    <row r="161" spans="1:19" outlineLevel="2" x14ac:dyDescent="0.25">
      <c r="A161" s="1" t="s">
        <v>524</v>
      </c>
      <c r="B161" s="249"/>
      <c r="C161" s="260"/>
      <c r="D161" s="260"/>
      <c r="E161" s="260"/>
      <c r="F161" s="260"/>
      <c r="G161" s="260"/>
      <c r="H161" s="260"/>
      <c r="I161" s="260"/>
      <c r="J161" s="261"/>
      <c r="K161" s="260"/>
      <c r="L161" s="260"/>
      <c r="M161" s="323"/>
      <c r="N161" s="406"/>
      <c r="O161" s="236">
        <f t="shared" si="35"/>
        <v>0</v>
      </c>
      <c r="Q161" s="16"/>
      <c r="R161" s="2"/>
      <c r="S161" s="2"/>
    </row>
    <row r="162" spans="1:19" ht="12.75" customHeight="1" outlineLevel="2" x14ac:dyDescent="0.25">
      <c r="A162" s="258" t="s">
        <v>344</v>
      </c>
      <c r="B162" s="249"/>
      <c r="C162" s="405"/>
      <c r="D162" s="260"/>
      <c r="E162" s="260"/>
      <c r="F162" s="260"/>
      <c r="G162" s="260"/>
      <c r="H162" s="260"/>
      <c r="I162" s="260"/>
      <c r="J162" s="260"/>
      <c r="K162" s="260"/>
      <c r="L162" s="260"/>
      <c r="M162" s="323"/>
      <c r="N162" s="406"/>
      <c r="O162" s="236">
        <f t="shared" si="35"/>
        <v>0</v>
      </c>
      <c r="Q162" s="16"/>
      <c r="R162" s="2"/>
      <c r="S162" s="2"/>
    </row>
    <row r="163" spans="1:19" ht="12.75" customHeight="1" outlineLevel="2" x14ac:dyDescent="0.25">
      <c r="A163" s="258" t="s">
        <v>345</v>
      </c>
      <c r="B163" s="249"/>
      <c r="C163" s="405"/>
      <c r="D163" s="260"/>
      <c r="E163" s="260"/>
      <c r="F163" s="260"/>
      <c r="G163" s="260"/>
      <c r="H163" s="260"/>
      <c r="I163" s="260"/>
      <c r="J163" s="261"/>
      <c r="K163" s="260"/>
      <c r="L163" s="260"/>
      <c r="M163" s="323"/>
      <c r="N163" s="406"/>
      <c r="O163" s="236">
        <f t="shared" si="35"/>
        <v>0</v>
      </c>
      <c r="Q163" s="16"/>
      <c r="R163" s="2"/>
      <c r="S163" s="2"/>
    </row>
    <row r="164" spans="1:19" ht="12.75" customHeight="1" outlineLevel="2" x14ac:dyDescent="0.25">
      <c r="A164" s="258" t="s">
        <v>346</v>
      </c>
      <c r="B164" s="249"/>
      <c r="C164" s="405"/>
      <c r="D164" s="260"/>
      <c r="E164" s="260"/>
      <c r="F164" s="260"/>
      <c r="G164" s="260"/>
      <c r="H164" s="260"/>
      <c r="I164" s="260"/>
      <c r="J164" s="261"/>
      <c r="K164" s="260"/>
      <c r="L164" s="260"/>
      <c r="M164" s="323"/>
      <c r="N164" s="323"/>
      <c r="O164" s="236">
        <f t="shared" si="35"/>
        <v>0</v>
      </c>
      <c r="Q164" s="16"/>
      <c r="R164" s="2"/>
      <c r="S164" s="2"/>
    </row>
    <row r="165" spans="1:19" outlineLevel="2" x14ac:dyDescent="0.25">
      <c r="A165" s="258" t="s">
        <v>347</v>
      </c>
      <c r="B165" s="249"/>
      <c r="C165" s="405"/>
      <c r="D165" s="260"/>
      <c r="E165" s="260"/>
      <c r="F165" s="260"/>
      <c r="G165" s="260"/>
      <c r="H165" s="260"/>
      <c r="I165" s="260"/>
      <c r="J165" s="261"/>
      <c r="K165" s="260"/>
      <c r="L165" s="260"/>
      <c r="M165" s="323"/>
      <c r="N165" s="406"/>
      <c r="O165" s="236"/>
      <c r="Q165" s="16"/>
      <c r="R165" s="2"/>
      <c r="S165" s="2"/>
    </row>
    <row r="166" spans="1:19" outlineLevel="2" x14ac:dyDescent="0.25">
      <c r="A166" s="258" t="s">
        <v>348</v>
      </c>
      <c r="B166" s="249"/>
      <c r="C166" s="405"/>
      <c r="D166" s="260"/>
      <c r="E166" s="260"/>
      <c r="F166" s="260"/>
      <c r="G166" s="260"/>
      <c r="H166" s="260"/>
      <c r="I166" s="260"/>
      <c r="J166" s="261"/>
      <c r="K166" s="260"/>
      <c r="L166" s="260"/>
      <c r="M166" s="323"/>
      <c r="N166" s="406"/>
      <c r="O166" s="236"/>
      <c r="Q166" s="16"/>
      <c r="R166" s="2"/>
      <c r="S166" s="2"/>
    </row>
    <row r="167" spans="1:19" s="6" customFormat="1" x14ac:dyDescent="0.25">
      <c r="A167" s="223" t="s">
        <v>349</v>
      </c>
      <c r="B167" s="253"/>
      <c r="C167" s="254">
        <f t="shared" ref="C167:N167" si="36">SUM(C168,C177)</f>
        <v>0</v>
      </c>
      <c r="D167" s="255">
        <f t="shared" si="36"/>
        <v>0</v>
      </c>
      <c r="E167" s="255">
        <f t="shared" si="36"/>
        <v>0</v>
      </c>
      <c r="F167" s="255">
        <f t="shared" si="36"/>
        <v>0</v>
      </c>
      <c r="G167" s="255">
        <f t="shared" si="36"/>
        <v>0</v>
      </c>
      <c r="H167" s="255">
        <f t="shared" si="36"/>
        <v>0</v>
      </c>
      <c r="I167" s="255">
        <f t="shared" si="36"/>
        <v>0</v>
      </c>
      <c r="J167" s="255">
        <f t="shared" si="36"/>
        <v>0</v>
      </c>
      <c r="K167" s="255">
        <f t="shared" si="36"/>
        <v>0</v>
      </c>
      <c r="L167" s="255">
        <f t="shared" si="36"/>
        <v>0</v>
      </c>
      <c r="M167" s="255">
        <f t="shared" si="36"/>
        <v>0</v>
      </c>
      <c r="N167" s="256">
        <f t="shared" si="36"/>
        <v>0</v>
      </c>
      <c r="O167" s="257">
        <f t="shared" ref="O167:O182" si="37">SUM(C167:N167)</f>
        <v>0</v>
      </c>
      <c r="Q167" s="18"/>
      <c r="R167" s="19"/>
      <c r="S167" s="19"/>
    </row>
    <row r="168" spans="1:19" outlineLevel="1" x14ac:dyDescent="0.25">
      <c r="A168" s="265" t="s">
        <v>351</v>
      </c>
      <c r="B168" s="266"/>
      <c r="C168" s="267">
        <f t="shared" ref="C168:N168" si="38">SUM(C169:C176)</f>
        <v>0</v>
      </c>
      <c r="D168" s="268">
        <f t="shared" si="38"/>
        <v>0</v>
      </c>
      <c r="E168" s="268">
        <f t="shared" si="38"/>
        <v>0</v>
      </c>
      <c r="F168" s="268">
        <f t="shared" si="38"/>
        <v>0</v>
      </c>
      <c r="G168" s="268">
        <f t="shared" si="38"/>
        <v>0</v>
      </c>
      <c r="H168" s="268">
        <f t="shared" si="38"/>
        <v>0</v>
      </c>
      <c r="I168" s="268">
        <f t="shared" si="38"/>
        <v>0</v>
      </c>
      <c r="J168" s="268">
        <f t="shared" si="38"/>
        <v>0</v>
      </c>
      <c r="K168" s="268">
        <f t="shared" si="38"/>
        <v>0</v>
      </c>
      <c r="L168" s="268">
        <f t="shared" si="38"/>
        <v>0</v>
      </c>
      <c r="M168" s="268">
        <f t="shared" si="38"/>
        <v>0</v>
      </c>
      <c r="N168" s="269">
        <f t="shared" si="38"/>
        <v>0</v>
      </c>
      <c r="O168" s="270">
        <f>SUM(C168:N168)</f>
        <v>0</v>
      </c>
      <c r="Q168" s="16"/>
      <c r="R168" s="2"/>
      <c r="S168" s="2"/>
    </row>
    <row r="169" spans="1:19" outlineLevel="2" x14ac:dyDescent="0.25">
      <c r="A169" s="258" t="s">
        <v>353</v>
      </c>
      <c r="B169" s="249"/>
      <c r="C169" s="404"/>
      <c r="D169" s="404"/>
      <c r="E169" s="404"/>
      <c r="F169" s="260"/>
      <c r="G169" s="260"/>
      <c r="H169" s="260"/>
      <c r="I169" s="260"/>
      <c r="J169" s="261"/>
      <c r="K169" s="260"/>
      <c r="L169" s="260"/>
      <c r="M169" s="323"/>
      <c r="N169" s="260"/>
      <c r="O169" s="236">
        <f t="shared" si="37"/>
        <v>0</v>
      </c>
      <c r="Q169" s="16"/>
      <c r="R169" s="2"/>
      <c r="S169" s="2"/>
    </row>
    <row r="170" spans="1:19" outlineLevel="2" x14ac:dyDescent="0.25">
      <c r="A170" s="258" t="s">
        <v>355</v>
      </c>
      <c r="B170" s="249"/>
      <c r="C170" s="404"/>
      <c r="D170" s="260"/>
      <c r="E170" s="260"/>
      <c r="F170" s="260"/>
      <c r="G170" s="260"/>
      <c r="H170" s="260"/>
      <c r="I170" s="260"/>
      <c r="J170" s="261"/>
      <c r="K170" s="260"/>
      <c r="L170" s="260"/>
      <c r="M170" s="323"/>
      <c r="N170" s="260"/>
      <c r="O170" s="236">
        <f t="shared" si="37"/>
        <v>0</v>
      </c>
      <c r="Q170" s="16"/>
      <c r="R170" s="2"/>
      <c r="S170" s="2"/>
    </row>
    <row r="171" spans="1:19" outlineLevel="2" x14ac:dyDescent="0.25">
      <c r="A171" s="258" t="s">
        <v>357</v>
      </c>
      <c r="B171" s="249"/>
      <c r="C171" s="404"/>
      <c r="D171" s="260"/>
      <c r="E171" s="260"/>
      <c r="F171" s="260"/>
      <c r="G171" s="260"/>
      <c r="H171" s="260"/>
      <c r="I171" s="260"/>
      <c r="J171" s="261"/>
      <c r="K171" s="260"/>
      <c r="L171" s="260"/>
      <c r="M171" s="323"/>
      <c r="N171" s="260"/>
      <c r="O171" s="236">
        <f t="shared" si="37"/>
        <v>0</v>
      </c>
      <c r="Q171" s="16"/>
      <c r="R171" s="2"/>
      <c r="S171" s="2"/>
    </row>
    <row r="172" spans="1:19" outlineLevel="2" x14ac:dyDescent="0.25">
      <c r="A172" s="258" t="s">
        <v>359</v>
      </c>
      <c r="B172" s="249"/>
      <c r="C172" s="404"/>
      <c r="D172" s="260"/>
      <c r="E172" s="260"/>
      <c r="F172" s="260"/>
      <c r="G172" s="260"/>
      <c r="H172" s="260"/>
      <c r="I172" s="260"/>
      <c r="J172" s="261"/>
      <c r="K172" s="260"/>
      <c r="L172" s="260"/>
      <c r="M172" s="323"/>
      <c r="N172" s="260"/>
      <c r="O172" s="236">
        <f t="shared" si="37"/>
        <v>0</v>
      </c>
      <c r="Q172" s="16"/>
      <c r="R172" s="2"/>
      <c r="S172" s="2"/>
    </row>
    <row r="173" spans="1:19" outlineLevel="2" x14ac:dyDescent="0.25">
      <c r="A173" s="258" t="s">
        <v>361</v>
      </c>
      <c r="B173" s="249"/>
      <c r="C173" s="404"/>
      <c r="D173" s="260"/>
      <c r="E173" s="260"/>
      <c r="F173" s="260"/>
      <c r="G173" s="260"/>
      <c r="H173" s="260"/>
      <c r="I173" s="260"/>
      <c r="J173" s="261"/>
      <c r="K173" s="260"/>
      <c r="L173" s="260"/>
      <c r="M173" s="323"/>
      <c r="N173" s="260"/>
      <c r="O173" s="236">
        <f t="shared" si="37"/>
        <v>0</v>
      </c>
      <c r="Q173" s="16"/>
      <c r="R173" s="2"/>
      <c r="S173" s="2"/>
    </row>
    <row r="174" spans="1:19" outlineLevel="2" x14ac:dyDescent="0.25">
      <c r="A174" s="258" t="s">
        <v>362</v>
      </c>
      <c r="B174" s="249"/>
      <c r="C174" s="404"/>
      <c r="D174" s="260"/>
      <c r="E174" s="260"/>
      <c r="F174" s="260"/>
      <c r="G174" s="260"/>
      <c r="H174" s="260"/>
      <c r="I174" s="260"/>
      <c r="J174" s="261"/>
      <c r="K174" s="260"/>
      <c r="L174" s="260"/>
      <c r="M174" s="323"/>
      <c r="N174" s="260"/>
      <c r="O174" s="236">
        <f t="shared" si="37"/>
        <v>0</v>
      </c>
      <c r="Q174" s="16"/>
      <c r="R174" s="2"/>
      <c r="S174" s="2"/>
    </row>
    <row r="175" spans="1:19" outlineLevel="2" x14ac:dyDescent="0.25">
      <c r="A175" s="258" t="s">
        <v>363</v>
      </c>
      <c r="B175" s="249"/>
      <c r="C175" s="404"/>
      <c r="D175" s="260"/>
      <c r="E175" s="260"/>
      <c r="F175" s="260"/>
      <c r="G175" s="260"/>
      <c r="H175" s="260"/>
      <c r="I175" s="260"/>
      <c r="J175" s="261"/>
      <c r="K175" s="260"/>
      <c r="L175" s="260"/>
      <c r="M175" s="323"/>
      <c r="N175" s="260"/>
      <c r="O175" s="236">
        <f t="shared" si="37"/>
        <v>0</v>
      </c>
      <c r="Q175" s="16"/>
      <c r="R175" s="2"/>
      <c r="S175" s="2"/>
    </row>
    <row r="176" spans="1:19" outlineLevel="2" x14ac:dyDescent="0.25">
      <c r="A176" s="258" t="s">
        <v>365</v>
      </c>
      <c r="B176" s="249"/>
      <c r="C176" s="404"/>
      <c r="D176" s="260"/>
      <c r="E176" s="260"/>
      <c r="F176" s="260"/>
      <c r="G176" s="260"/>
      <c r="H176" s="260"/>
      <c r="I176" s="260"/>
      <c r="J176" s="261"/>
      <c r="K176" s="260"/>
      <c r="L176" s="260"/>
      <c r="M176" s="323"/>
      <c r="N176" s="260"/>
      <c r="O176" s="236">
        <f t="shared" si="37"/>
        <v>0</v>
      </c>
      <c r="Q176" s="16"/>
      <c r="R176" s="2"/>
      <c r="S176" s="2"/>
    </row>
    <row r="177" spans="1:19" outlineLevel="1" x14ac:dyDescent="0.25">
      <c r="A177" s="265" t="s">
        <v>367</v>
      </c>
      <c r="B177" s="266"/>
      <c r="C177" s="267">
        <f t="shared" ref="C177:N177" si="39">SUM(C178:C182)</f>
        <v>0</v>
      </c>
      <c r="D177" s="268">
        <f t="shared" si="39"/>
        <v>0</v>
      </c>
      <c r="E177" s="268">
        <f t="shared" si="39"/>
        <v>0</v>
      </c>
      <c r="F177" s="268">
        <f t="shared" si="39"/>
        <v>0</v>
      </c>
      <c r="G177" s="268">
        <f t="shared" si="39"/>
        <v>0</v>
      </c>
      <c r="H177" s="268">
        <f t="shared" si="39"/>
        <v>0</v>
      </c>
      <c r="I177" s="268">
        <f t="shared" si="39"/>
        <v>0</v>
      </c>
      <c r="J177" s="268">
        <f t="shared" si="39"/>
        <v>0</v>
      </c>
      <c r="K177" s="268">
        <f t="shared" si="39"/>
        <v>0</v>
      </c>
      <c r="L177" s="268">
        <f t="shared" si="39"/>
        <v>0</v>
      </c>
      <c r="M177" s="268">
        <f t="shared" si="39"/>
        <v>0</v>
      </c>
      <c r="N177" s="269">
        <f t="shared" si="39"/>
        <v>0</v>
      </c>
      <c r="O177" s="270">
        <f t="shared" si="37"/>
        <v>0</v>
      </c>
      <c r="Q177" s="16"/>
      <c r="R177" s="2"/>
      <c r="S177" s="2"/>
    </row>
    <row r="178" spans="1:19" outlineLevel="2" x14ac:dyDescent="0.25">
      <c r="A178" s="258" t="s">
        <v>369</v>
      </c>
      <c r="B178" s="249"/>
      <c r="C178" s="234"/>
      <c r="D178" s="259"/>
      <c r="E178" s="260"/>
      <c r="F178" s="260"/>
      <c r="G178" s="260"/>
      <c r="H178" s="260"/>
      <c r="I178" s="260"/>
      <c r="J178" s="261"/>
      <c r="K178" s="259"/>
      <c r="L178" s="260"/>
      <c r="M178" s="239"/>
      <c r="N178" s="259"/>
      <c r="O178" s="236">
        <f t="shared" si="37"/>
        <v>0</v>
      </c>
      <c r="Q178" s="16"/>
      <c r="R178" s="2"/>
      <c r="S178" s="2"/>
    </row>
    <row r="179" spans="1:19" outlineLevel="2" x14ac:dyDescent="0.25">
      <c r="A179" s="258" t="s">
        <v>371</v>
      </c>
      <c r="B179" s="249"/>
      <c r="C179" s="234"/>
      <c r="D179" s="259"/>
      <c r="E179" s="260"/>
      <c r="F179" s="260"/>
      <c r="G179" s="260"/>
      <c r="H179" s="260"/>
      <c r="I179" s="260"/>
      <c r="J179" s="261"/>
      <c r="K179" s="259"/>
      <c r="L179" s="260"/>
      <c r="M179" s="239"/>
      <c r="N179" s="259"/>
      <c r="O179" s="236">
        <f t="shared" si="37"/>
        <v>0</v>
      </c>
      <c r="Q179" s="16"/>
      <c r="R179" s="2"/>
      <c r="S179" s="2"/>
    </row>
    <row r="180" spans="1:19" outlineLevel="2" x14ac:dyDescent="0.25">
      <c r="A180" s="258" t="s">
        <v>373</v>
      </c>
      <c r="B180" s="249"/>
      <c r="C180" s="234"/>
      <c r="D180" s="259"/>
      <c r="E180" s="260"/>
      <c r="F180" s="260"/>
      <c r="G180" s="260"/>
      <c r="H180" s="260"/>
      <c r="I180" s="260"/>
      <c r="J180" s="261"/>
      <c r="K180" s="259"/>
      <c r="L180" s="260"/>
      <c r="M180" s="239"/>
      <c r="N180" s="259"/>
      <c r="O180" s="236">
        <f t="shared" si="37"/>
        <v>0</v>
      </c>
      <c r="Q180" s="16"/>
      <c r="R180" s="2"/>
      <c r="S180" s="2"/>
    </row>
    <row r="181" spans="1:19" outlineLevel="2" x14ac:dyDescent="0.25">
      <c r="A181" s="258" t="s">
        <v>375</v>
      </c>
      <c r="B181" s="249"/>
      <c r="C181" s="234"/>
      <c r="D181" s="259"/>
      <c r="E181" s="260"/>
      <c r="F181" s="260"/>
      <c r="G181" s="260"/>
      <c r="H181" s="260"/>
      <c r="I181" s="260"/>
      <c r="J181" s="261"/>
      <c r="K181" s="259"/>
      <c r="L181" s="260"/>
      <c r="M181" s="239"/>
      <c r="N181" s="259"/>
      <c r="O181" s="236">
        <f t="shared" si="37"/>
        <v>0</v>
      </c>
      <c r="Q181" s="16"/>
      <c r="R181" s="2"/>
      <c r="S181" s="2"/>
    </row>
    <row r="182" spans="1:19" outlineLevel="2" x14ac:dyDescent="0.25">
      <c r="A182" s="258" t="s">
        <v>377</v>
      </c>
      <c r="B182" s="249"/>
      <c r="C182" s="234"/>
      <c r="D182" s="259"/>
      <c r="E182" s="260"/>
      <c r="F182" s="260"/>
      <c r="G182" s="260"/>
      <c r="H182" s="260"/>
      <c r="I182" s="260"/>
      <c r="J182" s="261"/>
      <c r="K182" s="259"/>
      <c r="L182" s="260"/>
      <c r="M182" s="239"/>
      <c r="N182" s="259"/>
      <c r="O182" s="236">
        <f t="shared" si="37"/>
        <v>0</v>
      </c>
      <c r="Q182" s="16"/>
      <c r="R182" s="2"/>
      <c r="S182" s="2"/>
    </row>
    <row r="183" spans="1:19" s="6" customFormat="1" x14ac:dyDescent="0.25">
      <c r="A183" s="223" t="s">
        <v>379</v>
      </c>
      <c r="B183" s="253"/>
      <c r="C183" s="254">
        <f t="shared" ref="C183:N183" si="40">SUM(C184,C191)</f>
        <v>0</v>
      </c>
      <c r="D183" s="255">
        <f t="shared" si="40"/>
        <v>0</v>
      </c>
      <c r="E183" s="255">
        <f t="shared" si="40"/>
        <v>0</v>
      </c>
      <c r="F183" s="255">
        <f t="shared" si="40"/>
        <v>0</v>
      </c>
      <c r="G183" s="255">
        <f t="shared" si="40"/>
        <v>0</v>
      </c>
      <c r="H183" s="255">
        <f t="shared" si="40"/>
        <v>0</v>
      </c>
      <c r="I183" s="255">
        <f t="shared" si="40"/>
        <v>0</v>
      </c>
      <c r="J183" s="255">
        <f t="shared" si="40"/>
        <v>0</v>
      </c>
      <c r="K183" s="255">
        <f t="shared" si="40"/>
        <v>0</v>
      </c>
      <c r="L183" s="255">
        <f t="shared" si="40"/>
        <v>0</v>
      </c>
      <c r="M183" s="255">
        <f t="shared" si="40"/>
        <v>0</v>
      </c>
      <c r="N183" s="256">
        <f t="shared" si="40"/>
        <v>0</v>
      </c>
      <c r="O183" s="257">
        <f t="shared" ref="O183:O236" si="41">SUM(C183:N183)</f>
        <v>0</v>
      </c>
      <c r="Q183" s="76"/>
      <c r="R183" s="19"/>
      <c r="S183" s="19"/>
    </row>
    <row r="184" spans="1:19" outlineLevel="1" x14ac:dyDescent="0.25">
      <c r="A184" s="265" t="s">
        <v>381</v>
      </c>
      <c r="B184" s="266"/>
      <c r="C184" s="267">
        <f t="shared" ref="C184:N184" si="42">SUM(C185:C190)</f>
        <v>0</v>
      </c>
      <c r="D184" s="268">
        <f t="shared" si="42"/>
        <v>0</v>
      </c>
      <c r="E184" s="268">
        <f t="shared" si="42"/>
        <v>0</v>
      </c>
      <c r="F184" s="268">
        <f t="shared" si="42"/>
        <v>0</v>
      </c>
      <c r="G184" s="268">
        <f t="shared" si="42"/>
        <v>0</v>
      </c>
      <c r="H184" s="268">
        <f t="shared" si="42"/>
        <v>0</v>
      </c>
      <c r="I184" s="268">
        <f t="shared" si="42"/>
        <v>0</v>
      </c>
      <c r="J184" s="268">
        <f t="shared" si="42"/>
        <v>0</v>
      </c>
      <c r="K184" s="268">
        <f t="shared" si="42"/>
        <v>0</v>
      </c>
      <c r="L184" s="268">
        <f t="shared" si="42"/>
        <v>0</v>
      </c>
      <c r="M184" s="268">
        <f t="shared" si="42"/>
        <v>0</v>
      </c>
      <c r="N184" s="269">
        <f t="shared" si="42"/>
        <v>0</v>
      </c>
      <c r="O184" s="270">
        <f t="shared" si="41"/>
        <v>0</v>
      </c>
      <c r="Q184" s="16"/>
      <c r="R184" s="2"/>
      <c r="S184" s="2"/>
    </row>
    <row r="185" spans="1:19" outlineLevel="2" x14ac:dyDescent="0.25">
      <c r="A185" s="258" t="s">
        <v>383</v>
      </c>
      <c r="B185" s="249"/>
      <c r="C185" s="234"/>
      <c r="D185" s="259"/>
      <c r="E185" s="260"/>
      <c r="F185" s="260"/>
      <c r="G185" s="260"/>
      <c r="H185" s="260"/>
      <c r="I185" s="260"/>
      <c r="J185" s="261"/>
      <c r="K185" s="259"/>
      <c r="L185" s="260"/>
      <c r="M185" s="239"/>
      <c r="N185" s="259"/>
      <c r="O185" s="236">
        <f t="shared" ref="O185:O198" si="43">SUM(C185:N185)</f>
        <v>0</v>
      </c>
      <c r="Q185" s="16"/>
      <c r="R185" s="2"/>
      <c r="S185" s="2"/>
    </row>
    <row r="186" spans="1:19" outlineLevel="2" x14ac:dyDescent="0.25">
      <c r="A186" s="258" t="s">
        <v>385</v>
      </c>
      <c r="B186" s="249"/>
      <c r="C186" s="234"/>
      <c r="D186" s="259"/>
      <c r="E186" s="260"/>
      <c r="F186" s="260"/>
      <c r="G186" s="260"/>
      <c r="H186" s="260"/>
      <c r="I186" s="260"/>
      <c r="J186" s="261"/>
      <c r="K186" s="259"/>
      <c r="L186" s="260"/>
      <c r="M186" s="239"/>
      <c r="N186" s="259"/>
      <c r="O186" s="236">
        <f t="shared" si="43"/>
        <v>0</v>
      </c>
      <c r="Q186" s="16"/>
      <c r="R186" s="2"/>
      <c r="S186" s="2"/>
    </row>
    <row r="187" spans="1:19" outlineLevel="2" x14ac:dyDescent="0.25">
      <c r="A187" s="258" t="s">
        <v>387</v>
      </c>
      <c r="B187" s="249"/>
      <c r="C187" s="234"/>
      <c r="D187" s="259"/>
      <c r="E187" s="260"/>
      <c r="F187" s="260"/>
      <c r="G187" s="260"/>
      <c r="H187" s="260"/>
      <c r="I187" s="260"/>
      <c r="J187" s="261"/>
      <c r="K187" s="259"/>
      <c r="L187" s="260"/>
      <c r="M187" s="239"/>
      <c r="N187" s="259"/>
      <c r="O187" s="236">
        <f t="shared" si="43"/>
        <v>0</v>
      </c>
      <c r="Q187" s="16"/>
      <c r="R187" s="2"/>
      <c r="S187" s="2"/>
    </row>
    <row r="188" spans="1:19" outlineLevel="2" x14ac:dyDescent="0.25">
      <c r="A188" s="258" t="s">
        <v>389</v>
      </c>
      <c r="B188" s="249"/>
      <c r="C188" s="234"/>
      <c r="D188" s="259"/>
      <c r="E188" s="260"/>
      <c r="F188" s="260"/>
      <c r="G188" s="260"/>
      <c r="H188" s="260"/>
      <c r="I188" s="260"/>
      <c r="J188" s="261"/>
      <c r="K188" s="259"/>
      <c r="L188" s="260"/>
      <c r="M188" s="239"/>
      <c r="N188" s="259"/>
      <c r="O188" s="236">
        <f t="shared" si="43"/>
        <v>0</v>
      </c>
      <c r="Q188" s="16"/>
      <c r="R188" s="2"/>
      <c r="S188" s="2"/>
    </row>
    <row r="189" spans="1:19" outlineLevel="2" x14ac:dyDescent="0.25">
      <c r="A189" s="258" t="s">
        <v>391</v>
      </c>
      <c r="B189" s="249"/>
      <c r="C189" s="234"/>
      <c r="D189" s="259"/>
      <c r="E189" s="260"/>
      <c r="F189" s="260"/>
      <c r="G189" s="260"/>
      <c r="H189" s="260"/>
      <c r="I189" s="260"/>
      <c r="J189" s="261"/>
      <c r="K189" s="259"/>
      <c r="L189" s="260"/>
      <c r="M189" s="239"/>
      <c r="N189" s="259"/>
      <c r="O189" s="236">
        <f t="shared" si="43"/>
        <v>0</v>
      </c>
      <c r="Q189" s="16"/>
      <c r="R189" s="2"/>
      <c r="S189" s="2"/>
    </row>
    <row r="190" spans="1:19" outlineLevel="2" x14ac:dyDescent="0.25">
      <c r="A190" s="258" t="s">
        <v>393</v>
      </c>
      <c r="B190" s="249"/>
      <c r="C190" s="234"/>
      <c r="D190" s="259"/>
      <c r="E190" s="260"/>
      <c r="F190" s="260"/>
      <c r="G190" s="260"/>
      <c r="H190" s="260"/>
      <c r="I190" s="260"/>
      <c r="J190" s="261"/>
      <c r="K190" s="259"/>
      <c r="L190" s="260"/>
      <c r="M190" s="239"/>
      <c r="N190" s="259"/>
      <c r="O190" s="236">
        <f t="shared" si="43"/>
        <v>0</v>
      </c>
      <c r="Q190" s="16"/>
      <c r="R190" s="2"/>
      <c r="S190" s="2"/>
    </row>
    <row r="191" spans="1:19" outlineLevel="1" x14ac:dyDescent="0.25">
      <c r="A191" s="265" t="s">
        <v>395</v>
      </c>
      <c r="B191" s="266"/>
      <c r="C191" s="267">
        <f t="shared" ref="C191:N191" si="44">SUM(C192:C198)</f>
        <v>0</v>
      </c>
      <c r="D191" s="268">
        <f t="shared" si="44"/>
        <v>0</v>
      </c>
      <c r="E191" s="268">
        <f t="shared" si="44"/>
        <v>0</v>
      </c>
      <c r="F191" s="268">
        <f t="shared" si="44"/>
        <v>0</v>
      </c>
      <c r="G191" s="268">
        <f t="shared" si="44"/>
        <v>0</v>
      </c>
      <c r="H191" s="268">
        <f t="shared" si="44"/>
        <v>0</v>
      </c>
      <c r="I191" s="268">
        <f t="shared" si="44"/>
        <v>0</v>
      </c>
      <c r="J191" s="268">
        <f t="shared" si="44"/>
        <v>0</v>
      </c>
      <c r="K191" s="268">
        <f t="shared" si="44"/>
        <v>0</v>
      </c>
      <c r="L191" s="268">
        <f t="shared" si="44"/>
        <v>0</v>
      </c>
      <c r="M191" s="268">
        <f t="shared" si="44"/>
        <v>0</v>
      </c>
      <c r="N191" s="269">
        <f t="shared" si="44"/>
        <v>0</v>
      </c>
      <c r="O191" s="236">
        <f t="shared" si="43"/>
        <v>0</v>
      </c>
      <c r="Q191" s="16"/>
      <c r="R191" s="2"/>
      <c r="S191" s="2"/>
    </row>
    <row r="192" spans="1:19" outlineLevel="2" x14ac:dyDescent="0.25">
      <c r="A192" s="258" t="s">
        <v>397</v>
      </c>
      <c r="B192" s="249"/>
      <c r="C192" s="234"/>
      <c r="D192" s="259"/>
      <c r="E192" s="260"/>
      <c r="F192" s="260"/>
      <c r="G192" s="260"/>
      <c r="H192" s="260"/>
      <c r="I192" s="260"/>
      <c r="J192" s="261"/>
      <c r="K192" s="259"/>
      <c r="L192" s="260"/>
      <c r="M192" s="239"/>
      <c r="N192" s="259"/>
      <c r="O192" s="236">
        <f t="shared" si="43"/>
        <v>0</v>
      </c>
      <c r="Q192" s="16"/>
      <c r="R192" s="2"/>
      <c r="S192" s="2"/>
    </row>
    <row r="193" spans="1:19" outlineLevel="2" x14ac:dyDescent="0.25">
      <c r="A193" s="258" t="s">
        <v>398</v>
      </c>
      <c r="B193" s="249"/>
      <c r="C193" s="234"/>
      <c r="D193" s="259"/>
      <c r="E193" s="260"/>
      <c r="F193" s="260"/>
      <c r="G193" s="260"/>
      <c r="H193" s="260"/>
      <c r="I193" s="260"/>
      <c r="J193" s="261"/>
      <c r="K193" s="259"/>
      <c r="L193" s="260"/>
      <c r="M193" s="239"/>
      <c r="N193" s="259"/>
      <c r="O193" s="236">
        <f t="shared" si="43"/>
        <v>0</v>
      </c>
      <c r="Q193" s="16"/>
      <c r="R193" s="2"/>
      <c r="S193" s="2"/>
    </row>
    <row r="194" spans="1:19" outlineLevel="2" x14ac:dyDescent="0.25">
      <c r="A194" s="258" t="s">
        <v>399</v>
      </c>
      <c r="B194" s="249"/>
      <c r="C194" s="234"/>
      <c r="D194" s="259"/>
      <c r="E194" s="260"/>
      <c r="F194" s="260"/>
      <c r="G194" s="260"/>
      <c r="H194" s="260"/>
      <c r="I194" s="260"/>
      <c r="J194" s="261"/>
      <c r="K194" s="259"/>
      <c r="L194" s="260"/>
      <c r="M194" s="239"/>
      <c r="N194" s="259"/>
      <c r="O194" s="236">
        <f t="shared" si="43"/>
        <v>0</v>
      </c>
      <c r="Q194" s="16"/>
      <c r="R194" s="2"/>
      <c r="S194" s="2"/>
    </row>
    <row r="195" spans="1:19" outlineLevel="2" x14ac:dyDescent="0.25">
      <c r="A195" s="258" t="s">
        <v>400</v>
      </c>
      <c r="B195" s="249"/>
      <c r="C195" s="234"/>
      <c r="D195" s="259"/>
      <c r="E195" s="260"/>
      <c r="F195" s="260"/>
      <c r="G195" s="260"/>
      <c r="H195" s="260"/>
      <c r="I195" s="260"/>
      <c r="J195" s="261"/>
      <c r="K195" s="259"/>
      <c r="L195" s="260"/>
      <c r="M195" s="239"/>
      <c r="N195" s="259"/>
      <c r="O195" s="236">
        <f t="shared" si="43"/>
        <v>0</v>
      </c>
      <c r="Q195" s="16"/>
      <c r="R195" s="2"/>
      <c r="S195" s="2"/>
    </row>
    <row r="196" spans="1:19" outlineLevel="2" x14ac:dyDescent="0.25">
      <c r="A196" s="258" t="s">
        <v>401</v>
      </c>
      <c r="B196" s="249"/>
      <c r="C196" s="234"/>
      <c r="D196" s="259"/>
      <c r="E196" s="260"/>
      <c r="F196" s="260"/>
      <c r="G196" s="260"/>
      <c r="H196" s="260"/>
      <c r="I196" s="260"/>
      <c r="J196" s="261"/>
      <c r="K196" s="259"/>
      <c r="L196" s="260"/>
      <c r="M196" s="239"/>
      <c r="N196" s="259"/>
      <c r="O196" s="236">
        <f t="shared" si="43"/>
        <v>0</v>
      </c>
      <c r="Q196" s="16"/>
      <c r="R196" s="2"/>
      <c r="S196" s="2"/>
    </row>
    <row r="197" spans="1:19" outlineLevel="2" x14ac:dyDescent="0.25">
      <c r="A197" s="258" t="s">
        <v>403</v>
      </c>
      <c r="B197" s="249"/>
      <c r="C197" s="234"/>
      <c r="D197" s="259"/>
      <c r="E197" s="260"/>
      <c r="F197" s="260"/>
      <c r="G197" s="260"/>
      <c r="H197" s="260"/>
      <c r="I197" s="260"/>
      <c r="J197" s="261"/>
      <c r="K197" s="259"/>
      <c r="L197" s="260"/>
      <c r="M197" s="239"/>
      <c r="N197" s="259"/>
      <c r="O197" s="236">
        <f t="shared" si="43"/>
        <v>0</v>
      </c>
      <c r="Q197" s="16"/>
      <c r="R197" s="2"/>
      <c r="S197" s="2"/>
    </row>
    <row r="198" spans="1:19" outlineLevel="2" x14ac:dyDescent="0.25">
      <c r="A198" s="258" t="s">
        <v>405</v>
      </c>
      <c r="B198" s="249"/>
      <c r="C198" s="234"/>
      <c r="D198" s="259"/>
      <c r="E198" s="260"/>
      <c r="F198" s="260"/>
      <c r="G198" s="260"/>
      <c r="H198" s="260"/>
      <c r="I198" s="260"/>
      <c r="J198" s="261"/>
      <c r="K198" s="259"/>
      <c r="L198" s="260"/>
      <c r="M198" s="239"/>
      <c r="N198" s="259"/>
      <c r="O198" s="236">
        <f t="shared" si="43"/>
        <v>0</v>
      </c>
      <c r="Q198" s="16"/>
      <c r="R198" s="2"/>
      <c r="S198" s="2"/>
    </row>
    <row r="199" spans="1:19" s="6" customFormat="1" x14ac:dyDescent="0.25">
      <c r="A199" s="223" t="s">
        <v>407</v>
      </c>
      <c r="B199" s="253"/>
      <c r="C199" s="254">
        <f t="shared" ref="C199:N199" si="45">SUM(C200,C210,C215,C217)</f>
        <v>0</v>
      </c>
      <c r="D199" s="255">
        <f t="shared" si="45"/>
        <v>0</v>
      </c>
      <c r="E199" s="255">
        <f t="shared" si="45"/>
        <v>0</v>
      </c>
      <c r="F199" s="255">
        <f t="shared" si="45"/>
        <v>0</v>
      </c>
      <c r="G199" s="255">
        <f t="shared" si="45"/>
        <v>0</v>
      </c>
      <c r="H199" s="255">
        <f t="shared" si="45"/>
        <v>0</v>
      </c>
      <c r="I199" s="255">
        <f t="shared" si="45"/>
        <v>0</v>
      </c>
      <c r="J199" s="255">
        <f t="shared" si="45"/>
        <v>0</v>
      </c>
      <c r="K199" s="255">
        <f t="shared" si="45"/>
        <v>0</v>
      </c>
      <c r="L199" s="255">
        <f t="shared" si="45"/>
        <v>0</v>
      </c>
      <c r="M199" s="255">
        <f t="shared" si="45"/>
        <v>0</v>
      </c>
      <c r="N199" s="256">
        <f t="shared" si="45"/>
        <v>0</v>
      </c>
      <c r="O199" s="257">
        <f t="shared" si="41"/>
        <v>0</v>
      </c>
      <c r="Q199" s="18"/>
      <c r="R199" s="19"/>
      <c r="S199" s="19"/>
    </row>
    <row r="200" spans="1:19" outlineLevel="1" x14ac:dyDescent="0.25">
      <c r="A200" s="265" t="s">
        <v>409</v>
      </c>
      <c r="B200" s="266"/>
      <c r="C200" s="267">
        <f>SUM(C201:C209)</f>
        <v>0</v>
      </c>
      <c r="D200" s="268">
        <f t="shared" ref="D200:N200" si="46">SUM(D201:D209)</f>
        <v>0</v>
      </c>
      <c r="E200" s="268">
        <f t="shared" si="46"/>
        <v>0</v>
      </c>
      <c r="F200" s="268">
        <f t="shared" si="46"/>
        <v>0</v>
      </c>
      <c r="G200" s="268">
        <f t="shared" si="46"/>
        <v>0</v>
      </c>
      <c r="H200" s="268">
        <f t="shared" si="46"/>
        <v>0</v>
      </c>
      <c r="I200" s="268">
        <f t="shared" si="46"/>
        <v>0</v>
      </c>
      <c r="J200" s="268">
        <f t="shared" si="46"/>
        <v>0</v>
      </c>
      <c r="K200" s="268">
        <f t="shared" si="46"/>
        <v>0</v>
      </c>
      <c r="L200" s="268">
        <f t="shared" si="46"/>
        <v>0</v>
      </c>
      <c r="M200" s="268">
        <f t="shared" si="46"/>
        <v>0</v>
      </c>
      <c r="N200" s="269">
        <f t="shared" si="46"/>
        <v>0</v>
      </c>
      <c r="O200" s="236">
        <f t="shared" ref="O200:O220" si="47">SUM(C200:N200)</f>
        <v>0</v>
      </c>
      <c r="Q200" s="16"/>
      <c r="R200" s="2"/>
      <c r="S200" s="2"/>
    </row>
    <row r="201" spans="1:19" outlineLevel="2" x14ac:dyDescent="0.25">
      <c r="A201" s="258" t="s">
        <v>411</v>
      </c>
      <c r="B201" s="249"/>
      <c r="C201" s="404"/>
      <c r="D201" s="260"/>
      <c r="E201" s="260"/>
      <c r="F201" s="260"/>
      <c r="G201" s="260"/>
      <c r="H201" s="260"/>
      <c r="I201" s="260"/>
      <c r="J201" s="261"/>
      <c r="K201" s="260"/>
      <c r="L201" s="260"/>
      <c r="M201" s="323"/>
      <c r="N201" s="260"/>
      <c r="O201" s="236">
        <f t="shared" si="47"/>
        <v>0</v>
      </c>
      <c r="Q201" s="16"/>
      <c r="R201" s="2"/>
      <c r="S201" s="2"/>
    </row>
    <row r="202" spans="1:19" outlineLevel="2" x14ac:dyDescent="0.25">
      <c r="A202" s="258" t="s">
        <v>413</v>
      </c>
      <c r="B202" s="249"/>
      <c r="C202" s="404"/>
      <c r="D202" s="260"/>
      <c r="E202" s="260"/>
      <c r="F202" s="260"/>
      <c r="G202" s="260"/>
      <c r="H202" s="260"/>
      <c r="I202" s="260"/>
      <c r="J202" s="261"/>
      <c r="K202" s="260"/>
      <c r="L202" s="260"/>
      <c r="M202" s="323"/>
      <c r="N202" s="260"/>
      <c r="O202" s="236">
        <f t="shared" si="47"/>
        <v>0</v>
      </c>
      <c r="Q202" s="16"/>
      <c r="R202" s="2"/>
      <c r="S202" s="2"/>
    </row>
    <row r="203" spans="1:19" outlineLevel="2" x14ac:dyDescent="0.25">
      <c r="A203" s="258" t="s">
        <v>415</v>
      </c>
      <c r="B203" s="249"/>
      <c r="C203" s="404"/>
      <c r="D203" s="260"/>
      <c r="E203" s="260"/>
      <c r="F203" s="260"/>
      <c r="G203" s="260"/>
      <c r="H203" s="260"/>
      <c r="I203" s="260"/>
      <c r="J203" s="261"/>
      <c r="K203" s="260"/>
      <c r="L203" s="260"/>
      <c r="M203" s="323"/>
      <c r="N203" s="260"/>
      <c r="O203" s="236">
        <f t="shared" si="47"/>
        <v>0</v>
      </c>
      <c r="Q203" s="16"/>
      <c r="R203" s="2"/>
      <c r="S203" s="2"/>
    </row>
    <row r="204" spans="1:19" outlineLevel="2" x14ac:dyDescent="0.25">
      <c r="A204" s="258" t="s">
        <v>685</v>
      </c>
      <c r="B204" s="249"/>
      <c r="C204" s="404"/>
      <c r="D204" s="260"/>
      <c r="E204" s="260"/>
      <c r="F204" s="260"/>
      <c r="G204" s="260"/>
      <c r="H204" s="260"/>
      <c r="I204" s="260"/>
      <c r="J204" s="261"/>
      <c r="K204" s="260"/>
      <c r="L204" s="260"/>
      <c r="M204" s="323"/>
      <c r="N204" s="260"/>
      <c r="O204" s="236">
        <f t="shared" si="47"/>
        <v>0</v>
      </c>
      <c r="Q204" s="16"/>
      <c r="R204" s="2"/>
      <c r="S204" s="2"/>
    </row>
    <row r="205" spans="1:19" outlineLevel="2" x14ac:dyDescent="0.25">
      <c r="A205" s="258" t="s">
        <v>418</v>
      </c>
      <c r="B205" s="249"/>
      <c r="C205" s="404"/>
      <c r="D205" s="260"/>
      <c r="E205" s="260"/>
      <c r="F205" s="260"/>
      <c r="G205" s="260"/>
      <c r="H205" s="260"/>
      <c r="I205" s="260"/>
      <c r="J205" s="261"/>
      <c r="K205" s="260"/>
      <c r="L205" s="260"/>
      <c r="M205" s="323"/>
      <c r="N205" s="260"/>
      <c r="O205" s="236">
        <f t="shared" si="47"/>
        <v>0</v>
      </c>
      <c r="Q205" s="16"/>
      <c r="R205" s="2"/>
      <c r="S205" s="2"/>
    </row>
    <row r="206" spans="1:19" outlineLevel="2" x14ac:dyDescent="0.25">
      <c r="A206" s="258" t="s">
        <v>420</v>
      </c>
      <c r="B206" s="249"/>
      <c r="C206" s="404"/>
      <c r="D206" s="260"/>
      <c r="E206" s="260"/>
      <c r="F206" s="260"/>
      <c r="G206" s="260"/>
      <c r="H206" s="260"/>
      <c r="I206" s="260"/>
      <c r="J206" s="261"/>
      <c r="K206" s="260"/>
      <c r="L206" s="260"/>
      <c r="M206" s="323"/>
      <c r="N206" s="260"/>
      <c r="O206" s="236">
        <f t="shared" si="47"/>
        <v>0</v>
      </c>
      <c r="Q206" s="16"/>
      <c r="R206" s="2"/>
      <c r="S206" s="2"/>
    </row>
    <row r="207" spans="1:19" outlineLevel="2" x14ac:dyDescent="0.25">
      <c r="A207" s="258" t="s">
        <v>422</v>
      </c>
      <c r="B207" s="249"/>
      <c r="C207" s="404"/>
      <c r="D207" s="260"/>
      <c r="E207" s="260"/>
      <c r="F207" s="260"/>
      <c r="G207" s="260"/>
      <c r="H207" s="260"/>
      <c r="I207" s="260"/>
      <c r="J207" s="261"/>
      <c r="K207" s="260"/>
      <c r="L207" s="260"/>
      <c r="M207" s="323"/>
      <c r="N207" s="260"/>
      <c r="O207" s="236">
        <f t="shared" si="47"/>
        <v>0</v>
      </c>
      <c r="Q207" s="16"/>
      <c r="R207" s="2"/>
      <c r="S207" s="2"/>
    </row>
    <row r="208" spans="1:19" outlineLevel="2" x14ac:dyDescent="0.25">
      <c r="A208" s="258" t="s">
        <v>424</v>
      </c>
      <c r="B208" s="249"/>
      <c r="C208" s="404"/>
      <c r="D208" s="260"/>
      <c r="E208" s="260"/>
      <c r="F208" s="260"/>
      <c r="G208" s="260"/>
      <c r="H208" s="260"/>
      <c r="I208" s="260"/>
      <c r="J208" s="261"/>
      <c r="K208" s="260"/>
      <c r="L208" s="260"/>
      <c r="M208" s="323"/>
      <c r="N208" s="260"/>
      <c r="O208" s="236">
        <f t="shared" si="47"/>
        <v>0</v>
      </c>
      <c r="Q208" s="16"/>
      <c r="R208" s="2"/>
      <c r="S208" s="2"/>
    </row>
    <row r="209" spans="1:19" outlineLevel="2" x14ac:dyDescent="0.25">
      <c r="A209" s="258" t="s">
        <v>426</v>
      </c>
      <c r="B209" s="249"/>
      <c r="C209" s="404"/>
      <c r="D209" s="260"/>
      <c r="E209" s="260"/>
      <c r="F209" s="260"/>
      <c r="G209" s="260"/>
      <c r="H209" s="260"/>
      <c r="I209" s="260"/>
      <c r="J209" s="261"/>
      <c r="K209" s="260"/>
      <c r="L209" s="260"/>
      <c r="M209" s="323"/>
      <c r="N209" s="260"/>
      <c r="O209" s="236">
        <f t="shared" si="47"/>
        <v>0</v>
      </c>
      <c r="Q209" s="16"/>
      <c r="R209" s="2"/>
      <c r="S209" s="2"/>
    </row>
    <row r="210" spans="1:19" outlineLevel="1" x14ac:dyDescent="0.25">
      <c r="A210" s="265" t="s">
        <v>428</v>
      </c>
      <c r="B210" s="266"/>
      <c r="C210" s="267">
        <f t="shared" ref="C210:N210" si="48">SUM(C211:C214)</f>
        <v>0</v>
      </c>
      <c r="D210" s="268">
        <f t="shared" si="48"/>
        <v>0</v>
      </c>
      <c r="E210" s="268">
        <f t="shared" si="48"/>
        <v>0</v>
      </c>
      <c r="F210" s="268">
        <f t="shared" si="48"/>
        <v>0</v>
      </c>
      <c r="G210" s="268">
        <f t="shared" si="48"/>
        <v>0</v>
      </c>
      <c r="H210" s="268">
        <f t="shared" si="48"/>
        <v>0</v>
      </c>
      <c r="I210" s="268">
        <f t="shared" si="48"/>
        <v>0</v>
      </c>
      <c r="J210" s="268">
        <f t="shared" si="48"/>
        <v>0</v>
      </c>
      <c r="K210" s="268">
        <f t="shared" si="48"/>
        <v>0</v>
      </c>
      <c r="L210" s="268">
        <f t="shared" si="48"/>
        <v>0</v>
      </c>
      <c r="M210" s="268">
        <f t="shared" si="48"/>
        <v>0</v>
      </c>
      <c r="N210" s="269">
        <f t="shared" si="48"/>
        <v>0</v>
      </c>
      <c r="O210" s="236">
        <f t="shared" si="47"/>
        <v>0</v>
      </c>
      <c r="Q210" s="16"/>
      <c r="R210" s="2"/>
      <c r="S210" s="2"/>
    </row>
    <row r="211" spans="1:19" outlineLevel="2" x14ac:dyDescent="0.25">
      <c r="A211" s="258" t="s">
        <v>684</v>
      </c>
      <c r="B211" s="249"/>
      <c r="C211" s="234"/>
      <c r="D211" s="259"/>
      <c r="E211" s="260"/>
      <c r="F211" s="260"/>
      <c r="G211" s="260"/>
      <c r="H211" s="260"/>
      <c r="I211" s="260"/>
      <c r="J211" s="261"/>
      <c r="K211" s="259"/>
      <c r="L211" s="260"/>
      <c r="M211" s="239"/>
      <c r="N211" s="259"/>
      <c r="O211" s="236">
        <f t="shared" si="47"/>
        <v>0</v>
      </c>
      <c r="Q211" s="16"/>
      <c r="R211" s="2"/>
      <c r="S211" s="2"/>
    </row>
    <row r="212" spans="1:19" outlineLevel="2" x14ac:dyDescent="0.25">
      <c r="A212" s="258" t="s">
        <v>432</v>
      </c>
      <c r="B212" s="249"/>
      <c r="C212" s="234"/>
      <c r="D212" s="259"/>
      <c r="E212" s="260"/>
      <c r="F212" s="260"/>
      <c r="G212" s="260"/>
      <c r="H212" s="260"/>
      <c r="I212" s="260"/>
      <c r="J212" s="261"/>
      <c r="K212" s="259"/>
      <c r="L212" s="260"/>
      <c r="M212" s="239"/>
      <c r="N212" s="259"/>
      <c r="O212" s="236">
        <f t="shared" si="47"/>
        <v>0</v>
      </c>
      <c r="Q212" s="16"/>
      <c r="R212" s="2"/>
      <c r="S212" s="2"/>
    </row>
    <row r="213" spans="1:19" outlineLevel="2" x14ac:dyDescent="0.25">
      <c r="A213" s="258" t="s">
        <v>434</v>
      </c>
      <c r="B213" s="249"/>
      <c r="C213" s="234"/>
      <c r="D213" s="259"/>
      <c r="E213" s="260"/>
      <c r="F213" s="260"/>
      <c r="G213" s="260"/>
      <c r="H213" s="260"/>
      <c r="I213" s="260"/>
      <c r="J213" s="261"/>
      <c r="K213" s="259"/>
      <c r="L213" s="260"/>
      <c r="M213" s="239"/>
      <c r="N213" s="259"/>
      <c r="O213" s="236">
        <f t="shared" si="47"/>
        <v>0</v>
      </c>
      <c r="Q213" s="16"/>
      <c r="R213" s="2"/>
      <c r="S213" s="2"/>
    </row>
    <row r="214" spans="1:19" outlineLevel="2" x14ac:dyDescent="0.25">
      <c r="A214" s="258" t="s">
        <v>436</v>
      </c>
      <c r="B214" s="249"/>
      <c r="C214" s="234"/>
      <c r="D214" s="259"/>
      <c r="E214" s="260"/>
      <c r="F214" s="260"/>
      <c r="G214" s="260"/>
      <c r="H214" s="260"/>
      <c r="I214" s="260"/>
      <c r="J214" s="261"/>
      <c r="K214" s="259"/>
      <c r="L214" s="260"/>
      <c r="M214" s="239"/>
      <c r="N214" s="259"/>
      <c r="O214" s="236">
        <f t="shared" si="47"/>
        <v>0</v>
      </c>
      <c r="Q214" s="16"/>
      <c r="R214" s="2"/>
      <c r="S214" s="2"/>
    </row>
    <row r="215" spans="1:19" outlineLevel="1" x14ac:dyDescent="0.25">
      <c r="A215" s="265" t="s">
        <v>438</v>
      </c>
      <c r="B215" s="266"/>
      <c r="C215" s="267">
        <f t="shared" ref="C215:N215" si="49">SUM(C216:C216)</f>
        <v>0</v>
      </c>
      <c r="D215" s="268">
        <f t="shared" si="49"/>
        <v>0</v>
      </c>
      <c r="E215" s="268">
        <f t="shared" si="49"/>
        <v>0</v>
      </c>
      <c r="F215" s="268">
        <f t="shared" si="49"/>
        <v>0</v>
      </c>
      <c r="G215" s="268">
        <f t="shared" si="49"/>
        <v>0</v>
      </c>
      <c r="H215" s="268">
        <f t="shared" si="49"/>
        <v>0</v>
      </c>
      <c r="I215" s="268">
        <f t="shared" si="49"/>
        <v>0</v>
      </c>
      <c r="J215" s="268">
        <f t="shared" si="49"/>
        <v>0</v>
      </c>
      <c r="K215" s="268">
        <f t="shared" si="49"/>
        <v>0</v>
      </c>
      <c r="L215" s="268">
        <f t="shared" si="49"/>
        <v>0</v>
      </c>
      <c r="M215" s="268">
        <f t="shared" si="49"/>
        <v>0</v>
      </c>
      <c r="N215" s="269">
        <f t="shared" si="49"/>
        <v>0</v>
      </c>
      <c r="O215" s="236">
        <f t="shared" si="47"/>
        <v>0</v>
      </c>
      <c r="Q215" s="16"/>
      <c r="R215" s="2"/>
      <c r="S215" s="2"/>
    </row>
    <row r="216" spans="1:19" outlineLevel="2" x14ac:dyDescent="0.25">
      <c r="A216" s="258" t="s">
        <v>440</v>
      </c>
      <c r="B216" s="249"/>
      <c r="C216" s="234"/>
      <c r="D216" s="259"/>
      <c r="E216" s="260"/>
      <c r="F216" s="260"/>
      <c r="G216" s="260"/>
      <c r="H216" s="260"/>
      <c r="I216" s="260"/>
      <c r="J216" s="261"/>
      <c r="K216" s="259"/>
      <c r="L216" s="260"/>
      <c r="M216" s="239"/>
      <c r="N216" s="259"/>
      <c r="O216" s="236">
        <f t="shared" si="47"/>
        <v>0</v>
      </c>
      <c r="Q216" s="16"/>
      <c r="R216" s="2"/>
      <c r="S216" s="2"/>
    </row>
    <row r="217" spans="1:19" outlineLevel="1" x14ac:dyDescent="0.25">
      <c r="A217" s="265" t="s">
        <v>442</v>
      </c>
      <c r="B217" s="266"/>
      <c r="C217" s="267">
        <f t="shared" ref="C217:N217" si="50">SUM(C218:C220)</f>
        <v>0</v>
      </c>
      <c r="D217" s="268">
        <f t="shared" si="50"/>
        <v>0</v>
      </c>
      <c r="E217" s="268">
        <f t="shared" si="50"/>
        <v>0</v>
      </c>
      <c r="F217" s="268">
        <f t="shared" si="50"/>
        <v>0</v>
      </c>
      <c r="G217" s="268">
        <f t="shared" si="50"/>
        <v>0</v>
      </c>
      <c r="H217" s="268">
        <f t="shared" si="50"/>
        <v>0</v>
      </c>
      <c r="I217" s="268">
        <f t="shared" si="50"/>
        <v>0</v>
      </c>
      <c r="J217" s="268">
        <f t="shared" si="50"/>
        <v>0</v>
      </c>
      <c r="K217" s="268">
        <f t="shared" si="50"/>
        <v>0</v>
      </c>
      <c r="L217" s="268">
        <f t="shared" si="50"/>
        <v>0</v>
      </c>
      <c r="M217" s="268">
        <f t="shared" si="50"/>
        <v>0</v>
      </c>
      <c r="N217" s="269">
        <f t="shared" si="50"/>
        <v>0</v>
      </c>
      <c r="O217" s="236">
        <f t="shared" si="47"/>
        <v>0</v>
      </c>
      <c r="Q217" s="16"/>
      <c r="R217" s="2"/>
      <c r="S217" s="2"/>
    </row>
    <row r="218" spans="1:19" outlineLevel="2" x14ac:dyDescent="0.25">
      <c r="A218" s="258" t="s">
        <v>444</v>
      </c>
      <c r="B218" s="249"/>
      <c r="C218" s="234"/>
      <c r="D218" s="259"/>
      <c r="E218" s="260"/>
      <c r="F218" s="260"/>
      <c r="G218" s="260"/>
      <c r="H218" s="260"/>
      <c r="I218" s="260"/>
      <c r="J218" s="261"/>
      <c r="K218" s="259"/>
      <c r="L218" s="260"/>
      <c r="M218" s="239"/>
      <c r="N218" s="259"/>
      <c r="O218" s="236">
        <f t="shared" si="47"/>
        <v>0</v>
      </c>
      <c r="Q218" s="16"/>
      <c r="R218" s="2"/>
      <c r="S218" s="2"/>
    </row>
    <row r="219" spans="1:19" outlineLevel="2" x14ac:dyDescent="0.25">
      <c r="A219" s="258" t="s">
        <v>446</v>
      </c>
      <c r="B219" s="249"/>
      <c r="C219" s="234"/>
      <c r="D219" s="259"/>
      <c r="E219" s="260"/>
      <c r="F219" s="260"/>
      <c r="G219" s="260"/>
      <c r="H219" s="260"/>
      <c r="I219" s="260"/>
      <c r="J219" s="261"/>
      <c r="K219" s="259"/>
      <c r="L219" s="260"/>
      <c r="M219" s="239"/>
      <c r="N219" s="259"/>
      <c r="O219" s="236">
        <f t="shared" si="47"/>
        <v>0</v>
      </c>
      <c r="Q219" s="16"/>
      <c r="R219" s="2"/>
      <c r="S219" s="2"/>
    </row>
    <row r="220" spans="1:19" outlineLevel="2" x14ac:dyDescent="0.25">
      <c r="A220" s="258" t="s">
        <v>447</v>
      </c>
      <c r="B220" s="249"/>
      <c r="C220" s="234"/>
      <c r="D220" s="259"/>
      <c r="E220" s="260"/>
      <c r="F220" s="260"/>
      <c r="G220" s="260"/>
      <c r="H220" s="260"/>
      <c r="I220" s="260"/>
      <c r="J220" s="261"/>
      <c r="K220" s="259"/>
      <c r="L220" s="260"/>
      <c r="M220" s="239"/>
      <c r="N220" s="259"/>
      <c r="O220" s="236">
        <f t="shared" si="47"/>
        <v>0</v>
      </c>
      <c r="Q220" s="16"/>
      <c r="R220" s="2"/>
      <c r="S220" s="2"/>
    </row>
    <row r="221" spans="1:19" s="6" customFormat="1" x14ac:dyDescent="0.25">
      <c r="A221" s="223" t="s">
        <v>449</v>
      </c>
      <c r="B221" s="253"/>
      <c r="C221" s="254">
        <f t="shared" ref="C221:N221" si="51">SUM(C222,C236)</f>
        <v>0</v>
      </c>
      <c r="D221" s="255">
        <f t="shared" si="51"/>
        <v>0</v>
      </c>
      <c r="E221" s="255">
        <f t="shared" si="51"/>
        <v>0</v>
      </c>
      <c r="F221" s="255">
        <f t="shared" si="51"/>
        <v>0</v>
      </c>
      <c r="G221" s="255">
        <f t="shared" si="51"/>
        <v>0</v>
      </c>
      <c r="H221" s="255">
        <f t="shared" si="51"/>
        <v>0</v>
      </c>
      <c r="I221" s="255">
        <f t="shared" si="51"/>
        <v>0</v>
      </c>
      <c r="J221" s="255">
        <f t="shared" si="51"/>
        <v>0</v>
      </c>
      <c r="K221" s="255">
        <f t="shared" si="51"/>
        <v>0</v>
      </c>
      <c r="L221" s="255">
        <f t="shared" si="51"/>
        <v>0</v>
      </c>
      <c r="M221" s="255">
        <f t="shared" si="51"/>
        <v>0</v>
      </c>
      <c r="N221" s="256">
        <f t="shared" si="51"/>
        <v>0</v>
      </c>
      <c r="O221" s="257">
        <f t="shared" si="41"/>
        <v>0</v>
      </c>
      <c r="Q221" s="18"/>
      <c r="R221" s="19"/>
      <c r="S221" s="19"/>
    </row>
    <row r="222" spans="1:19" outlineLevel="1" x14ac:dyDescent="0.25">
      <c r="A222" s="265" t="s">
        <v>451</v>
      </c>
      <c r="B222" s="266"/>
      <c r="C222" s="267">
        <f t="shared" ref="C222:N222" si="52">SUM(C223:C235)</f>
        <v>0</v>
      </c>
      <c r="D222" s="268">
        <f t="shared" si="52"/>
        <v>0</v>
      </c>
      <c r="E222" s="268">
        <f t="shared" si="52"/>
        <v>0</v>
      </c>
      <c r="F222" s="268">
        <f t="shared" si="52"/>
        <v>0</v>
      </c>
      <c r="G222" s="268">
        <f t="shared" si="52"/>
        <v>0</v>
      </c>
      <c r="H222" s="268">
        <f t="shared" si="52"/>
        <v>0</v>
      </c>
      <c r="I222" s="268">
        <f t="shared" si="52"/>
        <v>0</v>
      </c>
      <c r="J222" s="268">
        <f t="shared" si="52"/>
        <v>0</v>
      </c>
      <c r="K222" s="268">
        <f t="shared" si="52"/>
        <v>0</v>
      </c>
      <c r="L222" s="268">
        <f t="shared" si="52"/>
        <v>0</v>
      </c>
      <c r="M222" s="268">
        <f t="shared" si="52"/>
        <v>0</v>
      </c>
      <c r="N222" s="269">
        <f t="shared" si="52"/>
        <v>0</v>
      </c>
      <c r="O222" s="270">
        <f t="shared" si="41"/>
        <v>0</v>
      </c>
      <c r="Q222" s="16"/>
      <c r="R222" s="2"/>
      <c r="S222" s="2"/>
    </row>
    <row r="223" spans="1:19" outlineLevel="2" x14ac:dyDescent="0.25">
      <c r="A223" s="258" t="s">
        <v>453</v>
      </c>
      <c r="B223" s="249"/>
      <c r="C223" s="234"/>
      <c r="D223" s="259"/>
      <c r="E223" s="260"/>
      <c r="F223" s="260"/>
      <c r="G223" s="260"/>
      <c r="H223" s="260"/>
      <c r="I223" s="260"/>
      <c r="J223" s="261"/>
      <c r="K223" s="259"/>
      <c r="L223" s="260"/>
      <c r="M223" s="239"/>
      <c r="N223" s="259"/>
      <c r="O223" s="236">
        <f t="shared" ref="O223:O235" si="53">SUM(C223:N223)</f>
        <v>0</v>
      </c>
      <c r="Q223" s="16"/>
      <c r="R223" s="2"/>
      <c r="S223" s="2"/>
    </row>
    <row r="224" spans="1:19" outlineLevel="2" x14ac:dyDescent="0.25">
      <c r="A224" s="258" t="s">
        <v>455</v>
      </c>
      <c r="B224" s="249"/>
      <c r="C224" s="234"/>
      <c r="D224" s="259"/>
      <c r="E224" s="260"/>
      <c r="F224" s="260"/>
      <c r="G224" s="260"/>
      <c r="H224" s="260"/>
      <c r="I224" s="260"/>
      <c r="J224" s="261"/>
      <c r="K224" s="259"/>
      <c r="L224" s="260"/>
      <c r="M224" s="239"/>
      <c r="N224" s="259"/>
      <c r="O224" s="236">
        <f t="shared" si="53"/>
        <v>0</v>
      </c>
      <c r="Q224" s="16"/>
      <c r="R224" s="2"/>
      <c r="S224" s="2"/>
    </row>
    <row r="225" spans="1:19" outlineLevel="2" x14ac:dyDescent="0.25">
      <c r="A225" s="258" t="s">
        <v>457</v>
      </c>
      <c r="B225" s="249"/>
      <c r="C225" s="234"/>
      <c r="D225" s="259"/>
      <c r="E225" s="260"/>
      <c r="F225" s="260"/>
      <c r="G225" s="260"/>
      <c r="H225" s="260"/>
      <c r="I225" s="260"/>
      <c r="J225" s="261"/>
      <c r="K225" s="259"/>
      <c r="L225" s="260"/>
      <c r="M225" s="239"/>
      <c r="N225" s="259"/>
      <c r="O225" s="236">
        <f t="shared" si="53"/>
        <v>0</v>
      </c>
      <c r="Q225" s="16"/>
      <c r="R225" s="2"/>
      <c r="S225" s="2"/>
    </row>
    <row r="226" spans="1:19" outlineLevel="2" x14ac:dyDescent="0.25">
      <c r="A226" s="258" t="s">
        <v>459</v>
      </c>
      <c r="B226" s="249"/>
      <c r="C226" s="234"/>
      <c r="D226" s="259"/>
      <c r="E226" s="260"/>
      <c r="F226" s="260"/>
      <c r="G226" s="260"/>
      <c r="H226" s="260"/>
      <c r="I226" s="260"/>
      <c r="J226" s="261"/>
      <c r="K226" s="259"/>
      <c r="L226" s="260"/>
      <c r="M226" s="239"/>
      <c r="N226" s="259"/>
      <c r="O226" s="236">
        <f t="shared" si="53"/>
        <v>0</v>
      </c>
      <c r="Q226" s="16"/>
      <c r="R226" s="2"/>
      <c r="S226" s="2"/>
    </row>
    <row r="227" spans="1:19" outlineLevel="2" x14ac:dyDescent="0.25">
      <c r="A227" s="258" t="s">
        <v>461</v>
      </c>
      <c r="B227" s="249"/>
      <c r="C227" s="234"/>
      <c r="D227" s="259"/>
      <c r="E227" s="260"/>
      <c r="F227" s="260"/>
      <c r="G227" s="260"/>
      <c r="H227" s="260"/>
      <c r="I227" s="260"/>
      <c r="J227" s="261"/>
      <c r="K227" s="259"/>
      <c r="L227" s="260"/>
      <c r="M227" s="239"/>
      <c r="N227" s="259"/>
      <c r="O227" s="236">
        <f t="shared" si="53"/>
        <v>0</v>
      </c>
      <c r="Q227" s="16"/>
      <c r="R227" s="2"/>
      <c r="S227" s="2"/>
    </row>
    <row r="228" spans="1:19" outlineLevel="2" x14ac:dyDescent="0.25">
      <c r="A228" s="258" t="s">
        <v>463</v>
      </c>
      <c r="B228" s="249"/>
      <c r="C228" s="234"/>
      <c r="D228" s="259"/>
      <c r="E228" s="260"/>
      <c r="F228" s="260"/>
      <c r="G228" s="260"/>
      <c r="H228" s="260"/>
      <c r="I228" s="260"/>
      <c r="J228" s="261"/>
      <c r="K228" s="259"/>
      <c r="L228" s="260"/>
      <c r="M228" s="239"/>
      <c r="N228" s="259"/>
      <c r="O228" s="236">
        <f t="shared" si="53"/>
        <v>0</v>
      </c>
      <c r="Q228" s="16"/>
      <c r="R228" s="2"/>
      <c r="S228" s="2"/>
    </row>
    <row r="229" spans="1:19" outlineLevel="2" x14ac:dyDescent="0.25">
      <c r="A229" s="258" t="s">
        <v>465</v>
      </c>
      <c r="B229" s="249"/>
      <c r="C229" s="234"/>
      <c r="D229" s="259"/>
      <c r="E229" s="260"/>
      <c r="F229" s="260"/>
      <c r="G229" s="260"/>
      <c r="H229" s="260"/>
      <c r="I229" s="260"/>
      <c r="J229" s="261"/>
      <c r="K229" s="259"/>
      <c r="L229" s="260"/>
      <c r="M229" s="239"/>
      <c r="N229" s="259"/>
      <c r="O229" s="236">
        <f t="shared" si="53"/>
        <v>0</v>
      </c>
      <c r="Q229" s="16"/>
      <c r="R229" s="2"/>
      <c r="S229" s="2"/>
    </row>
    <row r="230" spans="1:19" outlineLevel="2" x14ac:dyDescent="0.25">
      <c r="A230" s="258" t="s">
        <v>467</v>
      </c>
      <c r="B230" s="249"/>
      <c r="C230" s="234"/>
      <c r="D230" s="259"/>
      <c r="E230" s="260"/>
      <c r="F230" s="260"/>
      <c r="G230" s="260"/>
      <c r="H230" s="260"/>
      <c r="I230" s="260"/>
      <c r="J230" s="261"/>
      <c r="K230" s="259"/>
      <c r="L230" s="260"/>
      <c r="M230" s="239"/>
      <c r="N230" s="259"/>
      <c r="O230" s="236">
        <f t="shared" si="53"/>
        <v>0</v>
      </c>
      <c r="Q230" s="16"/>
      <c r="R230" s="2"/>
      <c r="S230" s="2"/>
    </row>
    <row r="231" spans="1:19" outlineLevel="2" x14ac:dyDescent="0.25">
      <c r="A231" s="258" t="s">
        <v>469</v>
      </c>
      <c r="B231" s="249"/>
      <c r="C231" s="234"/>
      <c r="D231" s="259"/>
      <c r="E231" s="260"/>
      <c r="F231" s="260"/>
      <c r="G231" s="260"/>
      <c r="H231" s="260"/>
      <c r="I231" s="260"/>
      <c r="J231" s="261"/>
      <c r="K231" s="259"/>
      <c r="L231" s="260"/>
      <c r="M231" s="239"/>
      <c r="N231" s="259"/>
      <c r="O231" s="236">
        <f t="shared" si="53"/>
        <v>0</v>
      </c>
      <c r="Q231" s="16"/>
      <c r="R231" s="2"/>
      <c r="S231" s="2"/>
    </row>
    <row r="232" spans="1:19" outlineLevel="2" x14ac:dyDescent="0.25">
      <c r="A232" s="258" t="s">
        <v>471</v>
      </c>
      <c r="B232" s="249"/>
      <c r="C232" s="234"/>
      <c r="D232" s="259"/>
      <c r="E232" s="260"/>
      <c r="F232" s="260"/>
      <c r="G232" s="260"/>
      <c r="H232" s="260"/>
      <c r="I232" s="260"/>
      <c r="J232" s="261"/>
      <c r="K232" s="259"/>
      <c r="L232" s="260"/>
      <c r="M232" s="239"/>
      <c r="N232" s="259"/>
      <c r="O232" s="236">
        <f t="shared" si="53"/>
        <v>0</v>
      </c>
      <c r="Q232" s="16"/>
      <c r="R232" s="2"/>
      <c r="S232" s="2"/>
    </row>
    <row r="233" spans="1:19" outlineLevel="2" x14ac:dyDescent="0.25">
      <c r="A233" s="258" t="s">
        <v>473</v>
      </c>
      <c r="B233" s="249"/>
      <c r="C233" s="234"/>
      <c r="D233" s="259"/>
      <c r="E233" s="260"/>
      <c r="F233" s="260"/>
      <c r="G233" s="260"/>
      <c r="H233" s="260"/>
      <c r="I233" s="260"/>
      <c r="J233" s="261"/>
      <c r="K233" s="259"/>
      <c r="L233" s="260"/>
      <c r="M233" s="239"/>
      <c r="N233" s="259"/>
      <c r="O233" s="236">
        <f t="shared" si="53"/>
        <v>0</v>
      </c>
      <c r="Q233" s="16"/>
      <c r="R233" s="2"/>
      <c r="S233" s="2"/>
    </row>
    <row r="234" spans="1:19" outlineLevel="2" x14ac:dyDescent="0.25">
      <c r="A234" s="258" t="s">
        <v>475</v>
      </c>
      <c r="B234" s="249"/>
      <c r="C234" s="234"/>
      <c r="D234" s="259"/>
      <c r="E234" s="260"/>
      <c r="F234" s="260"/>
      <c r="G234" s="260"/>
      <c r="H234" s="260"/>
      <c r="I234" s="260"/>
      <c r="J234" s="261"/>
      <c r="K234" s="259"/>
      <c r="L234" s="260"/>
      <c r="M234" s="239"/>
      <c r="N234" s="259"/>
      <c r="O234" s="236">
        <f t="shared" si="53"/>
        <v>0</v>
      </c>
      <c r="Q234" s="16"/>
      <c r="R234" s="2"/>
      <c r="S234" s="2"/>
    </row>
    <row r="235" spans="1:19" outlineLevel="2" x14ac:dyDescent="0.25">
      <c r="A235" s="258" t="s">
        <v>477</v>
      </c>
      <c r="B235" s="249"/>
      <c r="C235" s="234"/>
      <c r="D235" s="260"/>
      <c r="E235" s="260"/>
      <c r="F235" s="260"/>
      <c r="G235" s="260"/>
      <c r="H235" s="260"/>
      <c r="I235" s="260"/>
      <c r="J235" s="261"/>
      <c r="K235" s="259"/>
      <c r="L235" s="260"/>
      <c r="M235" s="239"/>
      <c r="N235" s="259"/>
      <c r="O235" s="236">
        <f t="shared" si="53"/>
        <v>0</v>
      </c>
      <c r="Q235" s="16"/>
      <c r="R235" s="2"/>
      <c r="S235" s="2"/>
    </row>
    <row r="236" spans="1:19" outlineLevel="1" x14ac:dyDescent="0.25">
      <c r="A236" s="265" t="s">
        <v>479</v>
      </c>
      <c r="B236" s="266"/>
      <c r="C236" s="267">
        <f t="shared" ref="C236:N236" si="54">SUM(C237)</f>
        <v>0</v>
      </c>
      <c r="D236" s="268">
        <f t="shared" si="54"/>
        <v>0</v>
      </c>
      <c r="E236" s="268">
        <f t="shared" si="54"/>
        <v>0</v>
      </c>
      <c r="F236" s="268">
        <f t="shared" si="54"/>
        <v>0</v>
      </c>
      <c r="G236" s="268">
        <f t="shared" si="54"/>
        <v>0</v>
      </c>
      <c r="H236" s="268">
        <f t="shared" si="54"/>
        <v>0</v>
      </c>
      <c r="I236" s="268">
        <f t="shared" si="54"/>
        <v>0</v>
      </c>
      <c r="J236" s="268">
        <f t="shared" si="54"/>
        <v>0</v>
      </c>
      <c r="K236" s="268">
        <f t="shared" si="54"/>
        <v>0</v>
      </c>
      <c r="L236" s="268">
        <f t="shared" si="54"/>
        <v>0</v>
      </c>
      <c r="M236" s="268">
        <f t="shared" si="54"/>
        <v>0</v>
      </c>
      <c r="N236" s="269">
        <f t="shared" si="54"/>
        <v>0</v>
      </c>
      <c r="O236" s="270">
        <f t="shared" si="41"/>
        <v>0</v>
      </c>
      <c r="Q236" s="16"/>
      <c r="R236" s="2"/>
      <c r="S236" s="2"/>
    </row>
    <row r="237" spans="1:19" outlineLevel="2" x14ac:dyDescent="0.25">
      <c r="A237" s="258" t="s">
        <v>481</v>
      </c>
      <c r="B237" s="249"/>
      <c r="C237" s="234"/>
      <c r="D237" s="259"/>
      <c r="E237" s="260"/>
      <c r="F237" s="260"/>
      <c r="G237" s="260"/>
      <c r="H237" s="260"/>
      <c r="I237" s="260"/>
      <c r="J237" s="261"/>
      <c r="K237" s="259"/>
      <c r="L237" s="260"/>
      <c r="M237" s="239"/>
      <c r="N237" s="259"/>
      <c r="O237" s="236">
        <f t="shared" ref="O237:O275" si="55">SUM(C237:N237)</f>
        <v>0</v>
      </c>
      <c r="Q237" s="16"/>
      <c r="R237" s="2"/>
      <c r="S237" s="2"/>
    </row>
    <row r="238" spans="1:19" x14ac:dyDescent="0.25">
      <c r="A238" s="223" t="s">
        <v>545</v>
      </c>
      <c r="B238" s="253"/>
      <c r="C238" s="254">
        <f t="shared" ref="C238:N238" si="56">C239+C244+C250+C252</f>
        <v>0</v>
      </c>
      <c r="D238" s="255">
        <f t="shared" si="56"/>
        <v>0</v>
      </c>
      <c r="E238" s="255">
        <f t="shared" si="56"/>
        <v>0</v>
      </c>
      <c r="F238" s="255">
        <f t="shared" si="56"/>
        <v>0</v>
      </c>
      <c r="G238" s="255">
        <f t="shared" si="56"/>
        <v>0</v>
      </c>
      <c r="H238" s="255">
        <f t="shared" si="56"/>
        <v>0</v>
      </c>
      <c r="I238" s="255">
        <f t="shared" si="56"/>
        <v>0</v>
      </c>
      <c r="J238" s="255">
        <f t="shared" si="56"/>
        <v>0</v>
      </c>
      <c r="K238" s="255">
        <f t="shared" si="56"/>
        <v>0</v>
      </c>
      <c r="L238" s="255">
        <f t="shared" si="56"/>
        <v>0</v>
      </c>
      <c r="M238" s="255">
        <f t="shared" si="56"/>
        <v>0</v>
      </c>
      <c r="N238" s="255">
        <f t="shared" si="56"/>
        <v>0</v>
      </c>
      <c r="O238" s="257">
        <f t="shared" ref="O238" si="57">SUM(C238:N238)</f>
        <v>0</v>
      </c>
      <c r="Q238" s="16"/>
      <c r="R238" s="2"/>
      <c r="S238" s="2"/>
    </row>
    <row r="239" spans="1:19" outlineLevel="1" x14ac:dyDescent="0.25">
      <c r="A239" s="265" t="s">
        <v>451</v>
      </c>
      <c r="B239" s="266"/>
      <c r="C239" s="267">
        <f t="shared" ref="C239:N239" si="58">SUM(C240:C243)</f>
        <v>0</v>
      </c>
      <c r="D239" s="267">
        <f t="shared" si="58"/>
        <v>0</v>
      </c>
      <c r="E239" s="267">
        <f t="shared" si="58"/>
        <v>0</v>
      </c>
      <c r="F239" s="267">
        <f t="shared" si="58"/>
        <v>0</v>
      </c>
      <c r="G239" s="267">
        <f t="shared" si="58"/>
        <v>0</v>
      </c>
      <c r="H239" s="267">
        <f t="shared" si="58"/>
        <v>0</v>
      </c>
      <c r="I239" s="267">
        <f t="shared" si="58"/>
        <v>0</v>
      </c>
      <c r="J239" s="267">
        <f t="shared" si="58"/>
        <v>0</v>
      </c>
      <c r="K239" s="267">
        <f t="shared" si="58"/>
        <v>0</v>
      </c>
      <c r="L239" s="267">
        <f t="shared" si="58"/>
        <v>0</v>
      </c>
      <c r="M239" s="267">
        <f t="shared" si="58"/>
        <v>0</v>
      </c>
      <c r="N239" s="267">
        <f t="shared" si="58"/>
        <v>0</v>
      </c>
      <c r="O239" s="236">
        <f t="shared" si="55"/>
        <v>0</v>
      </c>
      <c r="Q239" s="16"/>
      <c r="R239" s="2"/>
      <c r="S239" s="2"/>
    </row>
    <row r="240" spans="1:19" outlineLevel="2" x14ac:dyDescent="0.25">
      <c r="A240" s="258" t="s">
        <v>482</v>
      </c>
      <c r="B240" s="249"/>
      <c r="C240" s="259"/>
      <c r="D240" s="260"/>
      <c r="E240" s="260"/>
      <c r="F240" s="260"/>
      <c r="G240" s="260"/>
      <c r="H240" s="260"/>
      <c r="I240" s="260"/>
      <c r="J240" s="261"/>
      <c r="K240" s="259"/>
      <c r="L240" s="260"/>
      <c r="M240" s="239"/>
      <c r="N240" s="275"/>
      <c r="O240" s="236">
        <f t="shared" si="55"/>
        <v>0</v>
      </c>
      <c r="Q240" s="16"/>
      <c r="R240" s="2"/>
      <c r="S240" s="2"/>
    </row>
    <row r="241" spans="1:19" outlineLevel="2" x14ac:dyDescent="0.25">
      <c r="A241" s="258" t="s">
        <v>483</v>
      </c>
      <c r="B241" s="249"/>
      <c r="C241" s="259"/>
      <c r="D241" s="260"/>
      <c r="E241" s="260"/>
      <c r="F241" s="260"/>
      <c r="G241" s="260"/>
      <c r="H241" s="260"/>
      <c r="I241" s="260"/>
      <c r="J241" s="261"/>
      <c r="K241" s="259"/>
      <c r="L241" s="260"/>
      <c r="M241" s="239"/>
      <c r="N241" s="275"/>
      <c r="O241" s="236">
        <f t="shared" si="55"/>
        <v>0</v>
      </c>
      <c r="Q241" s="16"/>
      <c r="R241" s="2"/>
      <c r="S241" s="2"/>
    </row>
    <row r="242" spans="1:19" outlineLevel="2" x14ac:dyDescent="0.25">
      <c r="A242" s="258" t="s">
        <v>546</v>
      </c>
      <c r="B242" s="249"/>
      <c r="C242" s="259"/>
      <c r="D242" s="260"/>
      <c r="E242" s="260"/>
      <c r="F242" s="260"/>
      <c r="G242" s="260"/>
      <c r="H242" s="260"/>
      <c r="I242" s="260"/>
      <c r="J242" s="261"/>
      <c r="K242" s="259"/>
      <c r="L242" s="260"/>
      <c r="M242" s="239"/>
      <c r="N242" s="275"/>
      <c r="O242" s="236">
        <f t="shared" si="55"/>
        <v>0</v>
      </c>
      <c r="Q242" s="16"/>
      <c r="R242" s="2"/>
      <c r="S242" s="2"/>
    </row>
    <row r="243" spans="1:19" outlineLevel="2" x14ac:dyDescent="0.25">
      <c r="A243" s="258" t="s">
        <v>484</v>
      </c>
      <c r="B243" s="249"/>
      <c r="C243" s="234"/>
      <c r="D243" s="259"/>
      <c r="E243" s="260"/>
      <c r="F243" s="260"/>
      <c r="G243" s="260"/>
      <c r="H243" s="260"/>
      <c r="I243" s="260"/>
      <c r="J243" s="261"/>
      <c r="K243" s="259"/>
      <c r="L243" s="260"/>
      <c r="M243" s="239"/>
      <c r="N243" s="275"/>
      <c r="O243" s="236">
        <f t="shared" si="55"/>
        <v>0</v>
      </c>
      <c r="Q243" s="16"/>
      <c r="R243" s="2"/>
      <c r="S243" s="2"/>
    </row>
    <row r="244" spans="1:19" outlineLevel="1" x14ac:dyDescent="0.25">
      <c r="A244" s="265" t="s">
        <v>486</v>
      </c>
      <c r="B244" s="266"/>
      <c r="C244" s="267">
        <f>SUM(C245:C249)</f>
        <v>0</v>
      </c>
      <c r="D244" s="268">
        <f t="shared" ref="D244:N244" si="59">SUM(D245:D249)</f>
        <v>0</v>
      </c>
      <c r="E244" s="268">
        <f t="shared" si="59"/>
        <v>0</v>
      </c>
      <c r="F244" s="268">
        <f t="shared" si="59"/>
        <v>0</v>
      </c>
      <c r="G244" s="268">
        <f t="shared" si="59"/>
        <v>0</v>
      </c>
      <c r="H244" s="268">
        <f t="shared" si="59"/>
        <v>0</v>
      </c>
      <c r="I244" s="268">
        <f t="shared" si="59"/>
        <v>0</v>
      </c>
      <c r="J244" s="268">
        <f>SUM(J245:J249)</f>
        <v>0</v>
      </c>
      <c r="K244" s="268">
        <f t="shared" si="59"/>
        <v>0</v>
      </c>
      <c r="L244" s="268">
        <f t="shared" si="59"/>
        <v>0</v>
      </c>
      <c r="M244" s="268">
        <f t="shared" si="59"/>
        <v>0</v>
      </c>
      <c r="N244" s="269">
        <f t="shared" si="59"/>
        <v>0</v>
      </c>
      <c r="O244" s="236">
        <f t="shared" ref="O244:O253" si="60">SUM(C244:N244)</f>
        <v>0</v>
      </c>
      <c r="Q244" s="16"/>
      <c r="R244" s="2"/>
      <c r="S244" s="2"/>
    </row>
    <row r="245" spans="1:19" outlineLevel="2" x14ac:dyDescent="0.25">
      <c r="A245" s="258" t="s">
        <v>683</v>
      </c>
      <c r="B245" s="249"/>
      <c r="C245" s="234"/>
      <c r="D245" s="259"/>
      <c r="E245" s="260"/>
      <c r="F245" s="260"/>
      <c r="G245" s="260"/>
      <c r="H245" s="260"/>
      <c r="I245" s="260"/>
      <c r="J245" s="261"/>
      <c r="K245" s="259"/>
      <c r="L245" s="260"/>
      <c r="M245" s="239"/>
      <c r="N245" s="259"/>
      <c r="O245" s="236">
        <f t="shared" si="60"/>
        <v>0</v>
      </c>
      <c r="Q245" s="16"/>
      <c r="R245" s="2"/>
      <c r="S245" s="2"/>
    </row>
    <row r="246" spans="1:19" outlineLevel="2" x14ac:dyDescent="0.25">
      <c r="A246" s="258" t="s">
        <v>489</v>
      </c>
      <c r="B246" s="249"/>
      <c r="C246" s="234"/>
      <c r="D246" s="259"/>
      <c r="E246" s="259"/>
      <c r="F246" s="260"/>
      <c r="G246" s="260"/>
      <c r="H246" s="260"/>
      <c r="I246" s="260"/>
      <c r="J246" s="261"/>
      <c r="K246" s="259"/>
      <c r="L246" s="260"/>
      <c r="M246" s="239"/>
      <c r="N246" s="259"/>
      <c r="O246" s="236">
        <f t="shared" si="60"/>
        <v>0</v>
      </c>
      <c r="Q246" s="16"/>
      <c r="R246" s="2"/>
      <c r="S246" s="2"/>
    </row>
    <row r="247" spans="1:19" outlineLevel="2" x14ac:dyDescent="0.25">
      <c r="A247" s="258" t="s">
        <v>490</v>
      </c>
      <c r="B247" s="249"/>
      <c r="C247" s="234"/>
      <c r="D247" s="259"/>
      <c r="E247" s="260"/>
      <c r="F247" s="260"/>
      <c r="G247" s="260"/>
      <c r="H247" s="260"/>
      <c r="I247" s="260"/>
      <c r="J247" s="261"/>
      <c r="K247" s="259"/>
      <c r="L247" s="276"/>
      <c r="M247" s="239"/>
      <c r="N247" s="259"/>
      <c r="O247" s="236">
        <f t="shared" si="60"/>
        <v>0</v>
      </c>
      <c r="Q247" s="16"/>
      <c r="R247" s="2"/>
      <c r="S247" s="2"/>
    </row>
    <row r="248" spans="1:19" outlineLevel="2" x14ac:dyDescent="0.25">
      <c r="A248" s="258" t="s">
        <v>491</v>
      </c>
      <c r="B248" s="249"/>
      <c r="C248" s="234"/>
      <c r="D248" s="259"/>
      <c r="E248" s="260"/>
      <c r="F248" s="260"/>
      <c r="G248" s="260"/>
      <c r="H248" s="260"/>
      <c r="I248" s="260"/>
      <c r="J248" s="261"/>
      <c r="K248" s="259"/>
      <c r="L248" s="260"/>
      <c r="M248" s="239"/>
      <c r="N248" s="259"/>
      <c r="O248" s="236">
        <f t="shared" si="60"/>
        <v>0</v>
      </c>
      <c r="Q248" s="16"/>
      <c r="R248" s="2"/>
      <c r="S248" s="2"/>
    </row>
    <row r="249" spans="1:19" outlineLevel="2" x14ac:dyDescent="0.25">
      <c r="A249" s="258" t="s">
        <v>493</v>
      </c>
      <c r="B249" s="249"/>
      <c r="C249" s="234"/>
      <c r="D249" s="259"/>
      <c r="E249" s="260"/>
      <c r="F249" s="260"/>
      <c r="G249" s="260"/>
      <c r="H249" s="260"/>
      <c r="I249" s="260"/>
      <c r="J249" s="261"/>
      <c r="K249" s="259"/>
      <c r="L249" s="260"/>
      <c r="M249" s="239"/>
      <c r="N249" s="259"/>
      <c r="O249" s="236">
        <f t="shared" si="60"/>
        <v>0</v>
      </c>
      <c r="Q249" s="16"/>
      <c r="R249" s="2"/>
      <c r="S249" s="2"/>
    </row>
    <row r="250" spans="1:19" outlineLevel="1" x14ac:dyDescent="0.25">
      <c r="A250" s="265" t="s">
        <v>495</v>
      </c>
      <c r="B250" s="266"/>
      <c r="C250" s="267">
        <f t="shared" ref="C250:N250" si="61">SUM(C251)</f>
        <v>0</v>
      </c>
      <c r="D250" s="268">
        <f t="shared" si="61"/>
        <v>0</v>
      </c>
      <c r="E250" s="268">
        <f t="shared" si="61"/>
        <v>0</v>
      </c>
      <c r="F250" s="268">
        <f t="shared" si="61"/>
        <v>0</v>
      </c>
      <c r="G250" s="268">
        <f t="shared" si="61"/>
        <v>0</v>
      </c>
      <c r="H250" s="268">
        <f t="shared" si="61"/>
        <v>0</v>
      </c>
      <c r="I250" s="268">
        <f t="shared" si="61"/>
        <v>0</v>
      </c>
      <c r="J250" s="268">
        <f t="shared" si="61"/>
        <v>0</v>
      </c>
      <c r="K250" s="268">
        <f t="shared" si="61"/>
        <v>0</v>
      </c>
      <c r="L250" s="268">
        <f t="shared" si="61"/>
        <v>0</v>
      </c>
      <c r="M250" s="268">
        <f t="shared" si="61"/>
        <v>0</v>
      </c>
      <c r="N250" s="269">
        <f t="shared" si="61"/>
        <v>0</v>
      </c>
      <c r="O250" s="236">
        <f t="shared" si="60"/>
        <v>0</v>
      </c>
      <c r="Q250" s="16"/>
      <c r="R250" s="2"/>
      <c r="S250" s="2"/>
    </row>
    <row r="251" spans="1:19" outlineLevel="2" x14ac:dyDescent="0.25">
      <c r="A251" s="258" t="s">
        <v>497</v>
      </c>
      <c r="B251" s="249"/>
      <c r="C251" s="234"/>
      <c r="D251" s="259"/>
      <c r="E251" s="260"/>
      <c r="F251" s="260"/>
      <c r="G251" s="260"/>
      <c r="H251" s="260"/>
      <c r="I251" s="260"/>
      <c r="J251" s="261"/>
      <c r="K251" s="259"/>
      <c r="L251" s="260"/>
      <c r="M251" s="239"/>
      <c r="N251" s="259"/>
      <c r="O251" s="236">
        <f t="shared" si="60"/>
        <v>0</v>
      </c>
      <c r="Q251" s="16"/>
      <c r="R251" s="2"/>
      <c r="S251" s="2"/>
    </row>
    <row r="252" spans="1:19" outlineLevel="1" x14ac:dyDescent="0.25">
      <c r="A252" s="265" t="s">
        <v>499</v>
      </c>
      <c r="B252" s="266"/>
      <c r="C252" s="267">
        <f t="shared" ref="C252:N252" si="62">SUM(C253:C254)</f>
        <v>0</v>
      </c>
      <c r="D252" s="268">
        <f t="shared" si="62"/>
        <v>0</v>
      </c>
      <c r="E252" s="268">
        <f t="shared" si="62"/>
        <v>0</v>
      </c>
      <c r="F252" s="268">
        <f t="shared" si="62"/>
        <v>0</v>
      </c>
      <c r="G252" s="268">
        <f t="shared" si="62"/>
        <v>0</v>
      </c>
      <c r="H252" s="268">
        <f t="shared" si="62"/>
        <v>0</v>
      </c>
      <c r="I252" s="268">
        <f t="shared" si="62"/>
        <v>0</v>
      </c>
      <c r="J252" s="268">
        <f t="shared" si="62"/>
        <v>0</v>
      </c>
      <c r="K252" s="268">
        <f t="shared" si="62"/>
        <v>0</v>
      </c>
      <c r="L252" s="268">
        <f t="shared" si="62"/>
        <v>0</v>
      </c>
      <c r="M252" s="268">
        <f t="shared" si="62"/>
        <v>0</v>
      </c>
      <c r="N252" s="269">
        <f t="shared" si="62"/>
        <v>0</v>
      </c>
      <c r="O252" s="236">
        <f t="shared" si="60"/>
        <v>0</v>
      </c>
      <c r="Q252" s="16"/>
      <c r="R252" s="2"/>
      <c r="S252" s="2"/>
    </row>
    <row r="253" spans="1:19" outlineLevel="2" x14ac:dyDescent="0.25">
      <c r="A253" s="258" t="s">
        <v>501</v>
      </c>
      <c r="B253" s="249"/>
      <c r="C253" s="234"/>
      <c r="D253" s="259"/>
      <c r="E253" s="260"/>
      <c r="F253" s="260"/>
      <c r="G253" s="260"/>
      <c r="H253" s="260"/>
      <c r="I253" s="260"/>
      <c r="J253" s="261"/>
      <c r="K253" s="259"/>
      <c r="L253" s="260"/>
      <c r="M253" s="239"/>
      <c r="N253" s="259"/>
      <c r="O253" s="236">
        <f t="shared" si="60"/>
        <v>0</v>
      </c>
      <c r="Q253" s="16"/>
      <c r="R253" s="2"/>
      <c r="S253" s="2"/>
    </row>
    <row r="254" spans="1:19" outlineLevel="2" x14ac:dyDescent="0.25">
      <c r="A254" s="258" t="s">
        <v>503</v>
      </c>
      <c r="B254" s="249"/>
      <c r="C254" s="234"/>
      <c r="D254" s="259"/>
      <c r="E254" s="260"/>
      <c r="F254" s="260"/>
      <c r="G254" s="260"/>
      <c r="H254" s="260"/>
      <c r="I254" s="260"/>
      <c r="J254" s="261"/>
      <c r="K254" s="259"/>
      <c r="L254" s="260"/>
      <c r="M254" s="239"/>
      <c r="N254" s="259"/>
      <c r="O254" s="236">
        <f t="shared" si="55"/>
        <v>0</v>
      </c>
      <c r="Q254" s="16"/>
      <c r="R254" s="2"/>
      <c r="S254" s="2"/>
    </row>
    <row r="255" spans="1:19" s="6" customFormat="1" x14ac:dyDescent="0.25">
      <c r="A255" s="223" t="s">
        <v>505</v>
      </c>
      <c r="B255" s="253"/>
      <c r="C255" s="254">
        <f t="shared" ref="C255:N255" si="63">SUM(C256,C259)</f>
        <v>0</v>
      </c>
      <c r="D255" s="255">
        <f t="shared" si="63"/>
        <v>0</v>
      </c>
      <c r="E255" s="255">
        <f t="shared" si="63"/>
        <v>0</v>
      </c>
      <c r="F255" s="255">
        <f t="shared" si="63"/>
        <v>0</v>
      </c>
      <c r="G255" s="255">
        <f t="shared" si="63"/>
        <v>0</v>
      </c>
      <c r="H255" s="255">
        <f t="shared" si="63"/>
        <v>0</v>
      </c>
      <c r="I255" s="255">
        <f t="shared" si="63"/>
        <v>0</v>
      </c>
      <c r="J255" s="255">
        <f t="shared" si="63"/>
        <v>0</v>
      </c>
      <c r="K255" s="255">
        <f t="shared" si="63"/>
        <v>0</v>
      </c>
      <c r="L255" s="255">
        <f t="shared" si="63"/>
        <v>0</v>
      </c>
      <c r="M255" s="255">
        <f t="shared" si="63"/>
        <v>0</v>
      </c>
      <c r="N255" s="256">
        <f t="shared" si="63"/>
        <v>0</v>
      </c>
      <c r="O255" s="257">
        <f t="shared" si="55"/>
        <v>0</v>
      </c>
      <c r="Q255" s="18"/>
      <c r="R255" s="19"/>
      <c r="S255" s="19"/>
    </row>
    <row r="256" spans="1:19" outlineLevel="1" x14ac:dyDescent="0.25">
      <c r="A256" s="265" t="s">
        <v>507</v>
      </c>
      <c r="B256" s="266"/>
      <c r="C256" s="267">
        <f t="shared" ref="C256:N256" si="64">SUM(C257:C258)</f>
        <v>0</v>
      </c>
      <c r="D256" s="268">
        <f t="shared" si="64"/>
        <v>0</v>
      </c>
      <c r="E256" s="268">
        <f t="shared" si="64"/>
        <v>0</v>
      </c>
      <c r="F256" s="268">
        <f t="shared" si="64"/>
        <v>0</v>
      </c>
      <c r="G256" s="268">
        <f t="shared" si="64"/>
        <v>0</v>
      </c>
      <c r="H256" s="268">
        <f t="shared" si="64"/>
        <v>0</v>
      </c>
      <c r="I256" s="268">
        <f t="shared" si="64"/>
        <v>0</v>
      </c>
      <c r="J256" s="268">
        <f t="shared" si="64"/>
        <v>0</v>
      </c>
      <c r="K256" s="268">
        <f t="shared" si="64"/>
        <v>0</v>
      </c>
      <c r="L256" s="268">
        <f t="shared" si="64"/>
        <v>0</v>
      </c>
      <c r="M256" s="268">
        <f t="shared" si="64"/>
        <v>0</v>
      </c>
      <c r="N256" s="269">
        <f t="shared" si="64"/>
        <v>0</v>
      </c>
      <c r="O256" s="236">
        <f t="shared" ref="O256:O269" si="65">SUM(C256:N256)</f>
        <v>0</v>
      </c>
      <c r="Q256" s="16"/>
      <c r="R256" s="2"/>
      <c r="S256" s="2"/>
    </row>
    <row r="257" spans="1:19" outlineLevel="2" x14ac:dyDescent="0.25">
      <c r="A257" s="258" t="s">
        <v>509</v>
      </c>
      <c r="B257" s="249"/>
      <c r="C257" s="234"/>
      <c r="D257" s="259"/>
      <c r="E257" s="260"/>
      <c r="F257" s="260"/>
      <c r="G257" s="260"/>
      <c r="H257" s="260"/>
      <c r="I257" s="260"/>
      <c r="J257" s="261"/>
      <c r="K257" s="259"/>
      <c r="L257" s="260"/>
      <c r="M257" s="239"/>
      <c r="N257" s="259"/>
      <c r="O257" s="236">
        <f t="shared" si="65"/>
        <v>0</v>
      </c>
      <c r="Q257" s="16"/>
      <c r="R257" s="2"/>
      <c r="S257" s="2"/>
    </row>
    <row r="258" spans="1:19" outlineLevel="2" x14ac:dyDescent="0.25">
      <c r="A258" s="258" t="s">
        <v>511</v>
      </c>
      <c r="B258" s="249"/>
      <c r="C258" s="234"/>
      <c r="D258" s="259"/>
      <c r="E258" s="260"/>
      <c r="F258" s="260"/>
      <c r="G258" s="260"/>
      <c r="H258" s="260"/>
      <c r="I258" s="260"/>
      <c r="J258" s="261"/>
      <c r="K258" s="259"/>
      <c r="L258" s="260"/>
      <c r="M258" s="239"/>
      <c r="N258" s="259"/>
      <c r="O258" s="236">
        <f t="shared" si="65"/>
        <v>0</v>
      </c>
      <c r="Q258" s="16"/>
      <c r="R258" s="2"/>
      <c r="S258" s="2"/>
    </row>
    <row r="259" spans="1:19" outlineLevel="1" x14ac:dyDescent="0.25">
      <c r="A259" s="265" t="s">
        <v>513</v>
      </c>
      <c r="B259" s="266"/>
      <c r="C259" s="267">
        <f t="shared" ref="C259:N259" si="66">SUM(C260:C269)</f>
        <v>0</v>
      </c>
      <c r="D259" s="268">
        <f t="shared" si="66"/>
        <v>0</v>
      </c>
      <c r="E259" s="268">
        <f t="shared" si="66"/>
        <v>0</v>
      </c>
      <c r="F259" s="268">
        <f t="shared" si="66"/>
        <v>0</v>
      </c>
      <c r="G259" s="268">
        <f t="shared" si="66"/>
        <v>0</v>
      </c>
      <c r="H259" s="268">
        <f t="shared" si="66"/>
        <v>0</v>
      </c>
      <c r="I259" s="268">
        <f t="shared" si="66"/>
        <v>0</v>
      </c>
      <c r="J259" s="268">
        <f t="shared" si="66"/>
        <v>0</v>
      </c>
      <c r="K259" s="268">
        <f t="shared" si="66"/>
        <v>0</v>
      </c>
      <c r="L259" s="268">
        <f t="shared" si="66"/>
        <v>0</v>
      </c>
      <c r="M259" s="268">
        <f t="shared" si="66"/>
        <v>0</v>
      </c>
      <c r="N259" s="269">
        <f t="shared" si="66"/>
        <v>0</v>
      </c>
      <c r="O259" s="236">
        <f t="shared" si="65"/>
        <v>0</v>
      </c>
      <c r="Q259" s="16"/>
      <c r="R259" s="2"/>
      <c r="S259" s="2"/>
    </row>
    <row r="260" spans="1:19" outlineLevel="2" x14ac:dyDescent="0.25">
      <c r="A260" s="258" t="s">
        <v>309</v>
      </c>
      <c r="B260" s="249"/>
      <c r="C260" s="234"/>
      <c r="D260" s="259"/>
      <c r="E260" s="260"/>
      <c r="F260" s="260"/>
      <c r="G260" s="260"/>
      <c r="H260" s="260"/>
      <c r="I260" s="260"/>
      <c r="J260" s="261"/>
      <c r="K260" s="259"/>
      <c r="L260" s="260"/>
      <c r="M260" s="239"/>
      <c r="N260" s="259"/>
      <c r="O260" s="236">
        <f t="shared" si="65"/>
        <v>0</v>
      </c>
      <c r="Q260" s="16"/>
      <c r="R260" s="2"/>
      <c r="S260" s="2"/>
    </row>
    <row r="261" spans="1:19" outlineLevel="2" x14ac:dyDescent="0.25">
      <c r="A261" s="258" t="s">
        <v>291</v>
      </c>
      <c r="B261" s="249"/>
      <c r="C261" s="234"/>
      <c r="D261" s="259"/>
      <c r="E261" s="260"/>
      <c r="F261" s="260"/>
      <c r="G261" s="260"/>
      <c r="H261" s="260"/>
      <c r="I261" s="260"/>
      <c r="J261" s="261"/>
      <c r="K261" s="259"/>
      <c r="L261" s="260"/>
      <c r="M261" s="239"/>
      <c r="N261" s="259"/>
      <c r="O261" s="236">
        <f t="shared" si="65"/>
        <v>0</v>
      </c>
      <c r="Q261" s="16"/>
      <c r="R261" s="2"/>
      <c r="S261" s="2"/>
    </row>
    <row r="262" spans="1:19" outlineLevel="2" x14ac:dyDescent="0.25">
      <c r="A262" s="258" t="s">
        <v>293</v>
      </c>
      <c r="B262" s="249"/>
      <c r="C262" s="234"/>
      <c r="D262" s="259"/>
      <c r="E262" s="260"/>
      <c r="F262" s="260"/>
      <c r="G262" s="260"/>
      <c r="H262" s="260"/>
      <c r="I262" s="260"/>
      <c r="J262" s="261"/>
      <c r="K262" s="259"/>
      <c r="L262" s="260"/>
      <c r="M262" s="239"/>
      <c r="N262" s="259"/>
      <c r="O262" s="236">
        <f t="shared" si="65"/>
        <v>0</v>
      </c>
      <c r="Q262" s="16"/>
      <c r="R262" s="2"/>
      <c r="S262" s="2"/>
    </row>
    <row r="263" spans="1:19" outlineLevel="2" x14ac:dyDescent="0.25">
      <c r="A263" s="258" t="s">
        <v>295</v>
      </c>
      <c r="B263" s="249"/>
      <c r="C263" s="234"/>
      <c r="D263" s="259"/>
      <c r="E263" s="260"/>
      <c r="F263" s="260"/>
      <c r="G263" s="260"/>
      <c r="H263" s="260"/>
      <c r="I263" s="260"/>
      <c r="J263" s="261"/>
      <c r="K263" s="259"/>
      <c r="L263" s="260"/>
      <c r="M263" s="239"/>
      <c r="N263" s="259"/>
      <c r="O263" s="236">
        <f t="shared" si="65"/>
        <v>0</v>
      </c>
      <c r="Q263" s="16"/>
      <c r="R263" s="2"/>
      <c r="S263" s="2"/>
    </row>
    <row r="264" spans="1:19" outlineLevel="2" x14ac:dyDescent="0.25">
      <c r="A264" s="258" t="s">
        <v>519</v>
      </c>
      <c r="B264" s="249"/>
      <c r="C264" s="234"/>
      <c r="D264" s="259"/>
      <c r="E264" s="260"/>
      <c r="F264" s="260"/>
      <c r="G264" s="260"/>
      <c r="H264" s="260"/>
      <c r="I264" s="260"/>
      <c r="J264" s="261"/>
      <c r="K264" s="259"/>
      <c r="L264" s="260"/>
      <c r="M264" s="239"/>
      <c r="N264" s="259"/>
      <c r="O264" s="236">
        <f t="shared" si="65"/>
        <v>0</v>
      </c>
      <c r="Q264" s="16"/>
      <c r="R264" s="2"/>
      <c r="S264" s="2"/>
    </row>
    <row r="265" spans="1:19" outlineLevel="2" x14ac:dyDescent="0.25">
      <c r="A265" s="258" t="s">
        <v>303</v>
      </c>
      <c r="B265" s="249"/>
      <c r="C265" s="234"/>
      <c r="D265" s="259"/>
      <c r="E265" s="260"/>
      <c r="F265" s="260"/>
      <c r="G265" s="260"/>
      <c r="H265" s="260"/>
      <c r="I265" s="260"/>
      <c r="J265" s="261"/>
      <c r="K265" s="259"/>
      <c r="L265" s="260"/>
      <c r="M265" s="239"/>
      <c r="N265" s="259"/>
      <c r="O265" s="236">
        <f t="shared" si="65"/>
        <v>0</v>
      </c>
      <c r="Q265" s="16"/>
      <c r="R265" s="2"/>
      <c r="S265" s="2"/>
    </row>
    <row r="266" spans="1:19" outlineLevel="2" x14ac:dyDescent="0.25">
      <c r="A266" s="258" t="s">
        <v>522</v>
      </c>
      <c r="B266" s="249"/>
      <c r="C266" s="234"/>
      <c r="D266" s="259"/>
      <c r="E266" s="260"/>
      <c r="F266" s="260"/>
      <c r="G266" s="260"/>
      <c r="H266" s="260"/>
      <c r="I266" s="260"/>
      <c r="J266" s="261"/>
      <c r="K266" s="259"/>
      <c r="L266" s="260"/>
      <c r="M266" s="239"/>
      <c r="N266" s="259"/>
      <c r="O266" s="236">
        <f t="shared" si="65"/>
        <v>0</v>
      </c>
      <c r="Q266" s="16"/>
      <c r="R266" s="2"/>
      <c r="S266" s="2"/>
    </row>
    <row r="267" spans="1:19" outlineLevel="2" x14ac:dyDescent="0.25">
      <c r="A267" s="258" t="s">
        <v>524</v>
      </c>
      <c r="B267" s="249"/>
      <c r="C267" s="234"/>
      <c r="D267" s="259"/>
      <c r="E267" s="260"/>
      <c r="F267" s="260"/>
      <c r="G267" s="260"/>
      <c r="H267" s="260"/>
      <c r="I267" s="260"/>
      <c r="J267" s="261"/>
      <c r="K267" s="259"/>
      <c r="L267" s="260"/>
      <c r="M267" s="239"/>
      <c r="N267" s="259"/>
      <c r="O267" s="236">
        <f t="shared" si="65"/>
        <v>0</v>
      </c>
      <c r="Q267" s="16"/>
      <c r="R267" s="2"/>
      <c r="S267" s="2"/>
    </row>
    <row r="268" spans="1:19" outlineLevel="2" x14ac:dyDescent="0.25">
      <c r="A268" s="258" t="s">
        <v>526</v>
      </c>
      <c r="B268" s="249"/>
      <c r="C268" s="234"/>
      <c r="D268" s="259"/>
      <c r="E268" s="260"/>
      <c r="F268" s="260"/>
      <c r="G268" s="260"/>
      <c r="H268" s="260"/>
      <c r="I268" s="260"/>
      <c r="J268" s="261"/>
      <c r="K268" s="259"/>
      <c r="L268" s="260"/>
      <c r="M268" s="239"/>
      <c r="N268" s="259"/>
      <c r="O268" s="236">
        <f t="shared" si="65"/>
        <v>0</v>
      </c>
      <c r="Q268" s="16"/>
      <c r="R268" s="2"/>
      <c r="S268" s="2"/>
    </row>
    <row r="269" spans="1:19" outlineLevel="2" x14ac:dyDescent="0.25">
      <c r="A269" s="258" t="s">
        <v>528</v>
      </c>
      <c r="B269" s="249"/>
      <c r="C269" s="234"/>
      <c r="D269" s="259"/>
      <c r="E269" s="260"/>
      <c r="F269" s="260"/>
      <c r="G269" s="260"/>
      <c r="H269" s="260"/>
      <c r="I269" s="260"/>
      <c r="J269" s="261"/>
      <c r="K269" s="259"/>
      <c r="L269" s="260"/>
      <c r="M269" s="239"/>
      <c r="N269" s="259"/>
      <c r="O269" s="236">
        <f t="shared" si="65"/>
        <v>0</v>
      </c>
      <c r="Q269" s="16"/>
      <c r="R269" s="2"/>
      <c r="S269" s="2"/>
    </row>
    <row r="270" spans="1:19" s="6" customFormat="1" x14ac:dyDescent="0.25">
      <c r="A270" s="223" t="s">
        <v>530</v>
      </c>
      <c r="B270" s="253"/>
      <c r="C270" s="255">
        <f t="shared" ref="C270:N270" si="67">SUM(C271:C272)</f>
        <v>0</v>
      </c>
      <c r="D270" s="255">
        <f t="shared" si="67"/>
        <v>0</v>
      </c>
      <c r="E270" s="255">
        <f t="shared" si="67"/>
        <v>0</v>
      </c>
      <c r="F270" s="255">
        <f t="shared" si="67"/>
        <v>0</v>
      </c>
      <c r="G270" s="255">
        <f t="shared" si="67"/>
        <v>0</v>
      </c>
      <c r="H270" s="255">
        <f t="shared" si="67"/>
        <v>0</v>
      </c>
      <c r="I270" s="255">
        <f t="shared" si="67"/>
        <v>0</v>
      </c>
      <c r="J270" s="255">
        <f t="shared" si="67"/>
        <v>0</v>
      </c>
      <c r="K270" s="255">
        <f t="shared" si="67"/>
        <v>0</v>
      </c>
      <c r="L270" s="255">
        <f t="shared" si="67"/>
        <v>0</v>
      </c>
      <c r="M270" s="255">
        <f t="shared" si="67"/>
        <v>0</v>
      </c>
      <c r="N270" s="255">
        <f t="shared" si="67"/>
        <v>0</v>
      </c>
      <c r="O270" s="257">
        <f t="shared" si="55"/>
        <v>0</v>
      </c>
      <c r="Q270" s="18"/>
      <c r="R270" s="19"/>
      <c r="S270" s="19"/>
    </row>
    <row r="271" spans="1:19" outlineLevel="2" x14ac:dyDescent="0.25">
      <c r="A271" s="258" t="s">
        <v>532</v>
      </c>
      <c r="B271" s="249"/>
      <c r="C271" s="234"/>
      <c r="D271" s="259"/>
      <c r="E271" s="260"/>
      <c r="F271" s="260"/>
      <c r="G271" s="260"/>
      <c r="H271" s="260"/>
      <c r="I271" s="260"/>
      <c r="J271" s="261"/>
      <c r="K271" s="259"/>
      <c r="L271" s="260"/>
      <c r="M271" s="239"/>
      <c r="N271" s="259"/>
      <c r="O271" s="236">
        <f t="shared" ref="O271" si="68">SUM(C271:N271)</f>
        <v>0</v>
      </c>
      <c r="Q271" s="16"/>
      <c r="R271" s="2"/>
      <c r="S271" s="2"/>
    </row>
    <row r="272" spans="1:19" ht="12.6" outlineLevel="2" thickBot="1" x14ac:dyDescent="0.3">
      <c r="A272" s="258" t="s">
        <v>547</v>
      </c>
      <c r="B272" s="249"/>
      <c r="C272" s="234"/>
      <c r="D272" s="259"/>
      <c r="E272" s="260"/>
      <c r="F272" s="260"/>
      <c r="G272" s="260"/>
      <c r="H272" s="260"/>
      <c r="I272" s="260"/>
      <c r="J272" s="261"/>
      <c r="K272" s="259"/>
      <c r="L272" s="260"/>
      <c r="M272" s="239"/>
      <c r="N272" s="259"/>
      <c r="O272" s="236">
        <f t="shared" si="55"/>
        <v>0</v>
      </c>
      <c r="Q272" s="16"/>
      <c r="R272" s="2"/>
      <c r="S272" s="2"/>
    </row>
    <row r="273" spans="1:19" s="6" customFormat="1" ht="12.6" collapsed="1" thickBot="1" x14ac:dyDescent="0.3">
      <c r="A273" s="196" t="s">
        <v>535</v>
      </c>
      <c r="B273" s="197"/>
      <c r="C273" s="198">
        <f t="shared" ref="C273:N273" si="69">SUM(C27,C82,C100,C167,C154,C183,C199,C221,C238,C255,C270,C17)</f>
        <v>0</v>
      </c>
      <c r="D273" s="199">
        <f t="shared" si="69"/>
        <v>0</v>
      </c>
      <c r="E273" s="199">
        <f t="shared" si="69"/>
        <v>0</v>
      </c>
      <c r="F273" s="199">
        <f t="shared" si="69"/>
        <v>0</v>
      </c>
      <c r="G273" s="199">
        <f t="shared" si="69"/>
        <v>0</v>
      </c>
      <c r="H273" s="199">
        <f t="shared" si="69"/>
        <v>0</v>
      </c>
      <c r="I273" s="199">
        <f t="shared" si="69"/>
        <v>0</v>
      </c>
      <c r="J273" s="199">
        <f t="shared" si="69"/>
        <v>0</v>
      </c>
      <c r="K273" s="199">
        <f t="shared" si="69"/>
        <v>0</v>
      </c>
      <c r="L273" s="199">
        <f t="shared" si="69"/>
        <v>0</v>
      </c>
      <c r="M273" s="199">
        <f t="shared" si="69"/>
        <v>0</v>
      </c>
      <c r="N273" s="200">
        <f t="shared" si="69"/>
        <v>0</v>
      </c>
      <c r="O273" s="201">
        <f t="shared" si="55"/>
        <v>0</v>
      </c>
      <c r="Q273" s="18"/>
      <c r="R273" s="19"/>
      <c r="S273" s="19"/>
    </row>
    <row r="274" spans="1:19" ht="12.6" thickBot="1" x14ac:dyDescent="0.3">
      <c r="B274" s="28"/>
      <c r="C274" s="4"/>
      <c r="D274" s="4"/>
      <c r="E274" s="4"/>
      <c r="F274" s="4"/>
      <c r="G274" s="4"/>
      <c r="H274" s="4"/>
      <c r="K274" s="4"/>
      <c r="L274" s="4"/>
      <c r="M274" s="4"/>
      <c r="N274" s="4"/>
      <c r="O274" s="26">
        <f t="shared" si="55"/>
        <v>0</v>
      </c>
      <c r="Q274" s="17"/>
      <c r="R274" s="2"/>
      <c r="S274" s="2"/>
    </row>
    <row r="275" spans="1:19" s="6" customFormat="1" ht="12.6" thickBot="1" x14ac:dyDescent="0.3">
      <c r="A275" s="24" t="s">
        <v>536</v>
      </c>
      <c r="B275" s="202"/>
      <c r="C275" s="203">
        <f t="shared" ref="C275:N275" si="70">C15-C273</f>
        <v>0</v>
      </c>
      <c r="D275" s="23">
        <f t="shared" si="70"/>
        <v>0</v>
      </c>
      <c r="E275" s="23">
        <f t="shared" si="70"/>
        <v>0</v>
      </c>
      <c r="F275" s="23">
        <f t="shared" si="70"/>
        <v>0</v>
      </c>
      <c r="G275" s="23">
        <f t="shared" si="70"/>
        <v>0</v>
      </c>
      <c r="H275" s="23">
        <f t="shared" si="70"/>
        <v>0</v>
      </c>
      <c r="I275" s="23">
        <f t="shared" si="70"/>
        <v>0</v>
      </c>
      <c r="J275" s="23">
        <f t="shared" si="70"/>
        <v>0</v>
      </c>
      <c r="K275" s="23">
        <f t="shared" si="70"/>
        <v>0</v>
      </c>
      <c r="L275" s="23">
        <f t="shared" si="70"/>
        <v>0</v>
      </c>
      <c r="M275" s="23">
        <f t="shared" si="70"/>
        <v>0</v>
      </c>
      <c r="N275" s="25">
        <f t="shared" si="70"/>
        <v>0</v>
      </c>
      <c r="O275" s="27">
        <f t="shared" si="55"/>
        <v>0</v>
      </c>
      <c r="P275" s="22"/>
      <c r="Q275" s="18"/>
      <c r="R275" s="19"/>
      <c r="S275" s="19"/>
    </row>
    <row r="276" spans="1:19" s="13" customFormat="1" x14ac:dyDescent="0.25">
      <c r="A276" s="277"/>
      <c r="B276" s="277"/>
      <c r="C276" s="278"/>
      <c r="D276" s="278"/>
      <c r="E276" s="278"/>
      <c r="F276" s="278"/>
      <c r="G276" s="278"/>
      <c r="H276" s="278"/>
      <c r="I276" s="278"/>
      <c r="J276" s="278"/>
      <c r="K276" s="278"/>
      <c r="L276" s="278"/>
      <c r="M276" s="278"/>
      <c r="N276" s="278"/>
      <c r="O276" s="279"/>
    </row>
    <row r="278" spans="1:19" x14ac:dyDescent="0.25">
      <c r="G278" s="30">
        <v>11000</v>
      </c>
    </row>
    <row r="279" spans="1:19" x14ac:dyDescent="0.25">
      <c r="G279" s="2"/>
    </row>
    <row r="280" spans="1:19" x14ac:dyDescent="0.25">
      <c r="G280" s="30">
        <v>201.57</v>
      </c>
    </row>
    <row r="281" spans="1:19" x14ac:dyDescent="0.25">
      <c r="G281" s="30">
        <v>384</v>
      </c>
    </row>
    <row r="282" spans="1:19" x14ac:dyDescent="0.25">
      <c r="G282" s="30">
        <v>3849.42</v>
      </c>
    </row>
    <row r="283" spans="1:19" x14ac:dyDescent="0.25">
      <c r="G283" s="30">
        <v>550</v>
      </c>
    </row>
    <row r="284" spans="1:19" x14ac:dyDescent="0.25">
      <c r="G284" s="30">
        <f>SUM(G273,G278:G283)</f>
        <v>15984.99</v>
      </c>
    </row>
    <row r="285" spans="1:19" x14ac:dyDescent="0.25">
      <c r="G285" s="30">
        <v>-114478.52</v>
      </c>
    </row>
    <row r="286" spans="1:19" x14ac:dyDescent="0.25">
      <c r="G286" s="30">
        <f>SUM(G284:G285)</f>
        <v>-98493.53</v>
      </c>
    </row>
  </sheetData>
  <autoFilter ref="C27:O173" xr:uid="{00000000-0001-0000-0300-000000000000}"/>
  <dataConsolidate/>
  <mergeCells count="2">
    <mergeCell ref="A3:A4"/>
    <mergeCell ref="B3:B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225D-4262-4F6C-9AE0-1BF1C306B216}">
  <sheetPr>
    <tabColor rgb="FF002060"/>
    <outlinePr summaryBelow="0"/>
  </sheetPr>
  <dimension ref="A1:S286"/>
  <sheetViews>
    <sheetView showGridLines="0" topLeftCell="A12" zoomScale="85" zoomScaleNormal="85" workbookViewId="0">
      <selection activeCell="N20" sqref="N20"/>
    </sheetView>
  </sheetViews>
  <sheetFormatPr defaultColWidth="13.88671875" defaultRowHeight="12" outlineLevelRow="2" x14ac:dyDescent="0.25"/>
  <cols>
    <col min="1" max="1" width="42.6640625" style="1" bestFit="1" customWidth="1"/>
    <col min="2" max="2" width="4.44140625" style="1" bestFit="1" customWidth="1"/>
    <col min="3" max="3" width="10" style="2" bestFit="1" customWidth="1"/>
    <col min="4" max="8" width="10" style="1" bestFit="1" customWidth="1"/>
    <col min="9" max="10" width="10" style="4" bestFit="1" customWidth="1"/>
    <col min="11" max="11" width="10" style="1" bestFit="1" customWidth="1"/>
    <col min="12" max="12" width="10.5546875" style="1" bestFit="1" customWidth="1"/>
    <col min="13" max="14" width="11.109375" style="1" bestFit="1" customWidth="1"/>
    <col min="15" max="15" width="14.6640625" style="1" bestFit="1" customWidth="1"/>
    <col min="16" max="16" width="1" style="1" customWidth="1"/>
    <col min="17" max="16384" width="13.88671875" style="1"/>
  </cols>
  <sheetData>
    <row r="1" spans="1:19" x14ac:dyDescent="0.25">
      <c r="A1" s="3"/>
      <c r="B1" s="3"/>
    </row>
    <row r="2" spans="1:19" ht="12.6" thickBot="1" x14ac:dyDescent="0.3">
      <c r="A2" s="3"/>
      <c r="B2" s="3"/>
      <c r="C2" s="34"/>
    </row>
    <row r="3" spans="1:19" s="12" customFormat="1" ht="20.100000000000001" customHeight="1" thickTop="1" x14ac:dyDescent="0.25">
      <c r="A3" s="520" t="s">
        <v>652</v>
      </c>
      <c r="B3" s="522"/>
      <c r="C3" s="224">
        <v>2026</v>
      </c>
      <c r="D3" s="224">
        <v>2026</v>
      </c>
      <c r="E3" s="224">
        <v>2026</v>
      </c>
      <c r="F3" s="224">
        <v>2026</v>
      </c>
      <c r="G3" s="224">
        <v>2026</v>
      </c>
      <c r="H3" s="224">
        <v>2026</v>
      </c>
      <c r="I3" s="224">
        <v>2026</v>
      </c>
      <c r="J3" s="224">
        <v>2026</v>
      </c>
      <c r="K3" s="224">
        <v>2026</v>
      </c>
      <c r="L3" s="224">
        <v>2026</v>
      </c>
      <c r="M3" s="224">
        <v>2026</v>
      </c>
      <c r="N3" s="224">
        <v>2026</v>
      </c>
      <c r="O3" s="29">
        <v>2026</v>
      </c>
    </row>
    <row r="4" spans="1:19" x14ac:dyDescent="0.25">
      <c r="A4" s="521"/>
      <c r="B4" s="523"/>
      <c r="C4" s="181" t="s">
        <v>67</v>
      </c>
      <c r="D4" s="176" t="s">
        <v>68</v>
      </c>
      <c r="E4" s="176" t="s">
        <v>69</v>
      </c>
      <c r="F4" s="176" t="s">
        <v>70</v>
      </c>
      <c r="G4" s="176" t="s">
        <v>71</v>
      </c>
      <c r="H4" s="176" t="s">
        <v>72</v>
      </c>
      <c r="I4" s="176" t="s">
        <v>73</v>
      </c>
      <c r="J4" s="176" t="s">
        <v>74</v>
      </c>
      <c r="K4" s="176" t="s">
        <v>75</v>
      </c>
      <c r="L4" s="176" t="s">
        <v>76</v>
      </c>
      <c r="M4" s="176" t="s">
        <v>77</v>
      </c>
      <c r="N4" s="182" t="s">
        <v>78</v>
      </c>
      <c r="O4" s="183" t="s">
        <v>79</v>
      </c>
    </row>
    <row r="5" spans="1:19" x14ac:dyDescent="0.25">
      <c r="A5" s="225" t="s">
        <v>80</v>
      </c>
      <c r="B5" s="226"/>
      <c r="C5" s="227"/>
      <c r="D5" s="228"/>
      <c r="E5" s="229"/>
      <c r="F5" s="228"/>
      <c r="G5" s="228"/>
      <c r="H5" s="230"/>
      <c r="I5" s="230"/>
      <c r="J5" s="228"/>
      <c r="K5" s="230"/>
      <c r="L5" s="230"/>
      <c r="M5" s="228"/>
      <c r="N5" s="231"/>
      <c r="O5" s="232"/>
    </row>
    <row r="6" spans="1:19" outlineLevel="1" x14ac:dyDescent="0.25">
      <c r="A6" s="219" t="s">
        <v>676</v>
      </c>
      <c r="B6" s="233"/>
      <c r="C6" s="234"/>
      <c r="D6" s="234"/>
      <c r="E6" s="234"/>
      <c r="F6" s="234"/>
      <c r="G6" s="234"/>
      <c r="H6" s="234"/>
      <c r="I6" s="234"/>
      <c r="J6" s="234"/>
      <c r="K6" s="234"/>
      <c r="L6" s="235"/>
      <c r="M6" s="235"/>
      <c r="N6" s="235"/>
      <c r="O6" s="236">
        <f t="shared" ref="O6:O15" si="0">SUM(C6:N6)</f>
        <v>0</v>
      </c>
      <c r="Q6" s="16"/>
      <c r="R6" s="2"/>
      <c r="S6" s="2"/>
    </row>
    <row r="7" spans="1:19" outlineLevel="1" x14ac:dyDescent="0.25">
      <c r="A7" s="219" t="s">
        <v>677</v>
      </c>
      <c r="B7" s="233"/>
      <c r="C7" s="237"/>
      <c r="D7" s="237"/>
      <c r="E7" s="238"/>
      <c r="F7" s="239"/>
      <c r="G7" s="238"/>
      <c r="H7" s="238"/>
      <c r="I7" s="238"/>
      <c r="J7" s="240"/>
      <c r="K7" s="237"/>
      <c r="L7" s="237"/>
      <c r="M7" s="238"/>
      <c r="N7" s="239"/>
      <c r="O7" s="236">
        <f t="shared" si="0"/>
        <v>0</v>
      </c>
      <c r="Q7" s="16"/>
      <c r="R7" s="2"/>
      <c r="S7" s="2"/>
    </row>
    <row r="8" spans="1:19" outlineLevel="1" x14ac:dyDescent="0.25">
      <c r="A8" s="219" t="s">
        <v>678</v>
      </c>
      <c r="B8" s="233"/>
      <c r="C8" s="237"/>
      <c r="D8" s="237"/>
      <c r="E8" s="238"/>
      <c r="F8" s="239"/>
      <c r="G8" s="239"/>
      <c r="H8" s="239"/>
      <c r="I8" s="239"/>
      <c r="J8" s="240"/>
      <c r="K8" s="234"/>
      <c r="L8" s="238"/>
      <c r="M8" s="239"/>
      <c r="N8" s="239"/>
      <c r="O8" s="236">
        <f t="shared" si="0"/>
        <v>0</v>
      </c>
      <c r="Q8" s="16"/>
      <c r="R8" s="2"/>
      <c r="S8" s="2"/>
    </row>
    <row r="9" spans="1:19" outlineLevel="1" x14ac:dyDescent="0.25">
      <c r="A9" s="219" t="s">
        <v>679</v>
      </c>
      <c r="B9" s="233"/>
      <c r="C9" s="234"/>
      <c r="D9" s="238"/>
      <c r="E9" s="239"/>
      <c r="F9" s="239"/>
      <c r="G9" s="239"/>
      <c r="H9" s="239"/>
      <c r="I9" s="184"/>
      <c r="J9" s="184"/>
      <c r="K9" s="239"/>
      <c r="L9" s="239"/>
      <c r="M9" s="239"/>
      <c r="N9" s="239"/>
      <c r="O9" s="236">
        <f t="shared" si="0"/>
        <v>0</v>
      </c>
      <c r="Q9" s="16"/>
      <c r="R9" s="2"/>
      <c r="S9" s="2"/>
    </row>
    <row r="10" spans="1:19" outlineLevel="1" x14ac:dyDescent="0.25">
      <c r="A10" s="219"/>
      <c r="B10" s="233"/>
      <c r="C10" s="234"/>
      <c r="D10" s="238"/>
      <c r="E10" s="239"/>
      <c r="F10" s="239"/>
      <c r="G10" s="239"/>
      <c r="H10" s="239"/>
      <c r="I10" s="184"/>
      <c r="J10" s="184"/>
      <c r="K10" s="239"/>
      <c r="L10" s="239"/>
      <c r="M10" s="239"/>
      <c r="N10" s="239"/>
      <c r="O10" s="236"/>
      <c r="Q10" s="16"/>
      <c r="R10" s="2"/>
      <c r="S10" s="2"/>
    </row>
    <row r="11" spans="1:19" ht="12.75" customHeight="1" outlineLevel="1" x14ac:dyDescent="0.25">
      <c r="A11" s="219"/>
      <c r="B11" s="233"/>
      <c r="C11" s="237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6">
        <f t="shared" si="0"/>
        <v>0</v>
      </c>
      <c r="Q11" s="16"/>
      <c r="R11" s="2"/>
      <c r="S11" s="2"/>
    </row>
    <row r="12" spans="1:19" outlineLevel="1" x14ac:dyDescent="0.25">
      <c r="A12" s="219"/>
      <c r="B12" s="233"/>
      <c r="C12" s="237"/>
      <c r="D12" s="239"/>
      <c r="E12" s="239"/>
      <c r="F12" s="239"/>
      <c r="G12" s="239"/>
      <c r="H12" s="239"/>
      <c r="I12" s="239"/>
      <c r="J12" s="241"/>
      <c r="K12" s="239"/>
      <c r="L12" s="239"/>
      <c r="M12" s="239"/>
      <c r="N12" s="239"/>
      <c r="O12" s="236">
        <f t="shared" si="0"/>
        <v>0</v>
      </c>
      <c r="Q12" s="16"/>
      <c r="R12" s="2"/>
      <c r="S12" s="2"/>
    </row>
    <row r="13" spans="1:19" outlineLevel="1" x14ac:dyDescent="0.25">
      <c r="A13" s="219"/>
      <c r="B13" s="233"/>
      <c r="C13" s="237"/>
      <c r="D13" s="239"/>
      <c r="E13" s="239"/>
      <c r="F13" s="239"/>
      <c r="G13" s="239"/>
      <c r="H13" s="239"/>
      <c r="I13" s="239"/>
      <c r="J13" s="241"/>
      <c r="K13" s="239"/>
      <c r="L13" s="239"/>
      <c r="M13" s="239"/>
      <c r="N13" s="239"/>
      <c r="O13" s="236">
        <f t="shared" si="0"/>
        <v>0</v>
      </c>
      <c r="Q13" s="16"/>
      <c r="R13" s="2"/>
      <c r="S13" s="2"/>
    </row>
    <row r="14" spans="1:19" outlineLevel="1" x14ac:dyDescent="0.25">
      <c r="A14" s="219"/>
      <c r="B14" s="233"/>
      <c r="C14" s="237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6">
        <f t="shared" si="0"/>
        <v>0</v>
      </c>
      <c r="Q14" s="16"/>
      <c r="R14" s="2"/>
      <c r="S14" s="2"/>
    </row>
    <row r="15" spans="1:19" x14ac:dyDescent="0.25">
      <c r="A15" s="242" t="s">
        <v>82</v>
      </c>
      <c r="B15" s="243"/>
      <c r="C15" s="244">
        <f t="shared" ref="C15:N15" si="1">SUM(C6:C14)</f>
        <v>0</v>
      </c>
      <c r="D15" s="245">
        <f t="shared" si="1"/>
        <v>0</v>
      </c>
      <c r="E15" s="245">
        <f t="shared" si="1"/>
        <v>0</v>
      </c>
      <c r="F15" s="245">
        <f t="shared" si="1"/>
        <v>0</v>
      </c>
      <c r="G15" s="245">
        <f t="shared" si="1"/>
        <v>0</v>
      </c>
      <c r="H15" s="245">
        <f t="shared" si="1"/>
        <v>0</v>
      </c>
      <c r="I15" s="245">
        <f t="shared" si="1"/>
        <v>0</v>
      </c>
      <c r="J15" s="245">
        <f t="shared" si="1"/>
        <v>0</v>
      </c>
      <c r="K15" s="245">
        <f t="shared" si="1"/>
        <v>0</v>
      </c>
      <c r="L15" s="245">
        <f t="shared" si="1"/>
        <v>0</v>
      </c>
      <c r="M15" s="245">
        <f t="shared" si="1"/>
        <v>0</v>
      </c>
      <c r="N15" s="246">
        <f t="shared" si="1"/>
        <v>0</v>
      </c>
      <c r="O15" s="247">
        <f t="shared" si="0"/>
        <v>0</v>
      </c>
      <c r="Q15" s="16"/>
      <c r="R15" s="2"/>
      <c r="S15" s="2"/>
    </row>
    <row r="16" spans="1:19" x14ac:dyDescent="0.25">
      <c r="A16" s="248"/>
      <c r="B16" s="249"/>
      <c r="C16" s="250"/>
      <c r="D16" s="250"/>
      <c r="E16" s="250"/>
      <c r="F16" s="250"/>
      <c r="G16" s="250"/>
      <c r="H16" s="250"/>
      <c r="I16" s="251"/>
      <c r="J16" s="250"/>
      <c r="K16" s="250"/>
      <c r="L16" s="250"/>
      <c r="M16" s="250"/>
      <c r="N16" s="250"/>
      <c r="O16" s="252"/>
      <c r="Q16" s="16"/>
      <c r="R16" s="2"/>
      <c r="S16" s="2"/>
    </row>
    <row r="17" spans="1:19" x14ac:dyDescent="0.25">
      <c r="A17" s="223" t="s">
        <v>43</v>
      </c>
      <c r="B17" s="253"/>
      <c r="C17" s="254">
        <f t="shared" ref="C17:N17" si="2">SUM(C18:C25)</f>
        <v>0</v>
      </c>
      <c r="D17" s="255">
        <f t="shared" si="2"/>
        <v>0</v>
      </c>
      <c r="E17" s="255">
        <f t="shared" si="2"/>
        <v>0</v>
      </c>
      <c r="F17" s="255">
        <f t="shared" si="2"/>
        <v>0</v>
      </c>
      <c r="G17" s="255">
        <f t="shared" si="2"/>
        <v>0</v>
      </c>
      <c r="H17" s="255">
        <f t="shared" si="2"/>
        <v>0</v>
      </c>
      <c r="I17" s="255">
        <f t="shared" si="2"/>
        <v>0</v>
      </c>
      <c r="J17" s="255">
        <f t="shared" si="2"/>
        <v>0</v>
      </c>
      <c r="K17" s="255">
        <f t="shared" si="2"/>
        <v>0</v>
      </c>
      <c r="L17" s="255">
        <f t="shared" si="2"/>
        <v>0</v>
      </c>
      <c r="M17" s="255">
        <f t="shared" si="2"/>
        <v>0</v>
      </c>
      <c r="N17" s="256">
        <f t="shared" si="2"/>
        <v>0</v>
      </c>
      <c r="O17" s="257">
        <f t="shared" ref="O17" si="3">SUM(C17:N17)</f>
        <v>0</v>
      </c>
      <c r="Q17" s="16"/>
      <c r="R17" s="2"/>
      <c r="S17" s="2"/>
    </row>
    <row r="18" spans="1:19" outlineLevel="2" x14ac:dyDescent="0.25">
      <c r="A18" s="258" t="s">
        <v>84</v>
      </c>
      <c r="B18" s="249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6">
        <f>SUM(C18:N18)</f>
        <v>0</v>
      </c>
      <c r="Q18" s="16"/>
      <c r="R18" s="2"/>
      <c r="S18" s="2"/>
    </row>
    <row r="19" spans="1:19" outlineLevel="2" x14ac:dyDescent="0.25">
      <c r="A19" s="258" t="s">
        <v>86</v>
      </c>
      <c r="B19" s="249">
        <v>0.03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6">
        <f>SUM(C19:N19)</f>
        <v>0</v>
      </c>
      <c r="Q19" s="16"/>
      <c r="R19" s="2"/>
      <c r="S19" s="2"/>
    </row>
    <row r="20" spans="1:19" outlineLevel="2" x14ac:dyDescent="0.25">
      <c r="A20" s="258" t="s">
        <v>88</v>
      </c>
      <c r="B20" s="249"/>
      <c r="C20" s="234"/>
      <c r="D20" s="259"/>
      <c r="E20" s="260"/>
      <c r="F20" s="260"/>
      <c r="G20" s="260"/>
      <c r="H20" s="260"/>
      <c r="I20" s="260"/>
      <c r="J20" s="261"/>
      <c r="K20" s="259"/>
      <c r="L20" s="260"/>
      <c r="M20" s="239"/>
      <c r="N20" s="259"/>
      <c r="O20" s="236">
        <f>SUM(C20:N20)</f>
        <v>0</v>
      </c>
      <c r="Q20" s="16"/>
      <c r="R20" s="2"/>
      <c r="S20" s="2"/>
    </row>
    <row r="21" spans="1:19" outlineLevel="2" x14ac:dyDescent="0.25">
      <c r="A21" s="258" t="s">
        <v>542</v>
      </c>
      <c r="B21" s="249"/>
      <c r="C21" s="234"/>
      <c r="D21" s="262"/>
      <c r="E21" s="263"/>
      <c r="F21" s="263"/>
      <c r="G21" s="263"/>
      <c r="H21" s="263"/>
      <c r="I21" s="263"/>
      <c r="J21" s="264"/>
      <c r="K21" s="262"/>
      <c r="L21" s="263"/>
      <c r="M21" s="234"/>
      <c r="N21" s="262"/>
      <c r="O21" s="236"/>
      <c r="Q21" s="16"/>
      <c r="R21" s="2"/>
      <c r="S21" s="2"/>
    </row>
    <row r="22" spans="1:19" x14ac:dyDescent="0.25">
      <c r="A22" s="258" t="s">
        <v>89</v>
      </c>
      <c r="B22" s="249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6"/>
      <c r="Q22" s="16"/>
      <c r="R22" s="2"/>
      <c r="S22" s="2"/>
    </row>
    <row r="23" spans="1:19" x14ac:dyDescent="0.25">
      <c r="A23" s="258" t="s">
        <v>90</v>
      </c>
      <c r="B23" s="249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6"/>
      <c r="Q23" s="16"/>
      <c r="R23" s="2"/>
      <c r="S23" s="2"/>
    </row>
    <row r="24" spans="1:19" outlineLevel="2" x14ac:dyDescent="0.25">
      <c r="A24" s="258" t="s">
        <v>92</v>
      </c>
      <c r="B24" s="249"/>
      <c r="C24" s="234"/>
      <c r="D24" s="259"/>
      <c r="E24" s="260"/>
      <c r="F24" s="260"/>
      <c r="G24" s="260"/>
      <c r="H24" s="260"/>
      <c r="I24" s="260"/>
      <c r="J24" s="261"/>
      <c r="K24" s="259"/>
      <c r="L24" s="260"/>
      <c r="M24" s="239"/>
      <c r="N24" s="259"/>
      <c r="O24" s="236">
        <f>SUM(C24:N24)</f>
        <v>0</v>
      </c>
      <c r="Q24" s="16"/>
      <c r="R24" s="2"/>
      <c r="S24" s="2"/>
    </row>
    <row r="25" spans="1:19" outlineLevel="2" x14ac:dyDescent="0.25">
      <c r="A25" s="258" t="s">
        <v>94</v>
      </c>
      <c r="B25" s="249"/>
      <c r="C25" s="234"/>
      <c r="D25" s="259"/>
      <c r="E25" s="260"/>
      <c r="F25" s="260"/>
      <c r="G25" s="260"/>
      <c r="H25" s="260"/>
      <c r="I25" s="260"/>
      <c r="J25" s="260"/>
      <c r="K25" s="259"/>
      <c r="L25" s="260"/>
      <c r="M25" s="239"/>
      <c r="N25" s="239"/>
      <c r="O25" s="236">
        <f>SUM(C25:N25)</f>
        <v>0</v>
      </c>
      <c r="Q25" s="16"/>
      <c r="R25" s="2"/>
      <c r="S25" s="2"/>
    </row>
    <row r="26" spans="1:19" x14ac:dyDescent="0.25">
      <c r="A26" s="248"/>
      <c r="B26" s="249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2"/>
      <c r="Q26" s="16"/>
      <c r="R26" s="2"/>
      <c r="S26" s="2"/>
    </row>
    <row r="27" spans="1:19" s="6" customFormat="1" x14ac:dyDescent="0.25">
      <c r="A27" s="223" t="s">
        <v>96</v>
      </c>
      <c r="B27" s="253"/>
      <c r="C27" s="254">
        <f>SUM(C28,C39,C46,C51,C73,C62,C66)</f>
        <v>0</v>
      </c>
      <c r="D27" s="255">
        <f t="shared" ref="D27:N27" si="4">SUM(D28,D39,D46,D51,D73,D62,D66)</f>
        <v>0</v>
      </c>
      <c r="E27" s="255">
        <f t="shared" si="4"/>
        <v>0</v>
      </c>
      <c r="F27" s="255">
        <f t="shared" si="4"/>
        <v>0</v>
      </c>
      <c r="G27" s="255">
        <f>SUM(G28,G39,G46,G51,G73,G62,G66)</f>
        <v>0</v>
      </c>
      <c r="H27" s="255">
        <f t="shared" si="4"/>
        <v>0</v>
      </c>
      <c r="I27" s="255">
        <f t="shared" si="4"/>
        <v>0</v>
      </c>
      <c r="J27" s="255">
        <f>SUM(J28,J39,J46,J51,J73,J62,J66)</f>
        <v>0</v>
      </c>
      <c r="K27" s="255">
        <f t="shared" si="4"/>
        <v>0</v>
      </c>
      <c r="L27" s="255">
        <f t="shared" si="4"/>
        <v>0</v>
      </c>
      <c r="M27" s="255">
        <f t="shared" si="4"/>
        <v>0</v>
      </c>
      <c r="N27" s="256">
        <f t="shared" si="4"/>
        <v>0</v>
      </c>
      <c r="O27" s="257">
        <f t="shared" ref="O27:O85" si="5">SUM(C27:N27)</f>
        <v>0</v>
      </c>
      <c r="Q27" s="18"/>
      <c r="R27" s="19"/>
      <c r="S27" s="19"/>
    </row>
    <row r="28" spans="1:19" outlineLevel="1" x14ac:dyDescent="0.25">
      <c r="A28" s="265" t="s">
        <v>98</v>
      </c>
      <c r="B28" s="266"/>
      <c r="C28" s="267">
        <f t="shared" ref="C28:N28" si="6">SUM(C29:C38)</f>
        <v>0</v>
      </c>
      <c r="D28" s="268">
        <f t="shared" si="6"/>
        <v>0</v>
      </c>
      <c r="E28" s="268">
        <f t="shared" si="6"/>
        <v>0</v>
      </c>
      <c r="F28" s="268">
        <f t="shared" si="6"/>
        <v>0</v>
      </c>
      <c r="G28" s="268">
        <f t="shared" si="6"/>
        <v>0</v>
      </c>
      <c r="H28" s="268">
        <f t="shared" si="6"/>
        <v>0</v>
      </c>
      <c r="I28" s="268">
        <f t="shared" si="6"/>
        <v>0</v>
      </c>
      <c r="J28" s="268">
        <f t="shared" si="6"/>
        <v>0</v>
      </c>
      <c r="K28" s="268">
        <f t="shared" si="6"/>
        <v>0</v>
      </c>
      <c r="L28" s="268">
        <f t="shared" si="6"/>
        <v>0</v>
      </c>
      <c r="M28" s="268">
        <f>SUM(M29:M38)</f>
        <v>0</v>
      </c>
      <c r="N28" s="269">
        <f t="shared" si="6"/>
        <v>0</v>
      </c>
      <c r="O28" s="270">
        <f t="shared" si="5"/>
        <v>0</v>
      </c>
      <c r="Q28" s="16"/>
      <c r="R28" s="2"/>
      <c r="S28" s="2"/>
    </row>
    <row r="29" spans="1:19" outlineLevel="2" x14ac:dyDescent="0.25">
      <c r="A29" s="258" t="s">
        <v>98</v>
      </c>
      <c r="B29" s="249"/>
      <c r="C29" s="234"/>
      <c r="D29" s="234"/>
      <c r="E29" s="260"/>
      <c r="F29" s="260"/>
      <c r="G29" s="260"/>
      <c r="H29" s="260"/>
      <c r="I29" s="261"/>
      <c r="J29" s="261"/>
      <c r="K29" s="260"/>
      <c r="L29" s="260"/>
      <c r="M29" s="239"/>
      <c r="N29" s="259"/>
      <c r="O29" s="236">
        <f t="shared" si="5"/>
        <v>0</v>
      </c>
      <c r="Q29" s="16"/>
      <c r="R29" s="2"/>
      <c r="S29" s="2"/>
    </row>
    <row r="30" spans="1:19" outlineLevel="2" x14ac:dyDescent="0.25">
      <c r="A30" s="258" t="s">
        <v>101</v>
      </c>
      <c r="B30" s="249"/>
      <c r="C30" s="234"/>
      <c r="D30" s="234"/>
      <c r="E30" s="260"/>
      <c r="F30" s="260"/>
      <c r="G30" s="260"/>
      <c r="H30" s="260"/>
      <c r="I30" s="261"/>
      <c r="J30" s="259"/>
      <c r="K30" s="260"/>
      <c r="L30" s="260"/>
      <c r="M30" s="239"/>
      <c r="N30" s="259"/>
      <c r="O30" s="236">
        <f t="shared" si="5"/>
        <v>0</v>
      </c>
      <c r="Q30" s="16"/>
      <c r="R30" s="2"/>
      <c r="S30" s="2"/>
    </row>
    <row r="31" spans="1:19" outlineLevel="2" x14ac:dyDescent="0.25">
      <c r="A31" s="258" t="s">
        <v>103</v>
      </c>
      <c r="B31" s="249"/>
      <c r="C31" s="234"/>
      <c r="D31" s="259"/>
      <c r="E31" s="260"/>
      <c r="F31" s="260"/>
      <c r="G31" s="260"/>
      <c r="H31" s="260"/>
      <c r="I31" s="261"/>
      <c r="J31" s="259"/>
      <c r="K31" s="260"/>
      <c r="L31" s="260"/>
      <c r="M31" s="239"/>
      <c r="N31" s="259"/>
      <c r="O31" s="236">
        <f t="shared" si="5"/>
        <v>0</v>
      </c>
      <c r="Q31" s="16"/>
      <c r="R31" s="2"/>
      <c r="S31" s="2"/>
    </row>
    <row r="32" spans="1:19" outlineLevel="2" x14ac:dyDescent="0.25">
      <c r="A32" s="258" t="s">
        <v>105</v>
      </c>
      <c r="B32" s="249"/>
      <c r="D32" s="259"/>
      <c r="E32" s="260"/>
      <c r="F32" s="260"/>
      <c r="G32" s="260"/>
      <c r="H32" s="260"/>
      <c r="I32" s="261"/>
      <c r="J32" s="259"/>
      <c r="K32" s="260"/>
      <c r="L32" s="260"/>
      <c r="M32" s="239"/>
      <c r="N32" s="259"/>
      <c r="O32" s="236">
        <f t="shared" si="5"/>
        <v>0</v>
      </c>
      <c r="Q32" s="16"/>
      <c r="R32" s="2"/>
      <c r="S32" s="2"/>
    </row>
    <row r="33" spans="1:19" outlineLevel="2" x14ac:dyDescent="0.25">
      <c r="A33" s="258" t="s">
        <v>107</v>
      </c>
      <c r="B33" s="249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6">
        <f t="shared" si="5"/>
        <v>0</v>
      </c>
      <c r="Q33" s="16"/>
      <c r="R33" s="2"/>
      <c r="S33" s="2"/>
    </row>
    <row r="34" spans="1:19" outlineLevel="2" x14ac:dyDescent="0.25">
      <c r="A34" s="258" t="s">
        <v>109</v>
      </c>
      <c r="B34" s="249"/>
      <c r="C34" s="234"/>
      <c r="D34" s="259"/>
      <c r="E34" s="260"/>
      <c r="F34" s="260"/>
      <c r="G34" s="260"/>
      <c r="H34" s="260"/>
      <c r="I34" s="261"/>
      <c r="J34" s="259"/>
      <c r="K34" s="260"/>
      <c r="L34" s="260"/>
      <c r="M34" s="239"/>
      <c r="N34" s="259"/>
      <c r="O34" s="236">
        <f t="shared" si="5"/>
        <v>0</v>
      </c>
      <c r="Q34" s="16"/>
      <c r="R34" s="2"/>
      <c r="S34" s="2"/>
    </row>
    <row r="35" spans="1:19" outlineLevel="2" x14ac:dyDescent="0.25">
      <c r="A35" s="258" t="s">
        <v>111</v>
      </c>
      <c r="B35" s="249"/>
      <c r="C35" s="234"/>
      <c r="D35" s="259"/>
      <c r="E35" s="260"/>
      <c r="F35" s="260"/>
      <c r="G35" s="260"/>
      <c r="H35" s="260"/>
      <c r="I35" s="261"/>
      <c r="J35" s="259"/>
      <c r="K35" s="260"/>
      <c r="L35" s="260"/>
      <c r="M35" s="239"/>
      <c r="N35" s="259"/>
      <c r="O35" s="236">
        <f t="shared" si="5"/>
        <v>0</v>
      </c>
      <c r="Q35" s="16"/>
      <c r="R35" s="2"/>
      <c r="S35" s="2"/>
    </row>
    <row r="36" spans="1:19" outlineLevel="2" x14ac:dyDescent="0.25">
      <c r="A36" s="258" t="s">
        <v>113</v>
      </c>
      <c r="B36" s="249"/>
      <c r="C36" s="234"/>
      <c r="D36" s="259"/>
      <c r="E36" s="260"/>
      <c r="F36" s="260"/>
      <c r="G36" s="260"/>
      <c r="H36" s="260"/>
      <c r="I36" s="261"/>
      <c r="J36" s="259"/>
      <c r="K36" s="260"/>
      <c r="L36" s="260"/>
      <c r="M36" s="239"/>
      <c r="N36" s="259"/>
      <c r="O36" s="236">
        <f t="shared" si="5"/>
        <v>0</v>
      </c>
      <c r="Q36" s="16"/>
      <c r="R36" s="2"/>
      <c r="S36" s="2"/>
    </row>
    <row r="37" spans="1:19" outlineLevel="2" x14ac:dyDescent="0.25">
      <c r="A37" s="258" t="s">
        <v>115</v>
      </c>
      <c r="B37" s="249"/>
      <c r="C37" s="234"/>
      <c r="D37" s="259"/>
      <c r="E37" s="260"/>
      <c r="F37" s="260"/>
      <c r="G37" s="260"/>
      <c r="H37" s="260"/>
      <c r="I37" s="261"/>
      <c r="J37" s="259"/>
      <c r="K37" s="260"/>
      <c r="L37" s="260"/>
      <c r="M37" s="239"/>
      <c r="N37" s="259"/>
      <c r="O37" s="236">
        <f t="shared" si="5"/>
        <v>0</v>
      </c>
      <c r="Q37" s="16"/>
      <c r="R37" s="2"/>
      <c r="S37" s="2"/>
    </row>
    <row r="38" spans="1:19" outlineLevel="2" x14ac:dyDescent="0.25">
      <c r="A38" s="258" t="s">
        <v>117</v>
      </c>
      <c r="B38" s="249"/>
      <c r="C38" s="234"/>
      <c r="D38" s="259"/>
      <c r="E38" s="260"/>
      <c r="F38" s="260"/>
      <c r="G38" s="260"/>
      <c r="H38" s="260"/>
      <c r="I38" s="261"/>
      <c r="J38" s="259"/>
      <c r="K38" s="260"/>
      <c r="L38" s="260"/>
      <c r="M38" s="239"/>
      <c r="N38" s="259"/>
      <c r="O38" s="236">
        <f t="shared" si="5"/>
        <v>0</v>
      </c>
      <c r="Q38" s="16"/>
      <c r="R38" s="2"/>
      <c r="S38" s="2"/>
    </row>
    <row r="39" spans="1:19" outlineLevel="1" x14ac:dyDescent="0.25">
      <c r="A39" s="265" t="s">
        <v>119</v>
      </c>
      <c r="B39" s="266"/>
      <c r="C39" s="267">
        <f>C40+C41+C42+C43+C44+C45</f>
        <v>0</v>
      </c>
      <c r="D39" s="267">
        <f t="shared" ref="D39:N39" si="7">D40+D41+D42+D43+D44+D45</f>
        <v>0</v>
      </c>
      <c r="E39" s="267">
        <f t="shared" si="7"/>
        <v>0</v>
      </c>
      <c r="F39" s="267">
        <f t="shared" si="7"/>
        <v>0</v>
      </c>
      <c r="G39" s="267">
        <f t="shared" si="7"/>
        <v>0</v>
      </c>
      <c r="H39" s="267">
        <f t="shared" si="7"/>
        <v>0</v>
      </c>
      <c r="I39" s="267">
        <f t="shared" si="7"/>
        <v>0</v>
      </c>
      <c r="J39" s="267">
        <f t="shared" si="7"/>
        <v>0</v>
      </c>
      <c r="K39" s="267">
        <f t="shared" si="7"/>
        <v>0</v>
      </c>
      <c r="L39" s="267">
        <f t="shared" si="7"/>
        <v>0</v>
      </c>
      <c r="M39" s="267">
        <f>M40+M41+M42+M43+M44+M45</f>
        <v>0</v>
      </c>
      <c r="N39" s="267">
        <f t="shared" si="7"/>
        <v>0</v>
      </c>
      <c r="O39" s="270">
        <f t="shared" si="5"/>
        <v>0</v>
      </c>
      <c r="Q39" s="16"/>
      <c r="R39" s="2"/>
      <c r="S39" s="2"/>
    </row>
    <row r="40" spans="1:19" outlineLevel="2" x14ac:dyDescent="0.25">
      <c r="A40" s="258" t="s">
        <v>121</v>
      </c>
      <c r="B40" s="249"/>
      <c r="C40" s="234"/>
      <c r="D40" s="259"/>
      <c r="E40" s="260"/>
      <c r="F40" s="260"/>
      <c r="G40" s="260"/>
      <c r="H40" s="260"/>
      <c r="I40" s="261"/>
      <c r="J40" s="259"/>
      <c r="K40" s="260"/>
      <c r="L40" s="260"/>
      <c r="M40" s="239"/>
      <c r="N40" s="259"/>
      <c r="O40" s="236">
        <f t="shared" si="5"/>
        <v>0</v>
      </c>
      <c r="Q40" s="16"/>
      <c r="R40" s="2"/>
      <c r="S40" s="2"/>
    </row>
    <row r="41" spans="1:19" outlineLevel="2" x14ac:dyDescent="0.25">
      <c r="A41" s="258" t="s">
        <v>123</v>
      </c>
      <c r="B41" s="249"/>
      <c r="C41" s="234"/>
      <c r="D41" s="259"/>
      <c r="E41" s="260"/>
      <c r="F41" s="260"/>
      <c r="G41" s="260"/>
      <c r="H41" s="260"/>
      <c r="I41" s="261"/>
      <c r="J41" s="259"/>
      <c r="K41" s="260"/>
      <c r="L41" s="260"/>
      <c r="M41" s="239"/>
      <c r="N41" s="259"/>
      <c r="O41" s="236">
        <f t="shared" si="5"/>
        <v>0</v>
      </c>
      <c r="Q41" s="16"/>
      <c r="R41" s="2"/>
      <c r="S41" s="2"/>
    </row>
    <row r="42" spans="1:19" outlineLevel="2" x14ac:dyDescent="0.25">
      <c r="A42" s="258" t="s">
        <v>125</v>
      </c>
      <c r="B42" s="249"/>
      <c r="C42" s="234"/>
      <c r="D42" s="259"/>
      <c r="E42" s="260"/>
      <c r="F42" s="260"/>
      <c r="G42" s="260"/>
      <c r="H42" s="260"/>
      <c r="I42" s="261"/>
      <c r="J42" s="259"/>
      <c r="K42" s="260"/>
      <c r="L42" s="260"/>
      <c r="M42" s="239"/>
      <c r="N42" s="259"/>
      <c r="O42" s="236">
        <f t="shared" si="5"/>
        <v>0</v>
      </c>
      <c r="Q42" s="16"/>
      <c r="R42" s="2"/>
      <c r="S42" s="2"/>
    </row>
    <row r="43" spans="1:19" outlineLevel="2" x14ac:dyDescent="0.25">
      <c r="A43" s="258" t="s">
        <v>127</v>
      </c>
      <c r="B43" s="249"/>
      <c r="C43" s="234"/>
      <c r="D43" s="259"/>
      <c r="E43" s="260"/>
      <c r="F43" s="260"/>
      <c r="G43" s="260"/>
      <c r="H43" s="260"/>
      <c r="I43" s="261"/>
      <c r="J43" s="259"/>
      <c r="K43" s="260"/>
      <c r="L43" s="260"/>
      <c r="M43" s="239"/>
      <c r="N43" s="259"/>
      <c r="O43" s="236">
        <f t="shared" si="5"/>
        <v>0</v>
      </c>
      <c r="Q43" s="16"/>
      <c r="R43" s="2"/>
      <c r="S43" s="2"/>
    </row>
    <row r="44" spans="1:19" outlineLevel="2" x14ac:dyDescent="0.25">
      <c r="A44" s="258" t="s">
        <v>129</v>
      </c>
      <c r="B44" s="249"/>
      <c r="C44" s="234"/>
      <c r="D44" s="259"/>
      <c r="E44" s="260"/>
      <c r="F44" s="260"/>
      <c r="G44" s="260"/>
      <c r="H44" s="260"/>
      <c r="I44" s="261"/>
      <c r="J44" s="259"/>
      <c r="K44" s="260"/>
      <c r="L44" s="260"/>
      <c r="M44" s="239"/>
      <c r="N44" s="259"/>
      <c r="O44" s="236">
        <f t="shared" si="5"/>
        <v>0</v>
      </c>
      <c r="Q44" s="16"/>
      <c r="R44" s="2"/>
      <c r="S44" s="2"/>
    </row>
    <row r="45" spans="1:19" outlineLevel="2" x14ac:dyDescent="0.25">
      <c r="A45" s="258" t="s">
        <v>131</v>
      </c>
      <c r="B45" s="249"/>
      <c r="C45" s="234"/>
      <c r="D45" s="259"/>
      <c r="E45" s="260"/>
      <c r="F45" s="260"/>
      <c r="G45" s="260"/>
      <c r="H45" s="260"/>
      <c r="I45" s="261"/>
      <c r="J45" s="259"/>
      <c r="K45" s="260"/>
      <c r="L45" s="260"/>
      <c r="M45" s="239"/>
      <c r="N45" s="259"/>
      <c r="O45" s="236">
        <f t="shared" si="5"/>
        <v>0</v>
      </c>
      <c r="Q45" s="16"/>
      <c r="R45" s="2"/>
      <c r="S45" s="2"/>
    </row>
    <row r="46" spans="1:19" outlineLevel="1" x14ac:dyDescent="0.25">
      <c r="A46" s="265" t="s">
        <v>133</v>
      </c>
      <c r="B46" s="266"/>
      <c r="C46" s="267">
        <f t="shared" ref="C46:N46" si="8">C47+C48+C49+C50</f>
        <v>0</v>
      </c>
      <c r="D46" s="267">
        <f t="shared" si="8"/>
        <v>0</v>
      </c>
      <c r="E46" s="267">
        <f t="shared" si="8"/>
        <v>0</v>
      </c>
      <c r="F46" s="267">
        <f t="shared" si="8"/>
        <v>0</v>
      </c>
      <c r="G46" s="267">
        <f t="shared" si="8"/>
        <v>0</v>
      </c>
      <c r="H46" s="267">
        <f t="shared" si="8"/>
        <v>0</v>
      </c>
      <c r="I46" s="267">
        <f t="shared" si="8"/>
        <v>0</v>
      </c>
      <c r="J46" s="267">
        <f t="shared" si="8"/>
        <v>0</v>
      </c>
      <c r="K46" s="267">
        <f t="shared" si="8"/>
        <v>0</v>
      </c>
      <c r="L46" s="267">
        <f t="shared" si="8"/>
        <v>0</v>
      </c>
      <c r="M46" s="267">
        <f>M47+M48+M49+M50</f>
        <v>0</v>
      </c>
      <c r="N46" s="267">
        <f t="shared" si="8"/>
        <v>0</v>
      </c>
      <c r="O46" s="270">
        <f t="shared" si="5"/>
        <v>0</v>
      </c>
      <c r="Q46" s="16"/>
      <c r="R46" s="2"/>
      <c r="S46" s="2"/>
    </row>
    <row r="47" spans="1:19" outlineLevel="2" x14ac:dyDescent="0.25">
      <c r="A47" s="258" t="s">
        <v>135</v>
      </c>
      <c r="B47" s="249"/>
      <c r="C47" s="234"/>
      <c r="D47" s="259"/>
      <c r="E47" s="260"/>
      <c r="F47" s="260"/>
      <c r="G47" s="260"/>
      <c r="H47" s="260"/>
      <c r="I47" s="260"/>
      <c r="J47" s="261"/>
      <c r="K47" s="259"/>
      <c r="L47" s="260"/>
      <c r="M47" s="239"/>
      <c r="N47" s="259"/>
      <c r="O47" s="236">
        <f t="shared" si="5"/>
        <v>0</v>
      </c>
      <c r="Q47" s="16"/>
      <c r="R47" s="2"/>
      <c r="S47" s="2"/>
    </row>
    <row r="48" spans="1:19" outlineLevel="2" x14ac:dyDescent="0.25">
      <c r="A48" s="258" t="s">
        <v>137</v>
      </c>
      <c r="B48" s="249"/>
      <c r="C48" s="234"/>
      <c r="D48" s="259"/>
      <c r="E48" s="260"/>
      <c r="F48" s="260"/>
      <c r="G48" s="260"/>
      <c r="H48" s="260"/>
      <c r="I48" s="260"/>
      <c r="J48" s="261"/>
      <c r="K48" s="259"/>
      <c r="L48" s="260"/>
      <c r="M48" s="239"/>
      <c r="N48" s="259"/>
      <c r="O48" s="236">
        <f t="shared" si="5"/>
        <v>0</v>
      </c>
      <c r="Q48" s="16"/>
      <c r="R48" s="2"/>
      <c r="S48" s="2"/>
    </row>
    <row r="49" spans="1:19" outlineLevel="2" x14ac:dyDescent="0.25">
      <c r="A49" s="258" t="s">
        <v>139</v>
      </c>
      <c r="B49" s="249"/>
      <c r="C49" s="234"/>
      <c r="D49" s="259"/>
      <c r="E49" s="260"/>
      <c r="F49" s="260"/>
      <c r="G49" s="260"/>
      <c r="H49" s="260"/>
      <c r="I49" s="260"/>
      <c r="J49" s="261"/>
      <c r="K49" s="259"/>
      <c r="L49" s="260"/>
      <c r="M49" s="239"/>
      <c r="N49" s="259"/>
      <c r="O49" s="236">
        <f t="shared" si="5"/>
        <v>0</v>
      </c>
      <c r="Q49" s="16"/>
      <c r="R49" s="2"/>
      <c r="S49" s="2"/>
    </row>
    <row r="50" spans="1:19" outlineLevel="2" x14ac:dyDescent="0.25">
      <c r="A50" s="258" t="s">
        <v>141</v>
      </c>
      <c r="B50" s="249"/>
      <c r="C50" s="234"/>
      <c r="D50" s="259"/>
      <c r="E50" s="260"/>
      <c r="F50" s="260"/>
      <c r="G50" s="260"/>
      <c r="H50" s="260"/>
      <c r="I50" s="260"/>
      <c r="J50" s="261"/>
      <c r="K50" s="259"/>
      <c r="L50" s="260"/>
      <c r="M50" s="239"/>
      <c r="N50" s="259"/>
      <c r="O50" s="236">
        <f t="shared" si="5"/>
        <v>0</v>
      </c>
      <c r="Q50" s="16"/>
      <c r="R50" s="2"/>
      <c r="S50" s="2"/>
    </row>
    <row r="51" spans="1:19" outlineLevel="1" x14ac:dyDescent="0.25">
      <c r="A51" s="265" t="s">
        <v>143</v>
      </c>
      <c r="B51" s="266"/>
      <c r="C51" s="267">
        <f>C52+C53+C54+C55+C56+C57+C58+C59+C60+C61</f>
        <v>0</v>
      </c>
      <c r="D51" s="267">
        <f t="shared" ref="D51:I51" si="9">D52+D53+D54+D55+D56+D57+D58+D59+D60+D61</f>
        <v>0</v>
      </c>
      <c r="E51" s="267">
        <f t="shared" si="9"/>
        <v>0</v>
      </c>
      <c r="F51" s="267">
        <f t="shared" si="9"/>
        <v>0</v>
      </c>
      <c r="G51" s="267">
        <f t="shared" si="9"/>
        <v>0</v>
      </c>
      <c r="H51" s="267">
        <f t="shared" si="9"/>
        <v>0</v>
      </c>
      <c r="I51" s="267">
        <f t="shared" si="9"/>
        <v>0</v>
      </c>
      <c r="J51" s="267">
        <f>J52+J53+J54+J55+J56+J57+J58+J59+J60+J61</f>
        <v>0</v>
      </c>
      <c r="K51" s="267">
        <f t="shared" ref="K51:N51" si="10">K52+K53+K54+K55+K56+K57+K58+K59+K60+K61</f>
        <v>0</v>
      </c>
      <c r="L51" s="267">
        <f t="shared" si="10"/>
        <v>0</v>
      </c>
      <c r="M51" s="267">
        <f>M52+M53+M54+M55+M56+M57+M58+M59+M60+M61</f>
        <v>0</v>
      </c>
      <c r="N51" s="267">
        <f t="shared" si="10"/>
        <v>0</v>
      </c>
      <c r="O51" s="270">
        <f t="shared" si="5"/>
        <v>0</v>
      </c>
      <c r="Q51" s="16"/>
      <c r="R51" s="2"/>
      <c r="S51" s="2"/>
    </row>
    <row r="52" spans="1:19" outlineLevel="2" x14ac:dyDescent="0.25">
      <c r="A52" s="258" t="s">
        <v>145</v>
      </c>
      <c r="B52" s="249"/>
      <c r="C52" s="234"/>
      <c r="D52" s="259"/>
      <c r="E52" s="260"/>
      <c r="F52" s="260"/>
      <c r="G52" s="260"/>
      <c r="H52" s="260"/>
      <c r="I52" s="260"/>
      <c r="J52" s="261"/>
      <c r="K52" s="259"/>
      <c r="L52" s="260"/>
      <c r="M52" s="239"/>
      <c r="N52" s="259"/>
      <c r="O52" s="236">
        <f t="shared" si="5"/>
        <v>0</v>
      </c>
      <c r="Q52" s="16"/>
      <c r="R52" s="2"/>
      <c r="S52" s="2"/>
    </row>
    <row r="53" spans="1:19" outlineLevel="2" x14ac:dyDescent="0.25">
      <c r="A53" s="258" t="s">
        <v>147</v>
      </c>
      <c r="B53" s="249"/>
      <c r="C53" s="234"/>
      <c r="D53" s="259"/>
      <c r="E53" s="260"/>
      <c r="F53" s="260"/>
      <c r="G53" s="260"/>
      <c r="H53" s="260"/>
      <c r="I53" s="260"/>
      <c r="J53" s="261"/>
      <c r="K53" s="259"/>
      <c r="L53" s="260"/>
      <c r="M53" s="239"/>
      <c r="N53" s="259"/>
      <c r="O53" s="236">
        <f t="shared" si="5"/>
        <v>0</v>
      </c>
      <c r="Q53" s="16"/>
      <c r="R53" s="2"/>
      <c r="S53" s="2"/>
    </row>
    <row r="54" spans="1:19" outlineLevel="2" x14ac:dyDescent="0.25">
      <c r="A54" s="258" t="s">
        <v>149</v>
      </c>
      <c r="B54" s="249"/>
      <c r="C54" s="234"/>
      <c r="D54" s="259"/>
      <c r="E54" s="260"/>
      <c r="F54" s="260"/>
      <c r="G54" s="260"/>
      <c r="H54" s="260"/>
      <c r="I54" s="260"/>
      <c r="J54" s="261"/>
      <c r="K54" s="259"/>
      <c r="L54" s="260"/>
      <c r="M54" s="239"/>
      <c r="N54" s="259"/>
      <c r="O54" s="236">
        <f t="shared" si="5"/>
        <v>0</v>
      </c>
      <c r="Q54" s="16"/>
      <c r="R54" s="2"/>
      <c r="S54" s="2"/>
    </row>
    <row r="55" spans="1:19" outlineLevel="2" x14ac:dyDescent="0.25">
      <c r="A55" s="258" t="s">
        <v>151</v>
      </c>
      <c r="B55" s="249"/>
      <c r="C55" s="234"/>
      <c r="D55" s="259"/>
      <c r="E55" s="260"/>
      <c r="F55" s="260"/>
      <c r="G55" s="260"/>
      <c r="H55" s="260"/>
      <c r="I55" s="260"/>
      <c r="J55" s="261"/>
      <c r="K55" s="259"/>
      <c r="L55" s="260"/>
      <c r="M55" s="239"/>
      <c r="N55" s="259"/>
      <c r="O55" s="236">
        <f t="shared" si="5"/>
        <v>0</v>
      </c>
      <c r="Q55" s="16"/>
      <c r="R55" s="2"/>
      <c r="S55" s="2"/>
    </row>
    <row r="56" spans="1:19" outlineLevel="2" x14ac:dyDescent="0.25">
      <c r="A56" s="258" t="s">
        <v>153</v>
      </c>
      <c r="B56" s="249"/>
      <c r="C56" s="404"/>
      <c r="D56" s="260"/>
      <c r="E56" s="260"/>
      <c r="F56" s="260"/>
      <c r="G56" s="260"/>
      <c r="H56" s="260"/>
      <c r="I56" s="260"/>
      <c r="J56" s="261"/>
      <c r="K56" s="260"/>
      <c r="L56" s="260"/>
      <c r="M56" s="323"/>
      <c r="N56" s="259"/>
      <c r="O56" s="236">
        <f>SUM(C56:N56)</f>
        <v>0</v>
      </c>
      <c r="Q56" s="16"/>
      <c r="R56" s="2"/>
      <c r="S56" s="2"/>
    </row>
    <row r="57" spans="1:19" outlineLevel="2" x14ac:dyDescent="0.25">
      <c r="A57" s="258" t="s">
        <v>155</v>
      </c>
      <c r="B57" s="249"/>
      <c r="C57" s="404"/>
      <c r="D57" s="260"/>
      <c r="E57" s="260"/>
      <c r="F57" s="260"/>
      <c r="G57" s="260"/>
      <c r="H57" s="260"/>
      <c r="I57" s="260"/>
      <c r="J57" s="261"/>
      <c r="K57" s="260"/>
      <c r="L57" s="260"/>
      <c r="M57" s="323"/>
      <c r="N57" s="259"/>
      <c r="O57" s="236">
        <f t="shared" si="5"/>
        <v>0</v>
      </c>
      <c r="Q57" s="16"/>
      <c r="R57" s="2"/>
      <c r="S57" s="2"/>
    </row>
    <row r="58" spans="1:19" outlineLevel="2" x14ac:dyDescent="0.25">
      <c r="A58" s="258" t="s">
        <v>157</v>
      </c>
      <c r="B58" s="249"/>
      <c r="C58" s="404"/>
      <c r="D58" s="260"/>
      <c r="E58" s="260"/>
      <c r="F58" s="260"/>
      <c r="G58" s="260"/>
      <c r="H58" s="260"/>
      <c r="I58" s="260"/>
      <c r="J58" s="261"/>
      <c r="K58" s="260"/>
      <c r="L58" s="260"/>
      <c r="M58" s="323"/>
      <c r="N58" s="259"/>
      <c r="O58" s="236">
        <f t="shared" si="5"/>
        <v>0</v>
      </c>
      <c r="Q58" s="16"/>
      <c r="R58" s="2"/>
      <c r="S58" s="2"/>
    </row>
    <row r="59" spans="1:19" outlineLevel="2" x14ac:dyDescent="0.25">
      <c r="A59" s="258" t="s">
        <v>159</v>
      </c>
      <c r="B59" s="249"/>
      <c r="C59" s="404"/>
      <c r="D59" s="260"/>
      <c r="E59" s="260"/>
      <c r="F59" s="260"/>
      <c r="G59" s="260"/>
      <c r="H59" s="260"/>
      <c r="I59" s="260"/>
      <c r="J59" s="261"/>
      <c r="K59" s="260"/>
      <c r="L59" s="260"/>
      <c r="M59" s="323"/>
      <c r="N59" s="259"/>
      <c r="O59" s="236">
        <f t="shared" si="5"/>
        <v>0</v>
      </c>
      <c r="Q59" s="16"/>
      <c r="R59" s="2"/>
      <c r="S59" s="2"/>
    </row>
    <row r="60" spans="1:19" outlineLevel="2" x14ac:dyDescent="0.25">
      <c r="A60" s="258" t="s">
        <v>161</v>
      </c>
      <c r="B60" s="249"/>
      <c r="C60" s="404"/>
      <c r="D60" s="260"/>
      <c r="E60" s="260"/>
      <c r="F60" s="260"/>
      <c r="G60" s="260"/>
      <c r="H60" s="260"/>
      <c r="I60" s="260"/>
      <c r="J60" s="261"/>
      <c r="K60" s="260"/>
      <c r="L60" s="260"/>
      <c r="M60" s="323"/>
      <c r="N60" s="259"/>
      <c r="O60" s="236">
        <f t="shared" si="5"/>
        <v>0</v>
      </c>
      <c r="Q60" s="16"/>
      <c r="R60" s="2"/>
      <c r="S60" s="2"/>
    </row>
    <row r="61" spans="1:19" outlineLevel="2" x14ac:dyDescent="0.25">
      <c r="A61" s="258" t="s">
        <v>163</v>
      </c>
      <c r="B61" s="249"/>
      <c r="C61" s="404"/>
      <c r="D61" s="260"/>
      <c r="E61" s="260"/>
      <c r="F61" s="260"/>
      <c r="G61" s="260"/>
      <c r="H61" s="260"/>
      <c r="I61" s="260"/>
      <c r="J61" s="261"/>
      <c r="K61" s="260"/>
      <c r="L61" s="260"/>
      <c r="M61" s="323"/>
      <c r="N61" s="259"/>
      <c r="O61" s="236">
        <f t="shared" si="5"/>
        <v>0</v>
      </c>
      <c r="Q61" s="16"/>
      <c r="R61" s="2"/>
      <c r="S61" s="2"/>
    </row>
    <row r="62" spans="1:19" outlineLevel="1" x14ac:dyDescent="0.25">
      <c r="A62" s="265" t="s">
        <v>543</v>
      </c>
      <c r="B62" s="266"/>
      <c r="C62" s="267">
        <f t="shared" ref="C62:N62" si="11">SUM(C63:C65)</f>
        <v>0</v>
      </c>
      <c r="D62" s="268">
        <f t="shared" si="11"/>
        <v>0</v>
      </c>
      <c r="E62" s="268">
        <f t="shared" si="11"/>
        <v>0</v>
      </c>
      <c r="F62" s="268">
        <f t="shared" si="11"/>
        <v>0</v>
      </c>
      <c r="G62" s="268">
        <f t="shared" si="11"/>
        <v>0</v>
      </c>
      <c r="H62" s="268">
        <f t="shared" si="11"/>
        <v>0</v>
      </c>
      <c r="I62" s="268">
        <f t="shared" si="11"/>
        <v>0</v>
      </c>
      <c r="J62" s="268">
        <f t="shared" si="11"/>
        <v>0</v>
      </c>
      <c r="K62" s="268">
        <f t="shared" si="11"/>
        <v>0</v>
      </c>
      <c r="L62" s="268">
        <f t="shared" si="11"/>
        <v>0</v>
      </c>
      <c r="M62" s="268">
        <f>SUM(M63:M65)</f>
        <v>0</v>
      </c>
      <c r="N62" s="269">
        <f t="shared" si="11"/>
        <v>0</v>
      </c>
      <c r="O62" s="270">
        <f>SUM(C62:N62)</f>
        <v>0</v>
      </c>
      <c r="Q62" s="16"/>
      <c r="R62" s="2"/>
      <c r="S62" s="2"/>
    </row>
    <row r="63" spans="1:19" outlineLevel="2" x14ac:dyDescent="0.25">
      <c r="A63" s="258" t="s">
        <v>167</v>
      </c>
      <c r="B63" s="249"/>
      <c r="C63" s="271"/>
      <c r="D63" s="259"/>
      <c r="E63" s="260"/>
      <c r="F63" s="260"/>
      <c r="G63" s="260"/>
      <c r="H63" s="260"/>
      <c r="I63" s="260"/>
      <c r="J63" s="260"/>
      <c r="K63" s="259"/>
      <c r="L63" s="259"/>
      <c r="M63" s="259"/>
      <c r="N63" s="259"/>
      <c r="O63" s="236">
        <f>SUM(C63:N63)</f>
        <v>0</v>
      </c>
      <c r="Q63" s="16"/>
      <c r="R63" s="2"/>
      <c r="S63" s="2"/>
    </row>
    <row r="64" spans="1:19" outlineLevel="2" x14ac:dyDescent="0.25">
      <c r="A64" s="258" t="s">
        <v>165</v>
      </c>
      <c r="B64" s="249"/>
      <c r="C64" s="271"/>
      <c r="D64" s="259"/>
      <c r="E64" s="260"/>
      <c r="F64" s="260"/>
      <c r="G64" s="260"/>
      <c r="H64" s="260"/>
      <c r="I64" s="260"/>
      <c r="J64" s="260"/>
      <c r="K64" s="259"/>
      <c r="L64" s="259"/>
      <c r="M64" s="259"/>
      <c r="N64" s="259"/>
      <c r="O64" s="236"/>
      <c r="Q64" s="16"/>
      <c r="R64" s="2"/>
      <c r="S64" s="2"/>
    </row>
    <row r="65" spans="1:19" outlineLevel="2" x14ac:dyDescent="0.25">
      <c r="A65" s="258" t="s">
        <v>169</v>
      </c>
      <c r="B65" s="249"/>
      <c r="C65" s="234"/>
      <c r="D65" s="259"/>
      <c r="E65" s="260"/>
      <c r="F65" s="260"/>
      <c r="G65" s="260"/>
      <c r="H65" s="260"/>
      <c r="I65" s="260"/>
      <c r="J65" s="261"/>
      <c r="K65" s="259"/>
      <c r="L65" s="260"/>
      <c r="M65" s="239"/>
      <c r="N65" s="259"/>
      <c r="O65" s="236">
        <f t="shared" ref="O65:O71" si="12">SUM(C65:N65)</f>
        <v>0</v>
      </c>
      <c r="Q65" s="16"/>
      <c r="R65" s="2"/>
      <c r="S65" s="2"/>
    </row>
    <row r="66" spans="1:19" outlineLevel="1" x14ac:dyDescent="0.25">
      <c r="A66" s="265" t="s">
        <v>171</v>
      </c>
      <c r="B66" s="266"/>
      <c r="C66" s="267">
        <f t="shared" ref="C66:N66" si="13">SUM(C67:C72)</f>
        <v>0</v>
      </c>
      <c r="D66" s="268">
        <f t="shared" si="13"/>
        <v>0</v>
      </c>
      <c r="E66" s="268">
        <f t="shared" si="13"/>
        <v>0</v>
      </c>
      <c r="F66" s="268">
        <f t="shared" si="13"/>
        <v>0</v>
      </c>
      <c r="G66" s="268">
        <f>SUM(G67:G72)</f>
        <v>0</v>
      </c>
      <c r="H66" s="268">
        <f t="shared" si="13"/>
        <v>0</v>
      </c>
      <c r="I66" s="268">
        <f t="shared" si="13"/>
        <v>0</v>
      </c>
      <c r="J66" s="268">
        <f t="shared" si="13"/>
        <v>0</v>
      </c>
      <c r="K66" s="268">
        <f>SUM(K67:K72)</f>
        <v>0</v>
      </c>
      <c r="L66" s="268">
        <f t="shared" si="13"/>
        <v>0</v>
      </c>
      <c r="M66" s="268">
        <f t="shared" si="13"/>
        <v>0</v>
      </c>
      <c r="N66" s="269">
        <f t="shared" si="13"/>
        <v>0</v>
      </c>
      <c r="O66" s="270">
        <f t="shared" si="12"/>
        <v>0</v>
      </c>
      <c r="Q66" s="16"/>
      <c r="R66" s="2"/>
      <c r="S66" s="2"/>
    </row>
    <row r="67" spans="1:19" outlineLevel="2" x14ac:dyDescent="0.25">
      <c r="A67" s="258" t="s">
        <v>173</v>
      </c>
      <c r="B67" s="249"/>
      <c r="C67" s="234"/>
      <c r="D67" s="259"/>
      <c r="E67" s="260"/>
      <c r="F67" s="260"/>
      <c r="G67" s="260"/>
      <c r="H67" s="260"/>
      <c r="I67" s="260"/>
      <c r="J67" s="261"/>
      <c r="K67" s="259"/>
      <c r="L67" s="260"/>
      <c r="M67" s="239"/>
      <c r="N67" s="259"/>
      <c r="O67" s="270">
        <f t="shared" si="12"/>
        <v>0</v>
      </c>
      <c r="Q67" s="16"/>
      <c r="R67" s="2"/>
      <c r="S67" s="2"/>
    </row>
    <row r="68" spans="1:19" outlineLevel="2" x14ac:dyDescent="0.25">
      <c r="A68" s="258" t="s">
        <v>174</v>
      </c>
      <c r="B68" s="249"/>
      <c r="C68" s="234"/>
      <c r="D68" s="262"/>
      <c r="E68" s="263"/>
      <c r="F68" s="263"/>
      <c r="G68" s="263"/>
      <c r="H68" s="262"/>
      <c r="I68" s="263"/>
      <c r="J68" s="272"/>
      <c r="K68" s="262"/>
      <c r="L68" s="263"/>
      <c r="M68" s="234"/>
      <c r="N68" s="259"/>
      <c r="O68" s="270">
        <f t="shared" si="12"/>
        <v>0</v>
      </c>
      <c r="Q68" s="16"/>
      <c r="R68" s="2"/>
      <c r="S68" s="2"/>
    </row>
    <row r="69" spans="1:19" outlineLevel="2" x14ac:dyDescent="0.25">
      <c r="A69" s="258" t="s">
        <v>175</v>
      </c>
      <c r="B69" s="249"/>
      <c r="C69" s="234"/>
      <c r="D69" s="234"/>
      <c r="E69" s="263"/>
      <c r="F69" s="263"/>
      <c r="G69" s="263"/>
      <c r="H69" s="263"/>
      <c r="I69" s="263"/>
      <c r="J69" s="272"/>
      <c r="K69" s="262"/>
      <c r="L69" s="263"/>
      <c r="M69" s="234"/>
      <c r="N69" s="259"/>
      <c r="O69" s="270">
        <f t="shared" si="12"/>
        <v>0</v>
      </c>
      <c r="Q69" s="16"/>
      <c r="R69" s="2"/>
      <c r="S69" s="2"/>
    </row>
    <row r="70" spans="1:19" outlineLevel="2" x14ac:dyDescent="0.25">
      <c r="A70" s="258" t="s">
        <v>176</v>
      </c>
      <c r="B70" s="249"/>
      <c r="C70" s="234"/>
      <c r="D70" s="234"/>
      <c r="E70" s="263"/>
      <c r="F70" s="263"/>
      <c r="G70" s="263"/>
      <c r="H70" s="263"/>
      <c r="I70" s="263"/>
      <c r="J70" s="264"/>
      <c r="K70" s="262"/>
      <c r="L70" s="263"/>
      <c r="M70" s="234"/>
      <c r="N70" s="259"/>
      <c r="O70" s="270">
        <f t="shared" si="12"/>
        <v>0</v>
      </c>
      <c r="Q70" s="16"/>
      <c r="R70" s="2"/>
      <c r="S70" s="2"/>
    </row>
    <row r="71" spans="1:19" outlineLevel="2" x14ac:dyDescent="0.25">
      <c r="A71" s="258" t="s">
        <v>177</v>
      </c>
      <c r="B71" s="249"/>
      <c r="C71" s="271"/>
      <c r="D71" s="259"/>
      <c r="E71" s="260"/>
      <c r="F71" s="260"/>
      <c r="G71" s="263"/>
      <c r="H71" s="263"/>
      <c r="I71" s="263"/>
      <c r="J71" s="264"/>
      <c r="K71" s="262"/>
      <c r="L71" s="263"/>
      <c r="M71" s="234"/>
      <c r="N71" s="259"/>
      <c r="O71" s="270">
        <f t="shared" si="12"/>
        <v>0</v>
      </c>
      <c r="Q71" s="16"/>
      <c r="R71" s="2"/>
      <c r="S71" s="2"/>
    </row>
    <row r="72" spans="1:19" outlineLevel="2" x14ac:dyDescent="0.25">
      <c r="A72" s="258" t="s">
        <v>179</v>
      </c>
      <c r="B72" s="249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59"/>
      <c r="O72" s="270">
        <f>SUM(C72:N72)</f>
        <v>0</v>
      </c>
      <c r="Q72" s="16"/>
      <c r="R72" s="2"/>
      <c r="S72" s="2"/>
    </row>
    <row r="73" spans="1:19" outlineLevel="1" x14ac:dyDescent="0.25">
      <c r="A73" s="265" t="s">
        <v>181</v>
      </c>
      <c r="B73" s="266"/>
      <c r="C73" s="267">
        <f t="shared" ref="C73:N73" si="14">SUM(C74:C81)</f>
        <v>0</v>
      </c>
      <c r="D73" s="268">
        <f t="shared" si="14"/>
        <v>0</v>
      </c>
      <c r="E73" s="268">
        <f t="shared" si="14"/>
        <v>0</v>
      </c>
      <c r="F73" s="268">
        <f t="shared" si="14"/>
        <v>0</v>
      </c>
      <c r="G73" s="268">
        <f t="shared" si="14"/>
        <v>0</v>
      </c>
      <c r="H73" s="268">
        <f t="shared" si="14"/>
        <v>0</v>
      </c>
      <c r="I73" s="268">
        <f t="shared" si="14"/>
        <v>0</v>
      </c>
      <c r="J73" s="268">
        <f t="shared" si="14"/>
        <v>0</v>
      </c>
      <c r="K73" s="268">
        <f t="shared" si="14"/>
        <v>0</v>
      </c>
      <c r="L73" s="268">
        <f t="shared" si="14"/>
        <v>0</v>
      </c>
      <c r="M73" s="268">
        <f t="shared" si="14"/>
        <v>0</v>
      </c>
      <c r="N73" s="269">
        <f t="shared" si="14"/>
        <v>0</v>
      </c>
      <c r="O73" s="270">
        <f t="shared" si="5"/>
        <v>0</v>
      </c>
      <c r="Q73" s="16"/>
      <c r="R73" s="2"/>
      <c r="S73" s="2"/>
    </row>
    <row r="74" spans="1:19" outlineLevel="2" x14ac:dyDescent="0.25">
      <c r="A74" s="258" t="s">
        <v>183</v>
      </c>
      <c r="B74" s="249"/>
      <c r="C74" s="234"/>
      <c r="D74" s="259"/>
      <c r="E74" s="260"/>
      <c r="F74" s="260"/>
      <c r="G74" s="260"/>
      <c r="H74" s="260"/>
      <c r="I74" s="260"/>
      <c r="J74" s="261"/>
      <c r="K74" s="259"/>
      <c r="L74" s="260"/>
      <c r="M74" s="239"/>
      <c r="N74" s="259"/>
      <c r="O74" s="236">
        <f t="shared" si="5"/>
        <v>0</v>
      </c>
      <c r="Q74" s="16"/>
      <c r="R74" s="2"/>
      <c r="S74" s="2"/>
    </row>
    <row r="75" spans="1:19" outlineLevel="2" x14ac:dyDescent="0.25">
      <c r="A75" s="258" t="s">
        <v>185</v>
      </c>
      <c r="B75" s="249"/>
      <c r="C75" s="234"/>
      <c r="D75" s="259"/>
      <c r="E75" s="260"/>
      <c r="F75" s="260"/>
      <c r="G75" s="260"/>
      <c r="H75" s="260"/>
      <c r="I75" s="260"/>
      <c r="J75" s="261"/>
      <c r="K75" s="259"/>
      <c r="L75" s="260"/>
      <c r="M75" s="239"/>
      <c r="N75" s="259"/>
      <c r="O75" s="236">
        <f t="shared" si="5"/>
        <v>0</v>
      </c>
      <c r="Q75" s="16"/>
      <c r="R75" s="2"/>
      <c r="S75" s="2"/>
    </row>
    <row r="76" spans="1:19" outlineLevel="2" x14ac:dyDescent="0.25">
      <c r="A76" s="258" t="s">
        <v>187</v>
      </c>
      <c r="B76" s="249"/>
      <c r="C76" s="234"/>
      <c r="D76" s="259"/>
      <c r="E76" s="260"/>
      <c r="F76" s="260"/>
      <c r="G76" s="260"/>
      <c r="H76" s="260"/>
      <c r="I76" s="260"/>
      <c r="J76" s="261"/>
      <c r="K76" s="259"/>
      <c r="L76" s="260"/>
      <c r="M76" s="239"/>
      <c r="N76" s="259"/>
      <c r="O76" s="236">
        <f t="shared" si="5"/>
        <v>0</v>
      </c>
      <c r="Q76" s="16"/>
      <c r="R76" s="2"/>
      <c r="S76" s="2"/>
    </row>
    <row r="77" spans="1:19" outlineLevel="2" x14ac:dyDescent="0.25">
      <c r="A77" s="258" t="s">
        <v>189</v>
      </c>
      <c r="B77" s="249"/>
      <c r="C77" s="234"/>
      <c r="D77" s="259"/>
      <c r="E77" s="260"/>
      <c r="F77" s="260"/>
      <c r="G77" s="260"/>
      <c r="H77" s="260"/>
      <c r="I77" s="260"/>
      <c r="J77" s="261"/>
      <c r="K77" s="259"/>
      <c r="L77" s="260"/>
      <c r="M77" s="239"/>
      <c r="N77" s="259"/>
      <c r="O77" s="236">
        <f t="shared" si="5"/>
        <v>0</v>
      </c>
      <c r="Q77" s="16"/>
      <c r="R77" s="2"/>
      <c r="S77" s="2"/>
    </row>
    <row r="78" spans="1:19" outlineLevel="2" x14ac:dyDescent="0.25">
      <c r="A78" s="258" t="s">
        <v>191</v>
      </c>
      <c r="B78" s="249"/>
      <c r="C78" s="234"/>
      <c r="D78" s="259"/>
      <c r="E78" s="260"/>
      <c r="F78" s="260"/>
      <c r="G78" s="260"/>
      <c r="H78" s="260"/>
      <c r="I78" s="260"/>
      <c r="J78" s="261"/>
      <c r="K78" s="259"/>
      <c r="L78" s="260"/>
      <c r="M78" s="239"/>
      <c r="N78" s="259"/>
      <c r="O78" s="236">
        <f t="shared" si="5"/>
        <v>0</v>
      </c>
      <c r="Q78" s="16"/>
      <c r="R78" s="2"/>
      <c r="S78" s="2"/>
    </row>
    <row r="79" spans="1:19" outlineLevel="2" x14ac:dyDescent="0.25">
      <c r="A79" s="258" t="s">
        <v>193</v>
      </c>
      <c r="B79" s="249"/>
      <c r="C79" s="234"/>
      <c r="D79" s="259"/>
      <c r="E79" s="260"/>
      <c r="F79" s="260"/>
      <c r="G79" s="260"/>
      <c r="H79" s="260"/>
      <c r="I79" s="260"/>
      <c r="J79" s="261"/>
      <c r="K79" s="259"/>
      <c r="L79" s="260"/>
      <c r="M79" s="239"/>
      <c r="N79" s="259"/>
      <c r="O79" s="236">
        <f t="shared" si="5"/>
        <v>0</v>
      </c>
      <c r="Q79" s="16"/>
      <c r="R79" s="2"/>
      <c r="S79" s="2"/>
    </row>
    <row r="80" spans="1:19" outlineLevel="2" x14ac:dyDescent="0.25">
      <c r="A80" s="258" t="s">
        <v>195</v>
      </c>
      <c r="B80" s="249"/>
      <c r="C80" s="234"/>
      <c r="D80" s="259"/>
      <c r="E80" s="260"/>
      <c r="F80" s="260"/>
      <c r="G80" s="260"/>
      <c r="H80" s="260"/>
      <c r="I80" s="260"/>
      <c r="J80" s="261"/>
      <c r="K80" s="259"/>
      <c r="L80" s="260"/>
      <c r="M80" s="239"/>
      <c r="N80" s="259"/>
      <c r="O80" s="236">
        <f t="shared" si="5"/>
        <v>0</v>
      </c>
      <c r="Q80" s="16"/>
      <c r="R80" s="2"/>
      <c r="S80" s="2"/>
    </row>
    <row r="81" spans="1:19" outlineLevel="2" x14ac:dyDescent="0.25">
      <c r="A81" s="258" t="s">
        <v>197</v>
      </c>
      <c r="B81" s="249"/>
      <c r="C81" s="234"/>
      <c r="D81" s="259"/>
      <c r="E81" s="260"/>
      <c r="F81" s="260"/>
      <c r="G81" s="260"/>
      <c r="H81" s="260"/>
      <c r="I81" s="260"/>
      <c r="J81" s="261"/>
      <c r="K81" s="259"/>
      <c r="L81" s="260"/>
      <c r="M81" s="239"/>
      <c r="N81" s="259"/>
      <c r="O81" s="236">
        <f t="shared" si="5"/>
        <v>0</v>
      </c>
      <c r="Q81" s="16"/>
      <c r="R81" s="2"/>
      <c r="S81" s="2"/>
    </row>
    <row r="82" spans="1:19" s="6" customFormat="1" x14ac:dyDescent="0.25">
      <c r="A82" s="223" t="s">
        <v>199</v>
      </c>
      <c r="B82" s="253"/>
      <c r="C82" s="254">
        <f>SUM(C83,C88,C92,C94,C86)</f>
        <v>0</v>
      </c>
      <c r="D82" s="254">
        <f t="shared" ref="D82:N82" si="15">SUM(D83,D88,D92,D94,D86)</f>
        <v>0</v>
      </c>
      <c r="E82" s="254">
        <f t="shared" si="15"/>
        <v>0</v>
      </c>
      <c r="F82" s="254">
        <f t="shared" si="15"/>
        <v>0</v>
      </c>
      <c r="G82" s="255">
        <f t="shared" si="15"/>
        <v>0</v>
      </c>
      <c r="H82" s="255">
        <f t="shared" si="15"/>
        <v>0</v>
      </c>
      <c r="I82" s="255">
        <f t="shared" si="15"/>
        <v>0</v>
      </c>
      <c r="J82" s="255">
        <f t="shared" si="15"/>
        <v>0</v>
      </c>
      <c r="K82" s="255">
        <f t="shared" si="15"/>
        <v>0</v>
      </c>
      <c r="L82" s="255">
        <f t="shared" si="15"/>
        <v>0</v>
      </c>
      <c r="M82" s="255">
        <f t="shared" si="15"/>
        <v>0</v>
      </c>
      <c r="N82" s="256">
        <f t="shared" si="15"/>
        <v>0</v>
      </c>
      <c r="O82" s="257">
        <f t="shared" si="5"/>
        <v>0</v>
      </c>
      <c r="Q82" s="18"/>
      <c r="R82" s="19"/>
      <c r="S82" s="19"/>
    </row>
    <row r="83" spans="1:19" outlineLevel="1" x14ac:dyDescent="0.25">
      <c r="A83" s="265" t="s">
        <v>201</v>
      </c>
      <c r="B83" s="266"/>
      <c r="C83" s="267">
        <f t="shared" ref="C83:N83" si="16">SUM(C84:C85)</f>
        <v>0</v>
      </c>
      <c r="D83" s="268">
        <f t="shared" si="16"/>
        <v>0</v>
      </c>
      <c r="E83" s="268">
        <f t="shared" si="16"/>
        <v>0</v>
      </c>
      <c r="F83" s="268">
        <f t="shared" si="16"/>
        <v>0</v>
      </c>
      <c r="G83" s="268">
        <f t="shared" si="16"/>
        <v>0</v>
      </c>
      <c r="H83" s="268">
        <f t="shared" si="16"/>
        <v>0</v>
      </c>
      <c r="I83" s="268">
        <f t="shared" si="16"/>
        <v>0</v>
      </c>
      <c r="J83" s="268">
        <f t="shared" si="16"/>
        <v>0</v>
      </c>
      <c r="K83" s="268">
        <f t="shared" si="16"/>
        <v>0</v>
      </c>
      <c r="L83" s="268">
        <f t="shared" si="16"/>
        <v>0</v>
      </c>
      <c r="M83" s="268">
        <f t="shared" si="16"/>
        <v>0</v>
      </c>
      <c r="N83" s="269">
        <f t="shared" si="16"/>
        <v>0</v>
      </c>
      <c r="O83" s="270">
        <f t="shared" si="5"/>
        <v>0</v>
      </c>
      <c r="Q83" s="16"/>
      <c r="R83" s="2"/>
      <c r="S83" s="2"/>
    </row>
    <row r="84" spans="1:19" outlineLevel="2" x14ac:dyDescent="0.25">
      <c r="A84" s="258" t="s">
        <v>203</v>
      </c>
      <c r="B84" s="249"/>
      <c r="C84" s="234"/>
      <c r="D84" s="259"/>
      <c r="E84" s="260"/>
      <c r="F84" s="260"/>
      <c r="G84" s="260"/>
      <c r="H84" s="260"/>
      <c r="I84" s="260"/>
      <c r="J84" s="261"/>
      <c r="K84" s="259"/>
      <c r="L84" s="260"/>
      <c r="M84" s="239"/>
      <c r="N84" s="259"/>
      <c r="O84" s="270">
        <f t="shared" si="5"/>
        <v>0</v>
      </c>
      <c r="Q84" s="16"/>
      <c r="R84" s="2"/>
      <c r="S84" s="2"/>
    </row>
    <row r="85" spans="1:19" outlineLevel="2" x14ac:dyDescent="0.25">
      <c r="A85" s="258" t="s">
        <v>205</v>
      </c>
      <c r="B85" s="249"/>
      <c r="C85" s="234"/>
      <c r="D85" s="259"/>
      <c r="E85" s="260"/>
      <c r="F85" s="260"/>
      <c r="G85" s="260"/>
      <c r="H85" s="260"/>
      <c r="I85" s="260"/>
      <c r="J85" s="261"/>
      <c r="K85" s="259"/>
      <c r="L85" s="260"/>
      <c r="M85" s="239"/>
      <c r="N85" s="259"/>
      <c r="O85" s="270">
        <f t="shared" si="5"/>
        <v>0</v>
      </c>
      <c r="Q85" s="16"/>
      <c r="R85" s="2"/>
      <c r="S85" s="2"/>
    </row>
    <row r="86" spans="1:19" outlineLevel="1" x14ac:dyDescent="0.25">
      <c r="A86" s="265" t="s">
        <v>206</v>
      </c>
      <c r="B86" s="266"/>
      <c r="C86" s="267">
        <f t="shared" ref="C86:N86" si="17">SUM(C87:C87)</f>
        <v>0</v>
      </c>
      <c r="D86" s="267">
        <f t="shared" si="17"/>
        <v>0</v>
      </c>
      <c r="E86" s="267">
        <f t="shared" si="17"/>
        <v>0</v>
      </c>
      <c r="F86" s="267">
        <f t="shared" si="17"/>
        <v>0</v>
      </c>
      <c r="G86" s="267">
        <f t="shared" si="17"/>
        <v>0</v>
      </c>
      <c r="H86" s="267">
        <f t="shared" si="17"/>
        <v>0</v>
      </c>
      <c r="I86" s="267">
        <f t="shared" si="17"/>
        <v>0</v>
      </c>
      <c r="J86" s="267">
        <f t="shared" si="17"/>
        <v>0</v>
      </c>
      <c r="K86" s="267">
        <f t="shared" si="17"/>
        <v>0</v>
      </c>
      <c r="L86" s="267">
        <f t="shared" si="17"/>
        <v>0</v>
      </c>
      <c r="M86" s="267">
        <f t="shared" si="17"/>
        <v>0</v>
      </c>
      <c r="N86" s="267">
        <f t="shared" si="17"/>
        <v>0</v>
      </c>
      <c r="O86" s="270">
        <f>SUM(C86:N86)</f>
        <v>0</v>
      </c>
      <c r="Q86" s="16"/>
      <c r="R86" s="2"/>
      <c r="S86" s="2"/>
    </row>
    <row r="87" spans="1:19" outlineLevel="2" x14ac:dyDescent="0.25">
      <c r="A87" s="258" t="s">
        <v>207</v>
      </c>
      <c r="B87" s="249"/>
      <c r="C87" s="234"/>
      <c r="D87" s="259"/>
      <c r="E87" s="260"/>
      <c r="F87" s="260"/>
      <c r="G87" s="260"/>
      <c r="H87" s="260"/>
      <c r="I87" s="260"/>
      <c r="J87" s="261"/>
      <c r="K87" s="259"/>
      <c r="L87" s="260"/>
      <c r="M87" s="239"/>
      <c r="N87" s="259"/>
      <c r="O87" s="270">
        <f>SUM(C87:N87)</f>
        <v>0</v>
      </c>
      <c r="Q87" s="16"/>
      <c r="R87" s="2"/>
      <c r="S87" s="2"/>
    </row>
    <row r="88" spans="1:19" outlineLevel="1" x14ac:dyDescent="0.25">
      <c r="A88" s="265" t="s">
        <v>209</v>
      </c>
      <c r="B88" s="266"/>
      <c r="C88" s="267">
        <f t="shared" ref="C88:N88" si="18">SUM(C89:C91)</f>
        <v>0</v>
      </c>
      <c r="D88" s="268">
        <f t="shared" si="18"/>
        <v>0</v>
      </c>
      <c r="E88" s="268">
        <f t="shared" si="18"/>
        <v>0</v>
      </c>
      <c r="F88" s="268">
        <f t="shared" si="18"/>
        <v>0</v>
      </c>
      <c r="G88" s="268">
        <f t="shared" si="18"/>
        <v>0</v>
      </c>
      <c r="H88" s="268">
        <f t="shared" si="18"/>
        <v>0</v>
      </c>
      <c r="I88" s="268">
        <f t="shared" si="18"/>
        <v>0</v>
      </c>
      <c r="J88" s="268">
        <f t="shared" si="18"/>
        <v>0</v>
      </c>
      <c r="K88" s="268">
        <f t="shared" si="18"/>
        <v>0</v>
      </c>
      <c r="L88" s="268">
        <f t="shared" si="18"/>
        <v>0</v>
      </c>
      <c r="M88" s="268">
        <f t="shared" si="18"/>
        <v>0</v>
      </c>
      <c r="N88" s="269">
        <f t="shared" si="18"/>
        <v>0</v>
      </c>
      <c r="O88" s="270">
        <f>SUM(C88:N88)</f>
        <v>0</v>
      </c>
      <c r="Q88" s="16"/>
      <c r="R88" s="2"/>
      <c r="S88" s="2"/>
    </row>
    <row r="89" spans="1:19" outlineLevel="2" x14ac:dyDescent="0.25">
      <c r="A89" s="258" t="s">
        <v>211</v>
      </c>
      <c r="B89" s="249"/>
      <c r="C89" s="234"/>
      <c r="D89" s="259"/>
      <c r="E89" s="260"/>
      <c r="F89" s="260"/>
      <c r="G89" s="260"/>
      <c r="H89" s="260"/>
      <c r="I89" s="260"/>
      <c r="J89" s="261"/>
      <c r="K89" s="259"/>
      <c r="L89" s="260"/>
      <c r="M89" s="239"/>
      <c r="N89" s="259"/>
      <c r="O89" s="270">
        <f>SUM(C89:N89)</f>
        <v>0</v>
      </c>
      <c r="Q89" s="16"/>
      <c r="R89" s="2"/>
      <c r="S89" s="2"/>
    </row>
    <row r="90" spans="1:19" outlineLevel="2" x14ac:dyDescent="0.25">
      <c r="A90" s="258" t="s">
        <v>213</v>
      </c>
      <c r="B90" s="249"/>
      <c r="C90" s="234"/>
      <c r="D90" s="259"/>
      <c r="E90" s="260"/>
      <c r="F90" s="260"/>
      <c r="G90" s="260"/>
      <c r="H90" s="260"/>
      <c r="I90" s="260"/>
      <c r="J90" s="261"/>
      <c r="K90" s="259"/>
      <c r="L90" s="260"/>
      <c r="M90" s="239"/>
      <c r="N90" s="259"/>
      <c r="O90" s="236">
        <f t="shared" ref="O90:O153" si="19">SUM(C90:N90)</f>
        <v>0</v>
      </c>
      <c r="Q90" s="16"/>
      <c r="R90" s="2"/>
      <c r="S90" s="2"/>
    </row>
    <row r="91" spans="1:19" outlineLevel="2" x14ac:dyDescent="0.25">
      <c r="A91" s="258" t="s">
        <v>215</v>
      </c>
      <c r="B91" s="249"/>
      <c r="C91" s="234"/>
      <c r="D91" s="259"/>
      <c r="E91" s="260"/>
      <c r="F91" s="260"/>
      <c r="G91" s="260"/>
      <c r="H91" s="260"/>
      <c r="I91" s="260"/>
      <c r="J91" s="261"/>
      <c r="K91" s="259"/>
      <c r="L91" s="260"/>
      <c r="M91" s="239"/>
      <c r="N91" s="259"/>
      <c r="O91" s="236">
        <f t="shared" si="19"/>
        <v>0</v>
      </c>
      <c r="Q91" s="16"/>
      <c r="R91" s="2"/>
      <c r="S91" s="2"/>
    </row>
    <row r="92" spans="1:19" outlineLevel="1" x14ac:dyDescent="0.25">
      <c r="A92" s="265" t="s">
        <v>217</v>
      </c>
      <c r="B92" s="266"/>
      <c r="C92" s="267">
        <f t="shared" ref="C92:N92" si="20">SUM(C93)</f>
        <v>0</v>
      </c>
      <c r="D92" s="268">
        <f t="shared" si="20"/>
        <v>0</v>
      </c>
      <c r="E92" s="268">
        <f t="shared" si="20"/>
        <v>0</v>
      </c>
      <c r="F92" s="268">
        <f t="shared" si="20"/>
        <v>0</v>
      </c>
      <c r="G92" s="268">
        <f t="shared" si="20"/>
        <v>0</v>
      </c>
      <c r="H92" s="268">
        <f t="shared" si="20"/>
        <v>0</v>
      </c>
      <c r="I92" s="268">
        <f t="shared" si="20"/>
        <v>0</v>
      </c>
      <c r="J92" s="268">
        <f t="shared" si="20"/>
        <v>0</v>
      </c>
      <c r="K92" s="268">
        <f t="shared" si="20"/>
        <v>0</v>
      </c>
      <c r="L92" s="268">
        <f t="shared" si="20"/>
        <v>0</v>
      </c>
      <c r="M92" s="268">
        <f t="shared" si="20"/>
        <v>0</v>
      </c>
      <c r="N92" s="269">
        <f t="shared" si="20"/>
        <v>0</v>
      </c>
      <c r="O92" s="270">
        <f t="shared" si="19"/>
        <v>0</v>
      </c>
      <c r="Q92" s="16"/>
      <c r="R92" s="2"/>
      <c r="S92" s="2"/>
    </row>
    <row r="93" spans="1:19" outlineLevel="2" x14ac:dyDescent="0.25">
      <c r="A93" s="258" t="s">
        <v>217</v>
      </c>
      <c r="B93" s="249"/>
      <c r="C93" s="234"/>
      <c r="D93" s="259"/>
      <c r="E93" s="260"/>
      <c r="F93" s="260"/>
      <c r="G93" s="260"/>
      <c r="H93" s="260"/>
      <c r="I93" s="260"/>
      <c r="J93" s="261"/>
      <c r="K93" s="259"/>
      <c r="L93" s="260"/>
      <c r="M93" s="239"/>
      <c r="N93" s="259"/>
      <c r="O93" s="236">
        <f t="shared" si="19"/>
        <v>0</v>
      </c>
      <c r="Q93" s="16"/>
      <c r="R93" s="2"/>
      <c r="S93" s="2"/>
    </row>
    <row r="94" spans="1:19" outlineLevel="1" x14ac:dyDescent="0.25">
      <c r="A94" s="265" t="s">
        <v>220</v>
      </c>
      <c r="B94" s="266"/>
      <c r="C94" s="267">
        <f t="shared" ref="C94:N94" si="21">SUM(C95:C99)</f>
        <v>0</v>
      </c>
      <c r="D94" s="268">
        <f t="shared" si="21"/>
        <v>0</v>
      </c>
      <c r="E94" s="268">
        <f t="shared" si="21"/>
        <v>0</v>
      </c>
      <c r="F94" s="268">
        <f t="shared" si="21"/>
        <v>0</v>
      </c>
      <c r="G94" s="268">
        <f t="shared" si="21"/>
        <v>0</v>
      </c>
      <c r="H94" s="268">
        <f t="shared" si="21"/>
        <v>0</v>
      </c>
      <c r="I94" s="268">
        <f t="shared" si="21"/>
        <v>0</v>
      </c>
      <c r="J94" s="268">
        <f t="shared" si="21"/>
        <v>0</v>
      </c>
      <c r="K94" s="268">
        <f t="shared" si="21"/>
        <v>0</v>
      </c>
      <c r="L94" s="268">
        <f t="shared" si="21"/>
        <v>0</v>
      </c>
      <c r="M94" s="268">
        <f t="shared" si="21"/>
        <v>0</v>
      </c>
      <c r="N94" s="269">
        <f t="shared" si="21"/>
        <v>0</v>
      </c>
      <c r="O94" s="270">
        <f t="shared" si="19"/>
        <v>0</v>
      </c>
      <c r="Q94" s="16"/>
      <c r="R94" s="2"/>
      <c r="S94" s="2"/>
    </row>
    <row r="95" spans="1:19" outlineLevel="2" x14ac:dyDescent="0.25">
      <c r="A95" s="258" t="s">
        <v>222</v>
      </c>
      <c r="B95" s="249"/>
      <c r="C95" s="234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36">
        <f t="shared" si="19"/>
        <v>0</v>
      </c>
      <c r="Q95" s="16"/>
      <c r="R95" s="2"/>
      <c r="S95" s="2"/>
    </row>
    <row r="96" spans="1:19" outlineLevel="2" x14ac:dyDescent="0.25">
      <c r="A96" s="258" t="s">
        <v>224</v>
      </c>
      <c r="B96" s="249"/>
      <c r="C96" s="234"/>
      <c r="D96" s="259"/>
      <c r="E96" s="260"/>
      <c r="F96" s="260"/>
      <c r="G96" s="260"/>
      <c r="H96" s="260"/>
      <c r="I96" s="260"/>
      <c r="J96" s="261"/>
      <c r="K96" s="259"/>
      <c r="L96" s="260"/>
      <c r="M96" s="239"/>
      <c r="N96" s="259"/>
      <c r="O96" s="236">
        <f t="shared" si="19"/>
        <v>0</v>
      </c>
      <c r="Q96" s="16"/>
      <c r="R96" s="2"/>
      <c r="S96" s="2"/>
    </row>
    <row r="97" spans="1:19" outlineLevel="2" x14ac:dyDescent="0.25">
      <c r="A97" s="258" t="s">
        <v>226</v>
      </c>
      <c r="B97" s="249"/>
      <c r="C97" s="234"/>
      <c r="D97" s="259"/>
      <c r="E97" s="259"/>
      <c r="F97" s="260"/>
      <c r="G97" s="260"/>
      <c r="H97" s="260"/>
      <c r="I97" s="260"/>
      <c r="J97" s="261"/>
      <c r="K97" s="259"/>
      <c r="L97" s="260"/>
      <c r="M97" s="239"/>
      <c r="N97" s="259"/>
      <c r="O97" s="236">
        <f t="shared" si="19"/>
        <v>0</v>
      </c>
      <c r="Q97" s="16"/>
      <c r="R97" s="2"/>
      <c r="S97" s="2"/>
    </row>
    <row r="98" spans="1:19" outlineLevel="2" x14ac:dyDescent="0.25">
      <c r="A98" s="258" t="s">
        <v>228</v>
      </c>
      <c r="B98" s="249"/>
      <c r="C98" s="234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36">
        <f t="shared" si="19"/>
        <v>0</v>
      </c>
      <c r="Q98" s="16"/>
      <c r="R98" s="2"/>
      <c r="S98" s="2"/>
    </row>
    <row r="99" spans="1:19" outlineLevel="2" x14ac:dyDescent="0.25">
      <c r="A99" s="258" t="s">
        <v>230</v>
      </c>
      <c r="B99" s="249"/>
      <c r="C99" s="271"/>
      <c r="D99" s="259"/>
      <c r="E99" s="260"/>
      <c r="F99" s="260"/>
      <c r="G99" s="260"/>
      <c r="H99" s="260"/>
      <c r="I99" s="260"/>
      <c r="J99" s="261"/>
      <c r="K99" s="259"/>
      <c r="L99" s="260"/>
      <c r="M99" s="239"/>
      <c r="N99" s="259"/>
      <c r="O99" s="236">
        <f t="shared" si="19"/>
        <v>0</v>
      </c>
      <c r="Q99" s="16"/>
      <c r="R99" s="2"/>
      <c r="S99" s="2"/>
    </row>
    <row r="100" spans="1:19" s="6" customFormat="1" x14ac:dyDescent="0.25">
      <c r="A100" s="223" t="s">
        <v>232</v>
      </c>
      <c r="B100" s="253"/>
      <c r="C100" s="254">
        <f t="shared" ref="C100:N100" si="22">SUM(C101,C112,C117,C119,C123,C126,C130,C138,C145)</f>
        <v>0</v>
      </c>
      <c r="D100" s="255">
        <f t="shared" si="22"/>
        <v>0</v>
      </c>
      <c r="E100" s="255">
        <f t="shared" si="22"/>
        <v>0</v>
      </c>
      <c r="F100" s="255">
        <f t="shared" si="22"/>
        <v>0</v>
      </c>
      <c r="G100" s="255">
        <f t="shared" si="22"/>
        <v>0</v>
      </c>
      <c r="H100" s="255">
        <f t="shared" si="22"/>
        <v>0</v>
      </c>
      <c r="I100" s="255">
        <f t="shared" si="22"/>
        <v>0</v>
      </c>
      <c r="J100" s="255">
        <f t="shared" si="22"/>
        <v>0</v>
      </c>
      <c r="K100" s="255">
        <f t="shared" si="22"/>
        <v>0</v>
      </c>
      <c r="L100" s="255">
        <f t="shared" si="22"/>
        <v>0</v>
      </c>
      <c r="M100" s="255">
        <f t="shared" si="22"/>
        <v>0</v>
      </c>
      <c r="N100" s="256">
        <f t="shared" si="22"/>
        <v>0</v>
      </c>
      <c r="O100" s="257">
        <f t="shared" si="19"/>
        <v>0</v>
      </c>
      <c r="Q100" s="18"/>
      <c r="R100" s="19"/>
      <c r="S100" s="19"/>
    </row>
    <row r="101" spans="1:19" outlineLevel="1" x14ac:dyDescent="0.25">
      <c r="A101" s="265" t="s">
        <v>234</v>
      </c>
      <c r="B101" s="266"/>
      <c r="C101" s="267">
        <f t="shared" ref="C101:N101" si="23">SUM(C102:C111)</f>
        <v>0</v>
      </c>
      <c r="D101" s="268">
        <f t="shared" si="23"/>
        <v>0</v>
      </c>
      <c r="E101" s="268">
        <f t="shared" si="23"/>
        <v>0</v>
      </c>
      <c r="F101" s="268">
        <f t="shared" si="23"/>
        <v>0</v>
      </c>
      <c r="G101" s="268">
        <f t="shared" si="23"/>
        <v>0</v>
      </c>
      <c r="H101" s="268">
        <f t="shared" si="23"/>
        <v>0</v>
      </c>
      <c r="I101" s="268">
        <f t="shared" si="23"/>
        <v>0</v>
      </c>
      <c r="J101" s="268">
        <f t="shared" si="23"/>
        <v>0</v>
      </c>
      <c r="K101" s="268">
        <f t="shared" si="23"/>
        <v>0</v>
      </c>
      <c r="L101" s="268">
        <f t="shared" si="23"/>
        <v>0</v>
      </c>
      <c r="M101" s="268">
        <f t="shared" si="23"/>
        <v>0</v>
      </c>
      <c r="N101" s="269">
        <f t="shared" si="23"/>
        <v>0</v>
      </c>
      <c r="O101" s="270">
        <f t="shared" si="19"/>
        <v>0</v>
      </c>
      <c r="Q101" s="16"/>
      <c r="R101" s="2"/>
      <c r="S101" s="2"/>
    </row>
    <row r="102" spans="1:19" outlineLevel="2" x14ac:dyDescent="0.25">
      <c r="A102" s="258" t="s">
        <v>236</v>
      </c>
      <c r="B102" s="249"/>
      <c r="C102" s="404"/>
      <c r="D102" s="260"/>
      <c r="E102" s="260"/>
      <c r="F102" s="260"/>
      <c r="G102" s="260"/>
      <c r="H102" s="260"/>
      <c r="I102" s="260"/>
      <c r="J102" s="261"/>
      <c r="K102" s="260"/>
      <c r="L102" s="260"/>
      <c r="M102" s="323"/>
      <c r="N102" s="260"/>
      <c r="O102" s="236">
        <f t="shared" si="19"/>
        <v>0</v>
      </c>
      <c r="Q102" s="16"/>
      <c r="R102" s="2"/>
      <c r="S102" s="2"/>
    </row>
    <row r="103" spans="1:19" outlineLevel="2" x14ac:dyDescent="0.25">
      <c r="A103" s="258" t="s">
        <v>238</v>
      </c>
      <c r="B103" s="249"/>
      <c r="C103" s="405"/>
      <c r="D103" s="260"/>
      <c r="E103" s="260"/>
      <c r="F103" s="260"/>
      <c r="G103" s="260"/>
      <c r="H103" s="260"/>
      <c r="I103" s="260"/>
      <c r="J103" s="261"/>
      <c r="K103" s="260"/>
      <c r="L103" s="260"/>
      <c r="M103" s="323"/>
      <c r="N103" s="260"/>
      <c r="O103" s="236">
        <f t="shared" si="19"/>
        <v>0</v>
      </c>
      <c r="Q103" s="16"/>
      <c r="R103" s="2"/>
      <c r="S103" s="2"/>
    </row>
    <row r="104" spans="1:19" outlineLevel="2" x14ac:dyDescent="0.25">
      <c r="A104" s="258" t="s">
        <v>544</v>
      </c>
      <c r="B104" s="249"/>
      <c r="C104" s="405"/>
      <c r="D104" s="260"/>
      <c r="E104" s="260"/>
      <c r="F104" s="260"/>
      <c r="G104" s="260"/>
      <c r="H104" s="260"/>
      <c r="I104" s="260"/>
      <c r="J104" s="261"/>
      <c r="K104" s="404"/>
      <c r="L104" s="260"/>
      <c r="M104" s="323"/>
      <c r="N104" s="260"/>
      <c r="O104" s="236">
        <f t="shared" si="19"/>
        <v>0</v>
      </c>
      <c r="Q104" s="16"/>
      <c r="R104" s="2"/>
      <c r="S104" s="2"/>
    </row>
    <row r="105" spans="1:19" outlineLevel="2" x14ac:dyDescent="0.25">
      <c r="A105" s="258" t="s">
        <v>241</v>
      </c>
      <c r="B105" s="249"/>
      <c r="C105" s="405"/>
      <c r="D105" s="404"/>
      <c r="E105" s="404"/>
      <c r="F105" s="404"/>
      <c r="G105" s="404"/>
      <c r="H105" s="404"/>
      <c r="I105" s="404"/>
      <c r="J105" s="404"/>
      <c r="K105" s="404"/>
      <c r="L105" s="404"/>
      <c r="M105" s="404"/>
      <c r="N105" s="260"/>
      <c r="O105" s="236">
        <f t="shared" si="19"/>
        <v>0</v>
      </c>
      <c r="Q105" s="16"/>
      <c r="R105" s="2"/>
      <c r="S105" s="2"/>
    </row>
    <row r="106" spans="1:19" outlineLevel="2" x14ac:dyDescent="0.25">
      <c r="A106" s="258" t="s">
        <v>243</v>
      </c>
      <c r="B106" s="249"/>
      <c r="C106" s="405"/>
      <c r="D106" s="260"/>
      <c r="E106" s="260"/>
      <c r="F106" s="260"/>
      <c r="G106" s="260"/>
      <c r="H106" s="260"/>
      <c r="I106" s="260"/>
      <c r="J106" s="261"/>
      <c r="K106" s="260"/>
      <c r="L106" s="260"/>
      <c r="M106" s="323"/>
      <c r="N106" s="260"/>
      <c r="O106" s="236">
        <f t="shared" si="19"/>
        <v>0</v>
      </c>
      <c r="Q106" s="16"/>
      <c r="R106" s="2"/>
      <c r="S106" s="2"/>
    </row>
    <row r="107" spans="1:19" outlineLevel="2" x14ac:dyDescent="0.25">
      <c r="A107" s="258" t="s">
        <v>245</v>
      </c>
      <c r="B107" s="249"/>
      <c r="C107" s="405"/>
      <c r="D107" s="260"/>
      <c r="E107" s="260"/>
      <c r="F107" s="260"/>
      <c r="G107" s="260"/>
      <c r="H107" s="260"/>
      <c r="I107" s="260"/>
      <c r="J107" s="261"/>
      <c r="K107" s="260"/>
      <c r="L107" s="260"/>
      <c r="M107" s="323"/>
      <c r="N107" s="260"/>
      <c r="O107" s="236">
        <f t="shared" si="19"/>
        <v>0</v>
      </c>
      <c r="Q107" s="16"/>
      <c r="R107" s="2"/>
      <c r="S107" s="2"/>
    </row>
    <row r="108" spans="1:19" outlineLevel="2" x14ac:dyDescent="0.25">
      <c r="A108" s="258" t="s">
        <v>247</v>
      </c>
      <c r="B108" s="249"/>
      <c r="C108" s="404"/>
      <c r="D108" s="260"/>
      <c r="E108" s="260"/>
      <c r="F108" s="260"/>
      <c r="G108" s="260"/>
      <c r="H108" s="260"/>
      <c r="I108" s="260"/>
      <c r="J108" s="261"/>
      <c r="K108" s="260"/>
      <c r="L108" s="260"/>
      <c r="M108" s="323"/>
      <c r="N108" s="260"/>
      <c r="O108" s="236">
        <f t="shared" si="19"/>
        <v>0</v>
      </c>
      <c r="Q108" s="16"/>
      <c r="R108" s="2"/>
      <c r="S108" s="2"/>
    </row>
    <row r="109" spans="1:19" outlineLevel="2" x14ac:dyDescent="0.25">
      <c r="A109" s="258" t="s">
        <v>249</v>
      </c>
      <c r="B109" s="249"/>
      <c r="C109" s="404"/>
      <c r="D109" s="260"/>
      <c r="E109" s="260"/>
      <c r="F109" s="260"/>
      <c r="G109" s="260"/>
      <c r="H109" s="260"/>
      <c r="I109" s="260"/>
      <c r="J109" s="261"/>
      <c r="K109" s="260"/>
      <c r="L109" s="260"/>
      <c r="M109" s="323"/>
      <c r="N109" s="260"/>
      <c r="O109" s="236">
        <f t="shared" si="19"/>
        <v>0</v>
      </c>
      <c r="Q109" s="16"/>
      <c r="R109" s="2"/>
      <c r="S109" s="2"/>
    </row>
    <row r="110" spans="1:19" outlineLevel="2" x14ac:dyDescent="0.25">
      <c r="A110" s="258" t="s">
        <v>251</v>
      </c>
      <c r="B110" s="249"/>
      <c r="C110" s="404"/>
      <c r="D110" s="260"/>
      <c r="E110" s="260"/>
      <c r="F110" s="260"/>
      <c r="G110" s="260"/>
      <c r="H110" s="260"/>
      <c r="I110" s="260"/>
      <c r="J110" s="261"/>
      <c r="K110" s="260"/>
      <c r="L110" s="260"/>
      <c r="M110" s="323"/>
      <c r="N110" s="260"/>
      <c r="O110" s="236">
        <f t="shared" si="19"/>
        <v>0</v>
      </c>
      <c r="Q110" s="16"/>
      <c r="R110" s="2"/>
      <c r="S110" s="2"/>
    </row>
    <row r="111" spans="1:19" outlineLevel="2" x14ac:dyDescent="0.25">
      <c r="A111" s="258" t="s">
        <v>253</v>
      </c>
      <c r="B111" s="249"/>
      <c r="C111" s="404"/>
      <c r="D111" s="260"/>
      <c r="E111" s="260"/>
      <c r="F111" s="260"/>
      <c r="G111" s="260"/>
      <c r="H111" s="260"/>
      <c r="I111" s="260"/>
      <c r="J111" s="261"/>
      <c r="K111" s="260"/>
      <c r="L111" s="260"/>
      <c r="M111" s="323"/>
      <c r="N111" s="260"/>
      <c r="O111" s="236">
        <f t="shared" si="19"/>
        <v>0</v>
      </c>
      <c r="Q111" s="16"/>
      <c r="R111" s="2"/>
      <c r="S111" s="2"/>
    </row>
    <row r="112" spans="1:19" outlineLevel="1" x14ac:dyDescent="0.25">
      <c r="A112" s="265" t="s">
        <v>255</v>
      </c>
      <c r="B112" s="266"/>
      <c r="C112" s="267">
        <f t="shared" ref="C112:N112" si="24">SUM(C113:C116)</f>
        <v>0</v>
      </c>
      <c r="D112" s="268">
        <f t="shared" si="24"/>
        <v>0</v>
      </c>
      <c r="E112" s="268">
        <f t="shared" si="24"/>
        <v>0</v>
      </c>
      <c r="F112" s="268">
        <f t="shared" si="24"/>
        <v>0</v>
      </c>
      <c r="G112" s="268">
        <f t="shared" si="24"/>
        <v>0</v>
      </c>
      <c r="H112" s="268">
        <f t="shared" si="24"/>
        <v>0</v>
      </c>
      <c r="I112" s="268">
        <f t="shared" si="24"/>
        <v>0</v>
      </c>
      <c r="J112" s="268">
        <f t="shared" si="24"/>
        <v>0</v>
      </c>
      <c r="K112" s="268">
        <f t="shared" si="24"/>
        <v>0</v>
      </c>
      <c r="L112" s="268">
        <f t="shared" si="24"/>
        <v>0</v>
      </c>
      <c r="M112" s="268">
        <f t="shared" si="24"/>
        <v>0</v>
      </c>
      <c r="N112" s="269">
        <f t="shared" si="24"/>
        <v>0</v>
      </c>
      <c r="O112" s="270">
        <f t="shared" si="19"/>
        <v>0</v>
      </c>
      <c r="Q112" s="16"/>
      <c r="R112" s="2"/>
      <c r="S112" s="2"/>
    </row>
    <row r="113" spans="1:19" outlineLevel="2" x14ac:dyDescent="0.25">
      <c r="A113" s="258" t="s">
        <v>257</v>
      </c>
      <c r="B113" s="249"/>
      <c r="C113" s="234"/>
      <c r="D113" s="259"/>
      <c r="E113" s="260"/>
      <c r="F113" s="260"/>
      <c r="G113" s="260"/>
      <c r="H113" s="260"/>
      <c r="I113" s="260"/>
      <c r="J113" s="261"/>
      <c r="K113" s="259"/>
      <c r="L113" s="260"/>
      <c r="M113" s="239"/>
      <c r="N113" s="259"/>
      <c r="O113" s="236">
        <f t="shared" si="19"/>
        <v>0</v>
      </c>
      <c r="Q113" s="16"/>
      <c r="R113" s="2"/>
      <c r="S113" s="2"/>
    </row>
    <row r="114" spans="1:19" outlineLevel="2" x14ac:dyDescent="0.25">
      <c r="A114" s="258" t="s">
        <v>259</v>
      </c>
      <c r="B114" s="249"/>
      <c r="C114" s="234"/>
      <c r="D114" s="259"/>
      <c r="E114" s="260"/>
      <c r="F114" s="260"/>
      <c r="G114" s="260"/>
      <c r="H114" s="260"/>
      <c r="I114" s="260"/>
      <c r="J114" s="261"/>
      <c r="K114" s="259"/>
      <c r="L114" s="260"/>
      <c r="M114" s="239"/>
      <c r="N114" s="259"/>
      <c r="O114" s="236">
        <f t="shared" si="19"/>
        <v>0</v>
      </c>
      <c r="Q114" s="16"/>
      <c r="R114" s="2"/>
      <c r="S114" s="2"/>
    </row>
    <row r="115" spans="1:19" outlineLevel="2" x14ac:dyDescent="0.25">
      <c r="A115" s="258" t="s">
        <v>261</v>
      </c>
      <c r="B115" s="249"/>
      <c r="C115" s="234"/>
      <c r="D115" s="259"/>
      <c r="E115" s="260"/>
      <c r="F115" s="260"/>
      <c r="G115" s="260"/>
      <c r="H115" s="260"/>
      <c r="I115" s="260"/>
      <c r="J115" s="261"/>
      <c r="K115" s="259"/>
      <c r="L115" s="260"/>
      <c r="M115" s="239"/>
      <c r="N115" s="259"/>
      <c r="O115" s="236">
        <f t="shared" si="19"/>
        <v>0</v>
      </c>
      <c r="Q115" s="16"/>
      <c r="R115" s="2"/>
      <c r="S115" s="2"/>
    </row>
    <row r="116" spans="1:19" outlineLevel="2" x14ac:dyDescent="0.25">
      <c r="A116" s="258" t="s">
        <v>263</v>
      </c>
      <c r="B116" s="249"/>
      <c r="C116" s="234"/>
      <c r="D116" s="259"/>
      <c r="E116" s="260"/>
      <c r="F116" s="260"/>
      <c r="G116" s="260"/>
      <c r="H116" s="260"/>
      <c r="I116" s="260"/>
      <c r="J116" s="261"/>
      <c r="K116" s="259"/>
      <c r="L116" s="260"/>
      <c r="M116" s="239"/>
      <c r="N116" s="259"/>
      <c r="O116" s="236">
        <f t="shared" si="19"/>
        <v>0</v>
      </c>
      <c r="Q116" s="16"/>
      <c r="R116" s="2"/>
      <c r="S116" s="2"/>
    </row>
    <row r="117" spans="1:19" outlineLevel="1" x14ac:dyDescent="0.25">
      <c r="A117" s="265" t="s">
        <v>265</v>
      </c>
      <c r="B117" s="266"/>
      <c r="C117" s="267">
        <f t="shared" ref="C117:N117" si="25">SUM(C118)</f>
        <v>0</v>
      </c>
      <c r="D117" s="268">
        <f t="shared" si="25"/>
        <v>0</v>
      </c>
      <c r="E117" s="268">
        <f t="shared" si="25"/>
        <v>0</v>
      </c>
      <c r="F117" s="268">
        <f t="shared" si="25"/>
        <v>0</v>
      </c>
      <c r="G117" s="268">
        <f t="shared" si="25"/>
        <v>0</v>
      </c>
      <c r="H117" s="268">
        <f t="shared" si="25"/>
        <v>0</v>
      </c>
      <c r="I117" s="268">
        <f t="shared" si="25"/>
        <v>0</v>
      </c>
      <c r="J117" s="268">
        <f t="shared" si="25"/>
        <v>0</v>
      </c>
      <c r="K117" s="268">
        <f t="shared" si="25"/>
        <v>0</v>
      </c>
      <c r="L117" s="268">
        <f t="shared" si="25"/>
        <v>0</v>
      </c>
      <c r="M117" s="268">
        <f t="shared" si="25"/>
        <v>0</v>
      </c>
      <c r="N117" s="269">
        <f t="shared" si="25"/>
        <v>0</v>
      </c>
      <c r="O117" s="236">
        <f t="shared" si="19"/>
        <v>0</v>
      </c>
      <c r="Q117" s="16"/>
      <c r="R117" s="2"/>
      <c r="S117" s="2"/>
    </row>
    <row r="118" spans="1:19" outlineLevel="2" x14ac:dyDescent="0.25">
      <c r="A118" s="258" t="s">
        <v>265</v>
      </c>
      <c r="B118" s="249"/>
      <c r="C118" s="234"/>
      <c r="D118" s="259"/>
      <c r="E118" s="260"/>
      <c r="F118" s="260"/>
      <c r="G118" s="260"/>
      <c r="H118" s="260"/>
      <c r="I118" s="260"/>
      <c r="J118" s="261"/>
      <c r="K118" s="259"/>
      <c r="L118" s="260"/>
      <c r="M118" s="239"/>
      <c r="N118" s="259"/>
      <c r="O118" s="236">
        <f t="shared" si="19"/>
        <v>0</v>
      </c>
      <c r="Q118" s="16"/>
      <c r="R118" s="2"/>
      <c r="S118" s="2"/>
    </row>
    <row r="119" spans="1:19" outlineLevel="1" x14ac:dyDescent="0.25">
      <c r="A119" s="265" t="s">
        <v>268</v>
      </c>
      <c r="B119" s="266"/>
      <c r="C119" s="267">
        <f t="shared" ref="C119:N119" si="26">SUM(C120:C122)</f>
        <v>0</v>
      </c>
      <c r="D119" s="268">
        <f t="shared" si="26"/>
        <v>0</v>
      </c>
      <c r="E119" s="268">
        <f t="shared" si="26"/>
        <v>0</v>
      </c>
      <c r="F119" s="268">
        <f t="shared" si="26"/>
        <v>0</v>
      </c>
      <c r="G119" s="268">
        <f t="shared" si="26"/>
        <v>0</v>
      </c>
      <c r="H119" s="268">
        <f t="shared" si="26"/>
        <v>0</v>
      </c>
      <c r="I119" s="268">
        <f t="shared" si="26"/>
        <v>0</v>
      </c>
      <c r="J119" s="268">
        <f t="shared" si="26"/>
        <v>0</v>
      </c>
      <c r="K119" s="268">
        <f t="shared" si="26"/>
        <v>0</v>
      </c>
      <c r="L119" s="268">
        <f t="shared" si="26"/>
        <v>0</v>
      </c>
      <c r="M119" s="268">
        <f t="shared" si="26"/>
        <v>0</v>
      </c>
      <c r="N119" s="269">
        <f t="shared" si="26"/>
        <v>0</v>
      </c>
      <c r="O119" s="236">
        <f t="shared" si="19"/>
        <v>0</v>
      </c>
      <c r="Q119" s="16"/>
      <c r="R119" s="2"/>
      <c r="S119" s="2"/>
    </row>
    <row r="120" spans="1:19" outlineLevel="2" x14ac:dyDescent="0.25">
      <c r="A120" s="258" t="s">
        <v>270</v>
      </c>
      <c r="B120" s="249"/>
      <c r="C120" s="234"/>
      <c r="D120" s="259"/>
      <c r="E120" s="260"/>
      <c r="F120" s="260"/>
      <c r="G120" s="260"/>
      <c r="H120" s="260"/>
      <c r="I120" s="260"/>
      <c r="J120" s="261"/>
      <c r="K120" s="259"/>
      <c r="L120" s="260"/>
      <c r="M120" s="239"/>
      <c r="N120" s="259"/>
      <c r="O120" s="236">
        <f t="shared" si="19"/>
        <v>0</v>
      </c>
      <c r="Q120" s="16"/>
      <c r="R120" s="2"/>
      <c r="S120" s="2"/>
    </row>
    <row r="121" spans="1:19" outlineLevel="2" x14ac:dyDescent="0.25">
      <c r="A121" s="258" t="s">
        <v>272</v>
      </c>
      <c r="B121" s="249"/>
      <c r="C121" s="234"/>
      <c r="D121" s="259"/>
      <c r="E121" s="260"/>
      <c r="F121" s="260"/>
      <c r="G121" s="260"/>
      <c r="H121" s="260"/>
      <c r="I121" s="260"/>
      <c r="J121" s="261"/>
      <c r="K121" s="259"/>
      <c r="L121" s="260"/>
      <c r="M121" s="239"/>
      <c r="N121" s="259"/>
      <c r="O121" s="236">
        <f t="shared" si="19"/>
        <v>0</v>
      </c>
      <c r="Q121" s="16"/>
      <c r="R121" s="2"/>
      <c r="S121" s="2"/>
    </row>
    <row r="122" spans="1:19" outlineLevel="2" x14ac:dyDescent="0.25">
      <c r="A122" s="258" t="s">
        <v>274</v>
      </c>
      <c r="B122" s="249"/>
      <c r="C122" s="234"/>
      <c r="D122" s="259"/>
      <c r="E122" s="260"/>
      <c r="F122" s="260"/>
      <c r="G122" s="260"/>
      <c r="H122" s="260"/>
      <c r="I122" s="260"/>
      <c r="J122" s="261"/>
      <c r="K122" s="259"/>
      <c r="L122" s="260"/>
      <c r="M122" s="239"/>
      <c r="N122" s="259"/>
      <c r="O122" s="236">
        <f t="shared" si="19"/>
        <v>0</v>
      </c>
      <c r="Q122" s="16"/>
      <c r="R122" s="2"/>
      <c r="S122" s="2"/>
    </row>
    <row r="123" spans="1:19" outlineLevel="1" x14ac:dyDescent="0.25">
      <c r="A123" s="265" t="s">
        <v>276</v>
      </c>
      <c r="B123" s="266"/>
      <c r="C123" s="267">
        <f t="shared" ref="C123:N123" si="27">SUM(C124:C125)</f>
        <v>0</v>
      </c>
      <c r="D123" s="268">
        <f t="shared" si="27"/>
        <v>0</v>
      </c>
      <c r="E123" s="268">
        <f t="shared" si="27"/>
        <v>0</v>
      </c>
      <c r="F123" s="268">
        <f t="shared" si="27"/>
        <v>0</v>
      </c>
      <c r="G123" s="268">
        <f t="shared" si="27"/>
        <v>0</v>
      </c>
      <c r="H123" s="268">
        <f t="shared" si="27"/>
        <v>0</v>
      </c>
      <c r="I123" s="268">
        <f t="shared" si="27"/>
        <v>0</v>
      </c>
      <c r="J123" s="268">
        <f t="shared" si="27"/>
        <v>0</v>
      </c>
      <c r="K123" s="268">
        <f t="shared" si="27"/>
        <v>0</v>
      </c>
      <c r="L123" s="268">
        <f t="shared" si="27"/>
        <v>0</v>
      </c>
      <c r="M123" s="268">
        <f t="shared" si="27"/>
        <v>0</v>
      </c>
      <c r="N123" s="269">
        <f t="shared" si="27"/>
        <v>0</v>
      </c>
      <c r="O123" s="236">
        <f t="shared" si="19"/>
        <v>0</v>
      </c>
      <c r="Q123" s="16"/>
      <c r="R123" s="2"/>
      <c r="S123" s="2"/>
    </row>
    <row r="124" spans="1:19" outlineLevel="2" x14ac:dyDescent="0.25">
      <c r="A124" s="258" t="s">
        <v>278</v>
      </c>
      <c r="B124" s="249"/>
      <c r="C124" s="234"/>
      <c r="D124" s="259"/>
      <c r="E124" s="260"/>
      <c r="F124" s="260"/>
      <c r="G124" s="260"/>
      <c r="H124" s="260"/>
      <c r="I124" s="260"/>
      <c r="J124" s="261"/>
      <c r="K124" s="259"/>
      <c r="L124" s="260"/>
      <c r="M124" s="239"/>
      <c r="N124" s="259"/>
      <c r="O124" s="236">
        <f t="shared" si="19"/>
        <v>0</v>
      </c>
      <c r="Q124" s="16"/>
      <c r="R124" s="2"/>
      <c r="S124" s="2"/>
    </row>
    <row r="125" spans="1:19" outlineLevel="2" x14ac:dyDescent="0.25">
      <c r="A125" s="258" t="s">
        <v>280</v>
      </c>
      <c r="B125" s="249"/>
      <c r="C125" s="234"/>
      <c r="D125" s="259"/>
      <c r="E125" s="260"/>
      <c r="F125" s="260"/>
      <c r="G125" s="260"/>
      <c r="H125" s="260"/>
      <c r="I125" s="260"/>
      <c r="J125" s="261"/>
      <c r="K125" s="259"/>
      <c r="L125" s="260"/>
      <c r="M125" s="239"/>
      <c r="N125" s="259"/>
      <c r="O125" s="236">
        <f t="shared" si="19"/>
        <v>0</v>
      </c>
      <c r="Q125" s="16"/>
      <c r="R125" s="2"/>
      <c r="S125" s="2"/>
    </row>
    <row r="126" spans="1:19" outlineLevel="1" x14ac:dyDescent="0.25">
      <c r="A126" s="265" t="s">
        <v>282</v>
      </c>
      <c r="B126" s="266"/>
      <c r="C126" s="267">
        <f t="shared" ref="C126:N126" si="28">SUM(C127:C129)</f>
        <v>0</v>
      </c>
      <c r="D126" s="268">
        <f t="shared" si="28"/>
        <v>0</v>
      </c>
      <c r="E126" s="268">
        <f t="shared" si="28"/>
        <v>0</v>
      </c>
      <c r="F126" s="268">
        <f t="shared" si="28"/>
        <v>0</v>
      </c>
      <c r="G126" s="268">
        <f t="shared" si="28"/>
        <v>0</v>
      </c>
      <c r="H126" s="268">
        <f t="shared" si="28"/>
        <v>0</v>
      </c>
      <c r="I126" s="268">
        <f>SUM(I127:I129)</f>
        <v>0</v>
      </c>
      <c r="J126" s="268">
        <f t="shared" si="28"/>
        <v>0</v>
      </c>
      <c r="K126" s="268">
        <f t="shared" si="28"/>
        <v>0</v>
      </c>
      <c r="L126" s="268">
        <f t="shared" si="28"/>
        <v>0</v>
      </c>
      <c r="M126" s="268">
        <f t="shared" si="28"/>
        <v>0</v>
      </c>
      <c r="N126" s="269">
        <f t="shared" si="28"/>
        <v>0</v>
      </c>
      <c r="O126" s="236">
        <f t="shared" si="19"/>
        <v>0</v>
      </c>
      <c r="Q126" s="16"/>
      <c r="R126" s="2"/>
      <c r="S126" s="2"/>
    </row>
    <row r="127" spans="1:19" outlineLevel="2" x14ac:dyDescent="0.25">
      <c r="A127" s="258" t="s">
        <v>282</v>
      </c>
      <c r="B127" s="249"/>
      <c r="C127" s="271"/>
      <c r="D127" s="271"/>
      <c r="E127" s="260"/>
      <c r="F127" s="260"/>
      <c r="G127" s="260"/>
      <c r="H127" s="260"/>
      <c r="I127" s="260"/>
      <c r="J127" s="261"/>
      <c r="K127" s="259"/>
      <c r="L127" s="259"/>
      <c r="M127" s="260"/>
      <c r="N127" s="259"/>
      <c r="O127" s="236">
        <f t="shared" si="19"/>
        <v>0</v>
      </c>
      <c r="Q127" s="16"/>
      <c r="R127" s="2"/>
      <c r="S127" s="2"/>
    </row>
    <row r="128" spans="1:19" outlineLevel="2" x14ac:dyDescent="0.25">
      <c r="A128" s="258" t="s">
        <v>285</v>
      </c>
      <c r="B128" s="249"/>
      <c r="C128" s="271"/>
      <c r="D128" s="259"/>
      <c r="E128" s="260"/>
      <c r="F128" s="260"/>
      <c r="G128" s="260"/>
      <c r="H128" s="260"/>
      <c r="J128" s="261"/>
      <c r="K128" s="259"/>
      <c r="L128" s="260"/>
      <c r="M128" s="239"/>
      <c r="N128" s="259"/>
      <c r="O128" s="236">
        <f t="shared" si="19"/>
        <v>0</v>
      </c>
      <c r="Q128" s="16"/>
      <c r="R128" s="2"/>
      <c r="S128" s="2"/>
    </row>
    <row r="129" spans="1:19" outlineLevel="2" x14ac:dyDescent="0.25">
      <c r="A129" s="258" t="s">
        <v>287</v>
      </c>
      <c r="B129" s="249"/>
      <c r="C129" s="234"/>
      <c r="D129" s="259"/>
      <c r="E129" s="260"/>
      <c r="F129" s="260"/>
      <c r="G129" s="260"/>
      <c r="H129" s="260"/>
      <c r="I129" s="260"/>
      <c r="J129" s="261"/>
      <c r="K129" s="259"/>
      <c r="L129" s="260"/>
      <c r="M129" s="239"/>
      <c r="N129" s="259"/>
      <c r="O129" s="236">
        <f t="shared" si="19"/>
        <v>0</v>
      </c>
      <c r="Q129" s="16"/>
      <c r="R129" s="2"/>
      <c r="S129" s="2"/>
    </row>
    <row r="130" spans="1:19" outlineLevel="1" x14ac:dyDescent="0.25">
      <c r="A130" s="265" t="s">
        <v>289</v>
      </c>
      <c r="B130" s="266"/>
      <c r="C130" s="267">
        <f t="shared" ref="C130:N130" si="29">SUM(C131:C137)</f>
        <v>0</v>
      </c>
      <c r="D130" s="268">
        <f t="shared" si="29"/>
        <v>0</v>
      </c>
      <c r="E130" s="268">
        <f t="shared" si="29"/>
        <v>0</v>
      </c>
      <c r="F130" s="268">
        <f t="shared" si="29"/>
        <v>0</v>
      </c>
      <c r="G130" s="268">
        <f t="shared" si="29"/>
        <v>0</v>
      </c>
      <c r="H130" s="268">
        <f>SUM(H131:H137)</f>
        <v>0</v>
      </c>
      <c r="I130" s="268">
        <f t="shared" si="29"/>
        <v>0</v>
      </c>
      <c r="J130" s="268">
        <f t="shared" si="29"/>
        <v>0</v>
      </c>
      <c r="K130" s="268">
        <f t="shared" si="29"/>
        <v>0</v>
      </c>
      <c r="L130" s="268">
        <f t="shared" si="29"/>
        <v>0</v>
      </c>
      <c r="M130" s="268">
        <f t="shared" si="29"/>
        <v>0</v>
      </c>
      <c r="N130" s="269">
        <f t="shared" si="29"/>
        <v>0</v>
      </c>
      <c r="O130" s="236">
        <f t="shared" si="19"/>
        <v>0</v>
      </c>
      <c r="Q130" s="16"/>
      <c r="R130" s="2"/>
      <c r="S130" s="2"/>
    </row>
    <row r="131" spans="1:19" outlineLevel="2" x14ac:dyDescent="0.25">
      <c r="A131" s="258" t="s">
        <v>291</v>
      </c>
      <c r="B131" s="249"/>
      <c r="C131" s="234"/>
      <c r="D131" s="259"/>
      <c r="E131" s="260"/>
      <c r="F131" s="260"/>
      <c r="G131" s="260"/>
      <c r="H131" s="260"/>
      <c r="I131" s="260"/>
      <c r="J131" s="261"/>
      <c r="K131" s="259"/>
      <c r="L131" s="260"/>
      <c r="M131" s="239"/>
      <c r="N131" s="259"/>
      <c r="O131" s="236">
        <f t="shared" si="19"/>
        <v>0</v>
      </c>
      <c r="Q131" s="16"/>
      <c r="R131" s="2"/>
      <c r="S131" s="2"/>
    </row>
    <row r="132" spans="1:19" outlineLevel="2" x14ac:dyDescent="0.25">
      <c r="A132" s="258" t="s">
        <v>293</v>
      </c>
      <c r="B132" s="249"/>
      <c r="C132" s="234"/>
      <c r="D132" s="259"/>
      <c r="E132" s="260"/>
      <c r="F132" s="260"/>
      <c r="G132" s="260"/>
      <c r="H132" s="260"/>
      <c r="I132" s="260"/>
      <c r="J132" s="261"/>
      <c r="K132" s="259"/>
      <c r="L132" s="260"/>
      <c r="M132" s="239"/>
      <c r="N132" s="259"/>
      <c r="O132" s="236">
        <f t="shared" si="19"/>
        <v>0</v>
      </c>
      <c r="Q132" s="16"/>
      <c r="R132" s="2"/>
      <c r="S132" s="2"/>
    </row>
    <row r="133" spans="1:19" outlineLevel="2" x14ac:dyDescent="0.25">
      <c r="A133" s="258" t="s">
        <v>295</v>
      </c>
      <c r="B133" s="249"/>
      <c r="C133" s="234"/>
      <c r="D133" s="259"/>
      <c r="E133" s="260"/>
      <c r="F133" s="260"/>
      <c r="G133" s="260"/>
      <c r="H133" s="260"/>
      <c r="I133" s="260"/>
      <c r="J133" s="261"/>
      <c r="K133" s="259"/>
      <c r="L133" s="260"/>
      <c r="M133" s="239"/>
      <c r="N133" s="259"/>
      <c r="O133" s="236">
        <f t="shared" si="19"/>
        <v>0</v>
      </c>
      <c r="Q133" s="16"/>
      <c r="R133" s="2"/>
      <c r="S133" s="2"/>
    </row>
    <row r="134" spans="1:19" outlineLevel="2" x14ac:dyDescent="0.25">
      <c r="A134" s="258" t="s">
        <v>297</v>
      </c>
      <c r="B134" s="249"/>
      <c r="C134" s="234"/>
      <c r="D134" s="259"/>
      <c r="E134" s="260"/>
      <c r="F134" s="260"/>
      <c r="G134" s="260"/>
      <c r="H134" s="260"/>
      <c r="I134" s="260"/>
      <c r="J134" s="261"/>
      <c r="K134" s="259"/>
      <c r="L134" s="260"/>
      <c r="M134" s="239"/>
      <c r="N134" s="259"/>
      <c r="O134" s="236">
        <f t="shared" si="19"/>
        <v>0</v>
      </c>
      <c r="Q134" s="16"/>
      <c r="R134" s="2"/>
      <c r="S134" s="2"/>
    </row>
    <row r="135" spans="1:19" outlineLevel="2" x14ac:dyDescent="0.25">
      <c r="A135" s="258" t="s">
        <v>299</v>
      </c>
      <c r="B135" s="249"/>
      <c r="C135" s="234"/>
      <c r="D135" s="259"/>
      <c r="E135" s="260"/>
      <c r="F135" s="260"/>
      <c r="G135" s="260"/>
      <c r="H135" s="260"/>
      <c r="I135" s="260"/>
      <c r="J135" s="261"/>
      <c r="K135" s="259"/>
      <c r="L135" s="260"/>
      <c r="M135" s="239"/>
      <c r="N135" s="259"/>
      <c r="O135" s="236">
        <f t="shared" si="19"/>
        <v>0</v>
      </c>
      <c r="Q135" s="16"/>
      <c r="R135" s="2"/>
      <c r="S135" s="2"/>
    </row>
    <row r="136" spans="1:19" outlineLevel="2" x14ac:dyDescent="0.25">
      <c r="A136" s="258" t="s">
        <v>301</v>
      </c>
      <c r="B136" s="249"/>
      <c r="C136" s="234"/>
      <c r="D136" s="259"/>
      <c r="E136" s="260"/>
      <c r="F136" s="260"/>
      <c r="G136" s="260"/>
      <c r="H136" s="260"/>
      <c r="I136" s="260"/>
      <c r="J136" s="261"/>
      <c r="K136" s="259"/>
      <c r="L136" s="260"/>
      <c r="M136" s="239"/>
      <c r="N136" s="259"/>
      <c r="O136" s="236">
        <f t="shared" si="19"/>
        <v>0</v>
      </c>
      <c r="Q136" s="16"/>
      <c r="R136" s="2"/>
      <c r="S136" s="2"/>
    </row>
    <row r="137" spans="1:19" outlineLevel="2" x14ac:dyDescent="0.25">
      <c r="A137" s="258" t="s">
        <v>303</v>
      </c>
      <c r="B137" s="249"/>
      <c r="C137" s="234"/>
      <c r="D137" s="259"/>
      <c r="E137" s="260"/>
      <c r="F137" s="260"/>
      <c r="G137" s="260"/>
      <c r="H137" s="260"/>
      <c r="I137" s="260"/>
      <c r="J137" s="261"/>
      <c r="K137" s="259"/>
      <c r="L137" s="260"/>
      <c r="M137" s="239"/>
      <c r="N137" s="259"/>
      <c r="O137" s="236">
        <f t="shared" si="19"/>
        <v>0</v>
      </c>
      <c r="Q137" s="16"/>
      <c r="R137" s="2"/>
      <c r="S137" s="2"/>
    </row>
    <row r="138" spans="1:19" outlineLevel="1" x14ac:dyDescent="0.25">
      <c r="A138" s="265" t="s">
        <v>305</v>
      </c>
      <c r="B138" s="266"/>
      <c r="C138" s="267">
        <f t="shared" ref="C138:N138" si="30">SUM(C139:C144)</f>
        <v>0</v>
      </c>
      <c r="D138" s="268">
        <f t="shared" si="30"/>
        <v>0</v>
      </c>
      <c r="E138" s="268">
        <f t="shared" si="30"/>
        <v>0</v>
      </c>
      <c r="F138" s="268">
        <f t="shared" si="30"/>
        <v>0</v>
      </c>
      <c r="G138" s="268">
        <f t="shared" si="30"/>
        <v>0</v>
      </c>
      <c r="H138" s="268">
        <f t="shared" si="30"/>
        <v>0</v>
      </c>
      <c r="I138" s="268">
        <f t="shared" si="30"/>
        <v>0</v>
      </c>
      <c r="J138" s="268">
        <f t="shared" si="30"/>
        <v>0</v>
      </c>
      <c r="K138" s="268">
        <f t="shared" si="30"/>
        <v>0</v>
      </c>
      <c r="L138" s="268">
        <f t="shared" si="30"/>
        <v>0</v>
      </c>
      <c r="M138" s="268">
        <f t="shared" si="30"/>
        <v>0</v>
      </c>
      <c r="N138" s="269">
        <f t="shared" si="30"/>
        <v>0</v>
      </c>
      <c r="O138" s="236">
        <f t="shared" si="19"/>
        <v>0</v>
      </c>
      <c r="Q138" s="16"/>
      <c r="R138" s="2"/>
      <c r="S138" s="2"/>
    </row>
    <row r="139" spans="1:19" outlineLevel="2" x14ac:dyDescent="0.25">
      <c r="A139" s="258" t="s">
        <v>307</v>
      </c>
      <c r="B139" s="249"/>
      <c r="C139" s="234"/>
      <c r="D139" s="259"/>
      <c r="E139" s="260"/>
      <c r="F139" s="260"/>
      <c r="G139" s="260"/>
      <c r="H139" s="260"/>
      <c r="I139" s="260"/>
      <c r="J139" s="261"/>
      <c r="K139" s="259"/>
      <c r="L139" s="260"/>
      <c r="M139" s="239"/>
      <c r="N139" s="259"/>
      <c r="O139" s="236">
        <f t="shared" si="19"/>
        <v>0</v>
      </c>
      <c r="Q139" s="16"/>
      <c r="R139" s="2"/>
      <c r="S139" s="2"/>
    </row>
    <row r="140" spans="1:19" outlineLevel="2" x14ac:dyDescent="0.25">
      <c r="A140" s="258" t="s">
        <v>309</v>
      </c>
      <c r="B140" s="249"/>
      <c r="C140" s="234"/>
      <c r="D140" s="259"/>
      <c r="E140" s="260"/>
      <c r="F140" s="260"/>
      <c r="G140" s="260"/>
      <c r="H140" s="260"/>
      <c r="I140" s="260"/>
      <c r="J140" s="261"/>
      <c r="K140" s="259"/>
      <c r="L140" s="260"/>
      <c r="M140" s="239"/>
      <c r="N140" s="259"/>
      <c r="O140" s="236">
        <f t="shared" si="19"/>
        <v>0</v>
      </c>
      <c r="Q140" s="16"/>
      <c r="R140" s="2"/>
      <c r="S140" s="2"/>
    </row>
    <row r="141" spans="1:19" outlineLevel="2" x14ac:dyDescent="0.25">
      <c r="A141" s="258" t="s">
        <v>293</v>
      </c>
      <c r="B141" s="249"/>
      <c r="C141" s="234"/>
      <c r="D141" s="259"/>
      <c r="E141" s="260"/>
      <c r="F141" s="260"/>
      <c r="G141" s="260"/>
      <c r="H141" s="260"/>
      <c r="I141" s="260"/>
      <c r="J141" s="261"/>
      <c r="K141" s="259"/>
      <c r="L141" s="260"/>
      <c r="M141" s="239"/>
      <c r="N141" s="259"/>
      <c r="O141" s="236">
        <f t="shared" si="19"/>
        <v>0</v>
      </c>
      <c r="Q141" s="16"/>
      <c r="R141" s="2"/>
      <c r="S141" s="2"/>
    </row>
    <row r="142" spans="1:19" outlineLevel="2" x14ac:dyDescent="0.25">
      <c r="A142" s="258" t="s">
        <v>312</v>
      </c>
      <c r="B142" s="249"/>
      <c r="C142" s="234"/>
      <c r="D142" s="259"/>
      <c r="E142" s="260"/>
      <c r="F142" s="260"/>
      <c r="G142" s="260"/>
      <c r="H142" s="260"/>
      <c r="I142" s="260"/>
      <c r="J142" s="261"/>
      <c r="K142" s="259"/>
      <c r="L142" s="260"/>
      <c r="M142" s="239"/>
      <c r="N142" s="259"/>
      <c r="O142" s="236">
        <f t="shared" si="19"/>
        <v>0</v>
      </c>
      <c r="Q142" s="16"/>
      <c r="R142" s="2"/>
      <c r="S142" s="2"/>
    </row>
    <row r="143" spans="1:19" outlineLevel="2" x14ac:dyDescent="0.25">
      <c r="A143" s="258" t="s">
        <v>314</v>
      </c>
      <c r="B143" s="249"/>
      <c r="C143" s="234"/>
      <c r="D143" s="259"/>
      <c r="E143" s="260"/>
      <c r="F143" s="260"/>
      <c r="G143" s="260"/>
      <c r="H143" s="260"/>
      <c r="I143" s="260"/>
      <c r="J143" s="261"/>
      <c r="K143" s="259"/>
      <c r="L143" s="260"/>
      <c r="M143" s="239"/>
      <c r="N143" s="259"/>
      <c r="O143" s="236">
        <f t="shared" si="19"/>
        <v>0</v>
      </c>
      <c r="Q143" s="16"/>
      <c r="R143" s="2"/>
      <c r="S143" s="2"/>
    </row>
    <row r="144" spans="1:19" outlineLevel="2" x14ac:dyDescent="0.25">
      <c r="A144" s="258" t="s">
        <v>316</v>
      </c>
      <c r="B144" s="249"/>
      <c r="C144" s="234"/>
      <c r="D144" s="259"/>
      <c r="E144" s="260"/>
      <c r="F144" s="260"/>
      <c r="G144" s="260"/>
      <c r="H144" s="260"/>
      <c r="I144" s="260"/>
      <c r="J144" s="261"/>
      <c r="K144" s="259"/>
      <c r="L144" s="260"/>
      <c r="M144" s="239"/>
      <c r="N144" s="259"/>
      <c r="O144" s="236">
        <f t="shared" si="19"/>
        <v>0</v>
      </c>
      <c r="Q144" s="16"/>
      <c r="R144" s="2"/>
      <c r="S144" s="2"/>
    </row>
    <row r="145" spans="1:19" outlineLevel="1" x14ac:dyDescent="0.25">
      <c r="A145" s="265" t="s">
        <v>318</v>
      </c>
      <c r="B145" s="266"/>
      <c r="C145" s="267">
        <f>SUM(C146:C153)</f>
        <v>0</v>
      </c>
      <c r="D145" s="268">
        <f t="shared" ref="D145:N145" si="31">SUM(D146:D153)</f>
        <v>0</v>
      </c>
      <c r="E145" s="268">
        <f t="shared" si="31"/>
        <v>0</v>
      </c>
      <c r="F145" s="268">
        <f t="shared" si="31"/>
        <v>0</v>
      </c>
      <c r="G145" s="268">
        <f t="shared" si="31"/>
        <v>0</v>
      </c>
      <c r="H145" s="268">
        <f t="shared" si="31"/>
        <v>0</v>
      </c>
      <c r="I145" s="268">
        <f t="shared" si="31"/>
        <v>0</v>
      </c>
      <c r="J145" s="268">
        <f t="shared" si="31"/>
        <v>0</v>
      </c>
      <c r="K145" s="268">
        <f t="shared" si="31"/>
        <v>0</v>
      </c>
      <c r="L145" s="268">
        <f t="shared" si="31"/>
        <v>0</v>
      </c>
      <c r="M145" s="268">
        <f t="shared" si="31"/>
        <v>0</v>
      </c>
      <c r="N145" s="269">
        <f t="shared" si="31"/>
        <v>0</v>
      </c>
      <c r="O145" s="236">
        <f t="shared" si="19"/>
        <v>0</v>
      </c>
      <c r="Q145" s="16"/>
      <c r="R145" s="2"/>
      <c r="S145" s="2"/>
    </row>
    <row r="146" spans="1:19" outlineLevel="2" x14ac:dyDescent="0.25">
      <c r="A146" s="258" t="s">
        <v>320</v>
      </c>
      <c r="B146" s="249"/>
      <c r="C146" s="234"/>
      <c r="D146" s="259"/>
      <c r="E146" s="260"/>
      <c r="F146" s="260"/>
      <c r="G146" s="260"/>
      <c r="H146" s="260"/>
      <c r="I146" s="260"/>
      <c r="J146" s="261"/>
      <c r="K146" s="259"/>
      <c r="L146" s="260"/>
      <c r="M146" s="239"/>
      <c r="N146" s="259"/>
      <c r="O146" s="236">
        <f t="shared" si="19"/>
        <v>0</v>
      </c>
      <c r="Q146" s="16"/>
      <c r="R146" s="2"/>
      <c r="S146" s="2"/>
    </row>
    <row r="147" spans="1:19" outlineLevel="2" x14ac:dyDescent="0.25">
      <c r="A147" s="258" t="s">
        <v>322</v>
      </c>
      <c r="B147" s="249"/>
      <c r="C147" s="234"/>
      <c r="D147" s="259"/>
      <c r="E147" s="260"/>
      <c r="F147" s="260"/>
      <c r="G147" s="260"/>
      <c r="H147" s="260"/>
      <c r="I147" s="260"/>
      <c r="J147" s="261"/>
      <c r="K147" s="259"/>
      <c r="L147" s="260"/>
      <c r="M147" s="239"/>
      <c r="N147" s="259"/>
      <c r="O147" s="236">
        <f t="shared" si="19"/>
        <v>0</v>
      </c>
      <c r="Q147" s="16"/>
      <c r="R147" s="2"/>
      <c r="S147" s="2"/>
    </row>
    <row r="148" spans="1:19" outlineLevel="2" x14ac:dyDescent="0.25">
      <c r="A148" s="258" t="s">
        <v>324</v>
      </c>
      <c r="B148" s="249"/>
      <c r="C148" s="234"/>
      <c r="D148" s="259"/>
      <c r="E148" s="260"/>
      <c r="F148" s="260"/>
      <c r="G148" s="260"/>
      <c r="H148" s="260"/>
      <c r="I148" s="260"/>
      <c r="J148" s="261"/>
      <c r="K148" s="259"/>
      <c r="L148" s="260"/>
      <c r="M148" s="239"/>
      <c r="N148" s="259"/>
      <c r="O148" s="236">
        <f t="shared" si="19"/>
        <v>0</v>
      </c>
      <c r="Q148" s="16"/>
      <c r="R148" s="2"/>
      <c r="S148" s="2"/>
    </row>
    <row r="149" spans="1:19" outlineLevel="2" x14ac:dyDescent="0.25">
      <c r="A149" s="258" t="s">
        <v>326</v>
      </c>
      <c r="B149" s="249"/>
      <c r="C149" s="234"/>
      <c r="D149" s="259"/>
      <c r="E149" s="260"/>
      <c r="F149" s="260"/>
      <c r="G149" s="260"/>
      <c r="H149" s="260"/>
      <c r="I149" s="260"/>
      <c r="J149" s="261"/>
      <c r="K149" s="259"/>
      <c r="L149" s="260"/>
      <c r="M149" s="239"/>
      <c r="N149" s="259"/>
      <c r="O149" s="236">
        <f t="shared" si="19"/>
        <v>0</v>
      </c>
      <c r="Q149" s="16"/>
      <c r="R149" s="2"/>
      <c r="S149" s="2"/>
    </row>
    <row r="150" spans="1:19" outlineLevel="2" x14ac:dyDescent="0.25">
      <c r="A150" s="258" t="s">
        <v>328</v>
      </c>
      <c r="B150" s="249"/>
      <c r="C150" s="234"/>
      <c r="D150" s="259"/>
      <c r="E150" s="260"/>
      <c r="F150" s="260"/>
      <c r="G150" s="260"/>
      <c r="H150" s="260"/>
      <c r="I150" s="260"/>
      <c r="J150" s="261"/>
      <c r="K150" s="259"/>
      <c r="L150" s="260"/>
      <c r="M150" s="239"/>
      <c r="N150" s="259"/>
      <c r="O150" s="236">
        <f t="shared" si="19"/>
        <v>0</v>
      </c>
      <c r="Q150" s="16"/>
      <c r="R150" s="2"/>
      <c r="S150" s="2"/>
    </row>
    <row r="151" spans="1:19" outlineLevel="2" x14ac:dyDescent="0.25">
      <c r="A151" s="258" t="s">
        <v>329</v>
      </c>
      <c r="B151" s="249"/>
      <c r="C151" s="234"/>
      <c r="D151" s="259"/>
      <c r="E151" s="260"/>
      <c r="F151" s="260"/>
      <c r="G151" s="260"/>
      <c r="H151" s="260"/>
      <c r="I151" s="260"/>
      <c r="J151" s="261"/>
      <c r="K151" s="259"/>
      <c r="L151" s="260"/>
      <c r="M151" s="239"/>
      <c r="N151" s="259"/>
      <c r="O151" s="236">
        <f t="shared" si="19"/>
        <v>0</v>
      </c>
      <c r="Q151" s="16"/>
      <c r="R151" s="2"/>
      <c r="S151" s="2"/>
    </row>
    <row r="152" spans="1:19" outlineLevel="2" x14ac:dyDescent="0.25">
      <c r="A152" s="258" t="s">
        <v>331</v>
      </c>
      <c r="B152" s="249"/>
      <c r="C152" s="234"/>
      <c r="D152" s="259"/>
      <c r="E152" s="260"/>
      <c r="F152" s="260"/>
      <c r="G152" s="260"/>
      <c r="H152" s="260"/>
      <c r="I152" s="260"/>
      <c r="J152" s="261"/>
      <c r="K152" s="259"/>
      <c r="L152" s="260"/>
      <c r="M152" s="239"/>
      <c r="N152" s="259"/>
      <c r="O152" s="236">
        <f t="shared" si="19"/>
        <v>0</v>
      </c>
      <c r="Q152" s="16"/>
      <c r="R152" s="2"/>
      <c r="S152" s="2"/>
    </row>
    <row r="153" spans="1:19" outlineLevel="2" x14ac:dyDescent="0.25">
      <c r="A153" s="258" t="s">
        <v>333</v>
      </c>
      <c r="B153" s="249"/>
      <c r="C153" s="234"/>
      <c r="D153" s="259"/>
      <c r="E153" s="260"/>
      <c r="F153" s="260"/>
      <c r="G153" s="260"/>
      <c r="H153" s="260"/>
      <c r="I153" s="260"/>
      <c r="J153" s="261"/>
      <c r="K153" s="259"/>
      <c r="L153" s="260"/>
      <c r="M153" s="239"/>
      <c r="N153" s="259"/>
      <c r="O153" s="236">
        <f t="shared" si="19"/>
        <v>0</v>
      </c>
      <c r="Q153" s="16"/>
      <c r="R153" s="2"/>
      <c r="S153" s="2"/>
    </row>
    <row r="154" spans="1:19" s="77" customFormat="1" x14ac:dyDescent="0.25">
      <c r="A154" s="220" t="s">
        <v>335</v>
      </c>
      <c r="B154" s="273"/>
      <c r="C154" s="274">
        <f t="shared" ref="C154:N154" si="32">C155</f>
        <v>0</v>
      </c>
      <c r="D154" s="274">
        <f t="shared" si="32"/>
        <v>0</v>
      </c>
      <c r="E154" s="274">
        <f t="shared" si="32"/>
        <v>0</v>
      </c>
      <c r="F154" s="274">
        <f t="shared" si="32"/>
        <v>0</v>
      </c>
      <c r="G154" s="274">
        <f t="shared" si="32"/>
        <v>0</v>
      </c>
      <c r="H154" s="274">
        <f t="shared" si="32"/>
        <v>0</v>
      </c>
      <c r="I154" s="274">
        <f t="shared" si="32"/>
        <v>0</v>
      </c>
      <c r="J154" s="274">
        <f t="shared" si="32"/>
        <v>0</v>
      </c>
      <c r="K154" s="274">
        <f t="shared" si="32"/>
        <v>0</v>
      </c>
      <c r="L154" s="274">
        <f t="shared" si="32"/>
        <v>0</v>
      </c>
      <c r="M154" s="274">
        <f t="shared" si="32"/>
        <v>0</v>
      </c>
      <c r="N154" s="274">
        <f t="shared" si="32"/>
        <v>0</v>
      </c>
      <c r="O154" s="221">
        <f t="shared" ref="O154" si="33">SUM(C154:N154)</f>
        <v>0</v>
      </c>
      <c r="Q154" s="205"/>
      <c r="R154" s="78"/>
      <c r="S154" s="78"/>
    </row>
    <row r="155" spans="1:19" outlineLevel="1" x14ac:dyDescent="0.25">
      <c r="A155" s="265" t="s">
        <v>337</v>
      </c>
      <c r="B155" s="266"/>
      <c r="C155" s="267">
        <f>SUM(C156:C166)</f>
        <v>0</v>
      </c>
      <c r="D155" s="267">
        <f>SUM(D156:D166)</f>
        <v>0</v>
      </c>
      <c r="E155" s="267">
        <f>SUM(E156:E166)</f>
        <v>0</v>
      </c>
      <c r="F155" s="267">
        <f>SUM(F156:F166)</f>
        <v>0</v>
      </c>
      <c r="G155" s="267">
        <f>SUM(G156:G166)</f>
        <v>0</v>
      </c>
      <c r="H155" s="267">
        <f t="shared" ref="H155:N155" si="34">SUM(H156:H166)</f>
        <v>0</v>
      </c>
      <c r="I155" s="267">
        <f t="shared" si="34"/>
        <v>0</v>
      </c>
      <c r="J155" s="267">
        <f t="shared" si="34"/>
        <v>0</v>
      </c>
      <c r="K155" s="267">
        <f t="shared" si="34"/>
        <v>0</v>
      </c>
      <c r="L155" s="267">
        <f t="shared" si="34"/>
        <v>0</v>
      </c>
      <c r="M155" s="267">
        <f t="shared" si="34"/>
        <v>0</v>
      </c>
      <c r="N155" s="267">
        <f t="shared" si="34"/>
        <v>0</v>
      </c>
      <c r="O155" s="236">
        <f t="shared" ref="O155:O164" si="35">SUM(C155:N155)</f>
        <v>0</v>
      </c>
      <c r="Q155" s="16"/>
      <c r="R155" s="2"/>
      <c r="S155" s="2"/>
    </row>
    <row r="156" spans="1:19" outlineLevel="2" x14ac:dyDescent="0.25">
      <c r="A156" s="258" t="s">
        <v>339</v>
      </c>
      <c r="B156" s="249"/>
      <c r="C156" s="405"/>
      <c r="D156" s="260"/>
      <c r="E156" s="260"/>
      <c r="F156" s="260"/>
      <c r="G156" s="260"/>
      <c r="H156" s="260"/>
      <c r="I156" s="260"/>
      <c r="J156" s="261"/>
      <c r="K156" s="260"/>
      <c r="L156" s="260"/>
      <c r="M156" s="323"/>
      <c r="N156" s="260"/>
      <c r="O156" s="236">
        <f t="shared" si="35"/>
        <v>0</v>
      </c>
      <c r="Q156" s="16"/>
      <c r="R156" s="2"/>
      <c r="S156" s="2"/>
    </row>
    <row r="157" spans="1:19" outlineLevel="2" x14ac:dyDescent="0.25">
      <c r="A157" s="258" t="s">
        <v>340</v>
      </c>
      <c r="B157" s="249"/>
      <c r="C157" s="405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323"/>
      <c r="O157" s="236">
        <f t="shared" si="35"/>
        <v>0</v>
      </c>
      <c r="Q157" s="16"/>
      <c r="R157" s="2"/>
      <c r="S157" s="2"/>
    </row>
    <row r="158" spans="1:19" outlineLevel="2" x14ac:dyDescent="0.25">
      <c r="A158" s="258" t="s">
        <v>341</v>
      </c>
      <c r="B158" s="249"/>
      <c r="C158" s="405"/>
      <c r="D158" s="260"/>
      <c r="E158" s="260"/>
      <c r="F158" s="260"/>
      <c r="G158" s="260"/>
      <c r="H158" s="260"/>
      <c r="I158" s="260"/>
      <c r="J158" s="261"/>
      <c r="K158" s="260"/>
      <c r="L158" s="260"/>
      <c r="M158" s="323"/>
      <c r="N158" s="406"/>
      <c r="O158" s="236">
        <f t="shared" si="35"/>
        <v>0</v>
      </c>
      <c r="Q158" s="16"/>
      <c r="R158" s="2"/>
      <c r="S158" s="2"/>
    </row>
    <row r="159" spans="1:19" outlineLevel="2" x14ac:dyDescent="0.25">
      <c r="A159" s="222" t="s">
        <v>342</v>
      </c>
      <c r="B159" s="249"/>
      <c r="C159" s="405"/>
      <c r="D159" s="260"/>
      <c r="E159" s="260"/>
      <c r="F159" s="260"/>
      <c r="G159" s="260"/>
      <c r="H159" s="260"/>
      <c r="I159" s="260"/>
      <c r="J159" s="261"/>
      <c r="K159" s="260"/>
      <c r="L159" s="260"/>
      <c r="M159" s="323"/>
      <c r="N159" s="406"/>
      <c r="O159" s="236">
        <f t="shared" si="35"/>
        <v>0</v>
      </c>
      <c r="Q159" s="16"/>
      <c r="R159" s="2"/>
      <c r="S159" s="2"/>
    </row>
    <row r="160" spans="1:19" outlineLevel="2" x14ac:dyDescent="0.25">
      <c r="A160" s="258" t="s">
        <v>343</v>
      </c>
      <c r="B160" s="249"/>
      <c r="C160" s="260"/>
      <c r="D160" s="260"/>
      <c r="E160" s="260"/>
      <c r="F160" s="260"/>
      <c r="G160" s="260"/>
      <c r="H160" s="260"/>
      <c r="I160" s="260"/>
      <c r="J160" s="261"/>
      <c r="K160" s="260"/>
      <c r="L160" s="260"/>
      <c r="M160" s="323"/>
      <c r="N160" s="406"/>
      <c r="O160" s="236">
        <f t="shared" si="35"/>
        <v>0</v>
      </c>
      <c r="Q160" s="16"/>
      <c r="R160" s="2"/>
      <c r="S160" s="2"/>
    </row>
    <row r="161" spans="1:19" outlineLevel="2" x14ac:dyDescent="0.25">
      <c r="A161" s="1" t="s">
        <v>524</v>
      </c>
      <c r="B161" s="249"/>
      <c r="C161" s="260"/>
      <c r="D161" s="260"/>
      <c r="E161" s="260"/>
      <c r="F161" s="260"/>
      <c r="G161" s="260"/>
      <c r="H161" s="260"/>
      <c r="I161" s="260"/>
      <c r="J161" s="261"/>
      <c r="K161" s="260"/>
      <c r="L161" s="260"/>
      <c r="M161" s="323"/>
      <c r="N161" s="406"/>
      <c r="O161" s="236">
        <f t="shared" si="35"/>
        <v>0</v>
      </c>
      <c r="Q161" s="16"/>
      <c r="R161" s="2"/>
      <c r="S161" s="2"/>
    </row>
    <row r="162" spans="1:19" ht="12.75" customHeight="1" outlineLevel="2" x14ac:dyDescent="0.25">
      <c r="A162" s="258" t="s">
        <v>344</v>
      </c>
      <c r="B162" s="249"/>
      <c r="C162" s="405"/>
      <c r="D162" s="260"/>
      <c r="E162" s="260"/>
      <c r="F162" s="260"/>
      <c r="G162" s="260"/>
      <c r="H162" s="260"/>
      <c r="I162" s="260"/>
      <c r="J162" s="260"/>
      <c r="K162" s="260"/>
      <c r="L162" s="260"/>
      <c r="M162" s="323"/>
      <c r="N162" s="406"/>
      <c r="O162" s="236">
        <f t="shared" si="35"/>
        <v>0</v>
      </c>
      <c r="Q162" s="16"/>
      <c r="R162" s="2"/>
      <c r="S162" s="2"/>
    </row>
    <row r="163" spans="1:19" ht="12.75" customHeight="1" outlineLevel="2" x14ac:dyDescent="0.25">
      <c r="A163" s="258" t="s">
        <v>345</v>
      </c>
      <c r="B163" s="249"/>
      <c r="C163" s="405"/>
      <c r="D163" s="260"/>
      <c r="E163" s="260"/>
      <c r="F163" s="260"/>
      <c r="G163" s="260"/>
      <c r="H163" s="260"/>
      <c r="I163" s="260"/>
      <c r="J163" s="261"/>
      <c r="K163" s="260"/>
      <c r="L163" s="260"/>
      <c r="M163" s="323"/>
      <c r="N163" s="406"/>
      <c r="O163" s="236">
        <f t="shared" si="35"/>
        <v>0</v>
      </c>
      <c r="Q163" s="16"/>
      <c r="R163" s="2"/>
      <c r="S163" s="2"/>
    </row>
    <row r="164" spans="1:19" ht="12.75" customHeight="1" outlineLevel="2" x14ac:dyDescent="0.25">
      <c r="A164" s="258" t="s">
        <v>346</v>
      </c>
      <c r="B164" s="249"/>
      <c r="C164" s="405"/>
      <c r="D164" s="260"/>
      <c r="E164" s="260"/>
      <c r="F164" s="260"/>
      <c r="G164" s="260"/>
      <c r="H164" s="260"/>
      <c r="I164" s="260"/>
      <c r="J164" s="261"/>
      <c r="K164" s="260"/>
      <c r="L164" s="260"/>
      <c r="M164" s="323"/>
      <c r="N164" s="323"/>
      <c r="O164" s="236">
        <f t="shared" si="35"/>
        <v>0</v>
      </c>
      <c r="Q164" s="16"/>
      <c r="R164" s="2"/>
      <c r="S164" s="2"/>
    </row>
    <row r="165" spans="1:19" outlineLevel="2" x14ac:dyDescent="0.25">
      <c r="A165" s="258" t="s">
        <v>347</v>
      </c>
      <c r="B165" s="249"/>
      <c r="C165" s="405"/>
      <c r="D165" s="260"/>
      <c r="E165" s="260"/>
      <c r="F165" s="260"/>
      <c r="G165" s="260"/>
      <c r="H165" s="260"/>
      <c r="I165" s="260"/>
      <c r="J165" s="261"/>
      <c r="K165" s="260"/>
      <c r="L165" s="260"/>
      <c r="M165" s="323"/>
      <c r="N165" s="406"/>
      <c r="O165" s="236"/>
      <c r="Q165" s="16"/>
      <c r="R165" s="2"/>
      <c r="S165" s="2"/>
    </row>
    <row r="166" spans="1:19" outlineLevel="2" x14ac:dyDescent="0.25">
      <c r="A166" s="258" t="s">
        <v>348</v>
      </c>
      <c r="B166" s="249"/>
      <c r="C166" s="405"/>
      <c r="D166" s="260"/>
      <c r="E166" s="260"/>
      <c r="F166" s="260"/>
      <c r="G166" s="260"/>
      <c r="H166" s="260"/>
      <c r="I166" s="260"/>
      <c r="J166" s="261"/>
      <c r="K166" s="260"/>
      <c r="L166" s="260"/>
      <c r="M166" s="323"/>
      <c r="N166" s="406"/>
      <c r="O166" s="236"/>
      <c r="Q166" s="16"/>
      <c r="R166" s="2"/>
      <c r="S166" s="2"/>
    </row>
    <row r="167" spans="1:19" s="6" customFormat="1" x14ac:dyDescent="0.25">
      <c r="A167" s="223" t="s">
        <v>349</v>
      </c>
      <c r="B167" s="253"/>
      <c r="C167" s="254">
        <f t="shared" ref="C167:N167" si="36">SUM(C168,C177)</f>
        <v>0</v>
      </c>
      <c r="D167" s="255">
        <f t="shared" si="36"/>
        <v>0</v>
      </c>
      <c r="E167" s="255">
        <f t="shared" si="36"/>
        <v>0</v>
      </c>
      <c r="F167" s="255">
        <f t="shared" si="36"/>
        <v>0</v>
      </c>
      <c r="G167" s="255">
        <f t="shared" si="36"/>
        <v>0</v>
      </c>
      <c r="H167" s="255">
        <f t="shared" si="36"/>
        <v>0</v>
      </c>
      <c r="I167" s="255">
        <f t="shared" si="36"/>
        <v>0</v>
      </c>
      <c r="J167" s="255">
        <f t="shared" si="36"/>
        <v>0</v>
      </c>
      <c r="K167" s="255">
        <f t="shared" si="36"/>
        <v>0</v>
      </c>
      <c r="L167" s="255">
        <f t="shared" si="36"/>
        <v>0</v>
      </c>
      <c r="M167" s="255">
        <f t="shared" si="36"/>
        <v>0</v>
      </c>
      <c r="N167" s="256">
        <f t="shared" si="36"/>
        <v>0</v>
      </c>
      <c r="O167" s="257">
        <f t="shared" ref="O167:O182" si="37">SUM(C167:N167)</f>
        <v>0</v>
      </c>
      <c r="Q167" s="18"/>
      <c r="R167" s="19"/>
      <c r="S167" s="19"/>
    </row>
    <row r="168" spans="1:19" outlineLevel="1" x14ac:dyDescent="0.25">
      <c r="A168" s="265" t="s">
        <v>351</v>
      </c>
      <c r="B168" s="266"/>
      <c r="C168" s="267">
        <f t="shared" ref="C168:N168" si="38">SUM(C169:C176)</f>
        <v>0</v>
      </c>
      <c r="D168" s="268">
        <f t="shared" si="38"/>
        <v>0</v>
      </c>
      <c r="E168" s="268">
        <f t="shared" si="38"/>
        <v>0</v>
      </c>
      <c r="F168" s="268">
        <f t="shared" si="38"/>
        <v>0</v>
      </c>
      <c r="G168" s="268">
        <f t="shared" si="38"/>
        <v>0</v>
      </c>
      <c r="H168" s="268">
        <f t="shared" si="38"/>
        <v>0</v>
      </c>
      <c r="I168" s="268">
        <f t="shared" si="38"/>
        <v>0</v>
      </c>
      <c r="J168" s="268">
        <f t="shared" si="38"/>
        <v>0</v>
      </c>
      <c r="K168" s="268">
        <f t="shared" si="38"/>
        <v>0</v>
      </c>
      <c r="L168" s="268">
        <f t="shared" si="38"/>
        <v>0</v>
      </c>
      <c r="M168" s="268">
        <f t="shared" si="38"/>
        <v>0</v>
      </c>
      <c r="N168" s="269">
        <f t="shared" si="38"/>
        <v>0</v>
      </c>
      <c r="O168" s="270">
        <f>SUM(C168:N168)</f>
        <v>0</v>
      </c>
      <c r="Q168" s="16"/>
      <c r="R168" s="2"/>
      <c r="S168" s="2"/>
    </row>
    <row r="169" spans="1:19" outlineLevel="2" x14ac:dyDescent="0.25">
      <c r="A169" s="258" t="s">
        <v>353</v>
      </c>
      <c r="B169" s="249"/>
      <c r="C169" s="404"/>
      <c r="D169" s="404"/>
      <c r="E169" s="404"/>
      <c r="F169" s="260"/>
      <c r="G169" s="260"/>
      <c r="H169" s="260"/>
      <c r="I169" s="260"/>
      <c r="J169" s="261"/>
      <c r="K169" s="260"/>
      <c r="L169" s="260"/>
      <c r="M169" s="323"/>
      <c r="N169" s="260"/>
      <c r="O169" s="236">
        <f t="shared" si="37"/>
        <v>0</v>
      </c>
      <c r="Q169" s="16"/>
      <c r="R169" s="2"/>
      <c r="S169" s="2"/>
    </row>
    <row r="170" spans="1:19" outlineLevel="2" x14ac:dyDescent="0.25">
      <c r="A170" s="258" t="s">
        <v>355</v>
      </c>
      <c r="B170" s="249"/>
      <c r="C170" s="404"/>
      <c r="D170" s="260"/>
      <c r="E170" s="260"/>
      <c r="F170" s="260"/>
      <c r="G170" s="260"/>
      <c r="H170" s="260"/>
      <c r="I170" s="260"/>
      <c r="J170" s="261"/>
      <c r="K170" s="260"/>
      <c r="L170" s="260"/>
      <c r="M170" s="323"/>
      <c r="N170" s="260"/>
      <c r="O170" s="236">
        <f t="shared" si="37"/>
        <v>0</v>
      </c>
      <c r="Q170" s="16"/>
      <c r="R170" s="2"/>
      <c r="S170" s="2"/>
    </row>
    <row r="171" spans="1:19" outlineLevel="2" x14ac:dyDescent="0.25">
      <c r="A171" s="258" t="s">
        <v>357</v>
      </c>
      <c r="B171" s="249"/>
      <c r="C171" s="404"/>
      <c r="D171" s="260"/>
      <c r="E171" s="260"/>
      <c r="F171" s="260"/>
      <c r="G171" s="260"/>
      <c r="H171" s="260"/>
      <c r="I171" s="260"/>
      <c r="J171" s="261"/>
      <c r="K171" s="260"/>
      <c r="L171" s="260"/>
      <c r="M171" s="323"/>
      <c r="N171" s="260"/>
      <c r="O171" s="236">
        <f t="shared" si="37"/>
        <v>0</v>
      </c>
      <c r="Q171" s="16"/>
      <c r="R171" s="2"/>
      <c r="S171" s="2"/>
    </row>
    <row r="172" spans="1:19" outlineLevel="2" x14ac:dyDescent="0.25">
      <c r="A172" s="258" t="s">
        <v>359</v>
      </c>
      <c r="B172" s="249"/>
      <c r="C172" s="404"/>
      <c r="D172" s="260"/>
      <c r="E172" s="260"/>
      <c r="F172" s="260"/>
      <c r="G172" s="260"/>
      <c r="H172" s="260"/>
      <c r="I172" s="260"/>
      <c r="J172" s="261"/>
      <c r="K172" s="260"/>
      <c r="L172" s="260"/>
      <c r="M172" s="323"/>
      <c r="N172" s="260"/>
      <c r="O172" s="236">
        <f t="shared" si="37"/>
        <v>0</v>
      </c>
      <c r="Q172" s="16"/>
      <c r="R172" s="2"/>
      <c r="S172" s="2"/>
    </row>
    <row r="173" spans="1:19" outlineLevel="2" x14ac:dyDescent="0.25">
      <c r="A173" s="258" t="s">
        <v>361</v>
      </c>
      <c r="B173" s="249"/>
      <c r="C173" s="404"/>
      <c r="D173" s="260"/>
      <c r="E173" s="260"/>
      <c r="F173" s="260"/>
      <c r="G173" s="260"/>
      <c r="H173" s="260"/>
      <c r="I173" s="260"/>
      <c r="J173" s="261"/>
      <c r="K173" s="260"/>
      <c r="L173" s="260"/>
      <c r="M173" s="323"/>
      <c r="N173" s="260"/>
      <c r="O173" s="236">
        <f t="shared" si="37"/>
        <v>0</v>
      </c>
      <c r="Q173" s="16"/>
      <c r="R173" s="2"/>
      <c r="S173" s="2"/>
    </row>
    <row r="174" spans="1:19" outlineLevel="2" x14ac:dyDescent="0.25">
      <c r="A174" s="258" t="s">
        <v>362</v>
      </c>
      <c r="B174" s="249"/>
      <c r="C174" s="404"/>
      <c r="D174" s="260"/>
      <c r="E174" s="260"/>
      <c r="F174" s="260"/>
      <c r="G174" s="260"/>
      <c r="H174" s="260"/>
      <c r="I174" s="260"/>
      <c r="J174" s="261"/>
      <c r="K174" s="260"/>
      <c r="L174" s="260"/>
      <c r="M174" s="323"/>
      <c r="N174" s="260"/>
      <c r="O174" s="236">
        <f t="shared" si="37"/>
        <v>0</v>
      </c>
      <c r="Q174" s="16"/>
      <c r="R174" s="2"/>
      <c r="S174" s="2"/>
    </row>
    <row r="175" spans="1:19" outlineLevel="2" x14ac:dyDescent="0.25">
      <c r="A175" s="258" t="s">
        <v>363</v>
      </c>
      <c r="B175" s="249"/>
      <c r="C175" s="404"/>
      <c r="D175" s="260"/>
      <c r="E175" s="260"/>
      <c r="F175" s="260"/>
      <c r="G175" s="260"/>
      <c r="H175" s="260"/>
      <c r="I175" s="260"/>
      <c r="J175" s="261"/>
      <c r="K175" s="260"/>
      <c r="L175" s="260"/>
      <c r="M175" s="323"/>
      <c r="N175" s="260"/>
      <c r="O175" s="236">
        <f t="shared" si="37"/>
        <v>0</v>
      </c>
      <c r="Q175" s="16"/>
      <c r="R175" s="2"/>
      <c r="S175" s="2"/>
    </row>
    <row r="176" spans="1:19" outlineLevel="2" x14ac:dyDescent="0.25">
      <c r="A176" s="258" t="s">
        <v>365</v>
      </c>
      <c r="B176" s="249"/>
      <c r="C176" s="404"/>
      <c r="D176" s="260"/>
      <c r="E176" s="260"/>
      <c r="F176" s="260"/>
      <c r="G176" s="260"/>
      <c r="H176" s="260"/>
      <c r="I176" s="260"/>
      <c r="J176" s="261"/>
      <c r="K176" s="260"/>
      <c r="L176" s="260"/>
      <c r="M176" s="323"/>
      <c r="N176" s="260"/>
      <c r="O176" s="236">
        <f t="shared" si="37"/>
        <v>0</v>
      </c>
      <c r="Q176" s="16"/>
      <c r="R176" s="2"/>
      <c r="S176" s="2"/>
    </row>
    <row r="177" spans="1:19" outlineLevel="1" x14ac:dyDescent="0.25">
      <c r="A177" s="265" t="s">
        <v>367</v>
      </c>
      <c r="B177" s="266"/>
      <c r="C177" s="267">
        <f t="shared" ref="C177:N177" si="39">SUM(C178:C182)</f>
        <v>0</v>
      </c>
      <c r="D177" s="268">
        <f t="shared" si="39"/>
        <v>0</v>
      </c>
      <c r="E177" s="268">
        <f t="shared" si="39"/>
        <v>0</v>
      </c>
      <c r="F177" s="268">
        <f t="shared" si="39"/>
        <v>0</v>
      </c>
      <c r="G177" s="268">
        <f t="shared" si="39"/>
        <v>0</v>
      </c>
      <c r="H177" s="268">
        <f t="shared" si="39"/>
        <v>0</v>
      </c>
      <c r="I177" s="268">
        <f t="shared" si="39"/>
        <v>0</v>
      </c>
      <c r="J177" s="268">
        <f t="shared" si="39"/>
        <v>0</v>
      </c>
      <c r="K177" s="268">
        <f t="shared" si="39"/>
        <v>0</v>
      </c>
      <c r="L177" s="268">
        <f t="shared" si="39"/>
        <v>0</v>
      </c>
      <c r="M177" s="268">
        <f t="shared" si="39"/>
        <v>0</v>
      </c>
      <c r="N177" s="269">
        <f t="shared" si="39"/>
        <v>0</v>
      </c>
      <c r="O177" s="270">
        <f t="shared" si="37"/>
        <v>0</v>
      </c>
      <c r="Q177" s="16"/>
      <c r="R177" s="2"/>
      <c r="S177" s="2"/>
    </row>
    <row r="178" spans="1:19" outlineLevel="2" x14ac:dyDescent="0.25">
      <c r="A178" s="258" t="s">
        <v>369</v>
      </c>
      <c r="B178" s="249"/>
      <c r="C178" s="234"/>
      <c r="D178" s="259"/>
      <c r="E178" s="260"/>
      <c r="F178" s="260"/>
      <c r="G178" s="260"/>
      <c r="H178" s="260"/>
      <c r="I178" s="260"/>
      <c r="J178" s="261"/>
      <c r="K178" s="259"/>
      <c r="L178" s="260"/>
      <c r="M178" s="239"/>
      <c r="N178" s="259"/>
      <c r="O178" s="236">
        <f t="shared" si="37"/>
        <v>0</v>
      </c>
      <c r="Q178" s="16"/>
      <c r="R178" s="2"/>
      <c r="S178" s="2"/>
    </row>
    <row r="179" spans="1:19" outlineLevel="2" x14ac:dyDescent="0.25">
      <c r="A179" s="258" t="s">
        <v>371</v>
      </c>
      <c r="B179" s="249"/>
      <c r="C179" s="234"/>
      <c r="D179" s="259"/>
      <c r="E179" s="260"/>
      <c r="F179" s="260"/>
      <c r="G179" s="260"/>
      <c r="H179" s="260"/>
      <c r="I179" s="260"/>
      <c r="J179" s="261"/>
      <c r="K179" s="259"/>
      <c r="L179" s="260"/>
      <c r="M179" s="239"/>
      <c r="N179" s="259"/>
      <c r="O179" s="236">
        <f t="shared" si="37"/>
        <v>0</v>
      </c>
      <c r="Q179" s="16"/>
      <c r="R179" s="2"/>
      <c r="S179" s="2"/>
    </row>
    <row r="180" spans="1:19" outlineLevel="2" x14ac:dyDescent="0.25">
      <c r="A180" s="258" t="s">
        <v>373</v>
      </c>
      <c r="B180" s="249"/>
      <c r="C180" s="234"/>
      <c r="D180" s="259"/>
      <c r="E180" s="260"/>
      <c r="F180" s="260"/>
      <c r="G180" s="260"/>
      <c r="H180" s="260"/>
      <c r="I180" s="260"/>
      <c r="J180" s="261"/>
      <c r="K180" s="259"/>
      <c r="L180" s="260"/>
      <c r="M180" s="239"/>
      <c r="N180" s="259"/>
      <c r="O180" s="236">
        <f t="shared" si="37"/>
        <v>0</v>
      </c>
      <c r="Q180" s="16"/>
      <c r="R180" s="2"/>
      <c r="S180" s="2"/>
    </row>
    <row r="181" spans="1:19" outlineLevel="2" x14ac:dyDescent="0.25">
      <c r="A181" s="258" t="s">
        <v>375</v>
      </c>
      <c r="B181" s="249"/>
      <c r="C181" s="234"/>
      <c r="D181" s="259"/>
      <c r="E181" s="260"/>
      <c r="F181" s="260"/>
      <c r="G181" s="260"/>
      <c r="H181" s="260"/>
      <c r="I181" s="260"/>
      <c r="J181" s="261"/>
      <c r="K181" s="259"/>
      <c r="L181" s="260"/>
      <c r="M181" s="239"/>
      <c r="N181" s="259"/>
      <c r="O181" s="236">
        <f t="shared" si="37"/>
        <v>0</v>
      </c>
      <c r="Q181" s="16"/>
      <c r="R181" s="2"/>
      <c r="S181" s="2"/>
    </row>
    <row r="182" spans="1:19" outlineLevel="2" x14ac:dyDescent="0.25">
      <c r="A182" s="258" t="s">
        <v>377</v>
      </c>
      <c r="B182" s="249"/>
      <c r="C182" s="234"/>
      <c r="D182" s="259"/>
      <c r="E182" s="260"/>
      <c r="F182" s="260"/>
      <c r="G182" s="260"/>
      <c r="H182" s="260"/>
      <c r="I182" s="260"/>
      <c r="J182" s="261"/>
      <c r="K182" s="259"/>
      <c r="L182" s="260"/>
      <c r="M182" s="239"/>
      <c r="N182" s="259"/>
      <c r="O182" s="236">
        <f t="shared" si="37"/>
        <v>0</v>
      </c>
      <c r="Q182" s="16"/>
      <c r="R182" s="2"/>
      <c r="S182" s="2"/>
    </row>
    <row r="183" spans="1:19" s="6" customFormat="1" x14ac:dyDescent="0.25">
      <c r="A183" s="223" t="s">
        <v>379</v>
      </c>
      <c r="B183" s="253"/>
      <c r="C183" s="254">
        <f t="shared" ref="C183:N183" si="40">SUM(C184,C191)</f>
        <v>0</v>
      </c>
      <c r="D183" s="255">
        <f t="shared" si="40"/>
        <v>0</v>
      </c>
      <c r="E183" s="255">
        <f t="shared" si="40"/>
        <v>0</v>
      </c>
      <c r="F183" s="255">
        <f t="shared" si="40"/>
        <v>0</v>
      </c>
      <c r="G183" s="255">
        <f t="shared" si="40"/>
        <v>0</v>
      </c>
      <c r="H183" s="255">
        <f t="shared" si="40"/>
        <v>0</v>
      </c>
      <c r="I183" s="255">
        <f t="shared" si="40"/>
        <v>0</v>
      </c>
      <c r="J183" s="255">
        <f t="shared" si="40"/>
        <v>0</v>
      </c>
      <c r="K183" s="255">
        <f t="shared" si="40"/>
        <v>0</v>
      </c>
      <c r="L183" s="255">
        <f t="shared" si="40"/>
        <v>0</v>
      </c>
      <c r="M183" s="255">
        <f t="shared" si="40"/>
        <v>0</v>
      </c>
      <c r="N183" s="256">
        <f t="shared" si="40"/>
        <v>0</v>
      </c>
      <c r="O183" s="257">
        <f t="shared" ref="O183:O236" si="41">SUM(C183:N183)</f>
        <v>0</v>
      </c>
      <c r="Q183" s="76"/>
      <c r="R183" s="19"/>
      <c r="S183" s="19"/>
    </row>
    <row r="184" spans="1:19" outlineLevel="1" x14ac:dyDescent="0.25">
      <c r="A184" s="265" t="s">
        <v>381</v>
      </c>
      <c r="B184" s="266"/>
      <c r="C184" s="267">
        <f t="shared" ref="C184:N184" si="42">SUM(C185:C190)</f>
        <v>0</v>
      </c>
      <c r="D184" s="268">
        <f t="shared" si="42"/>
        <v>0</v>
      </c>
      <c r="E184" s="268">
        <f t="shared" si="42"/>
        <v>0</v>
      </c>
      <c r="F184" s="268">
        <f t="shared" si="42"/>
        <v>0</v>
      </c>
      <c r="G184" s="268">
        <f t="shared" si="42"/>
        <v>0</v>
      </c>
      <c r="H184" s="268">
        <f t="shared" si="42"/>
        <v>0</v>
      </c>
      <c r="I184" s="268">
        <f t="shared" si="42"/>
        <v>0</v>
      </c>
      <c r="J184" s="268">
        <f t="shared" si="42"/>
        <v>0</v>
      </c>
      <c r="K184" s="268">
        <f t="shared" si="42"/>
        <v>0</v>
      </c>
      <c r="L184" s="268">
        <f t="shared" si="42"/>
        <v>0</v>
      </c>
      <c r="M184" s="268">
        <f t="shared" si="42"/>
        <v>0</v>
      </c>
      <c r="N184" s="269">
        <f t="shared" si="42"/>
        <v>0</v>
      </c>
      <c r="O184" s="270">
        <f t="shared" si="41"/>
        <v>0</v>
      </c>
      <c r="Q184" s="16"/>
      <c r="R184" s="2"/>
      <c r="S184" s="2"/>
    </row>
    <row r="185" spans="1:19" outlineLevel="2" x14ac:dyDescent="0.25">
      <c r="A185" s="258" t="s">
        <v>383</v>
      </c>
      <c r="B185" s="249"/>
      <c r="C185" s="234"/>
      <c r="D185" s="259"/>
      <c r="E185" s="260"/>
      <c r="F185" s="260"/>
      <c r="G185" s="260"/>
      <c r="H185" s="260"/>
      <c r="I185" s="260"/>
      <c r="J185" s="261"/>
      <c r="K185" s="259"/>
      <c r="L185" s="260"/>
      <c r="M185" s="239"/>
      <c r="N185" s="259"/>
      <c r="O185" s="236">
        <f t="shared" ref="O185:O198" si="43">SUM(C185:N185)</f>
        <v>0</v>
      </c>
      <c r="Q185" s="16"/>
      <c r="R185" s="2"/>
      <c r="S185" s="2"/>
    </row>
    <row r="186" spans="1:19" outlineLevel="2" x14ac:dyDescent="0.25">
      <c r="A186" s="258" t="s">
        <v>385</v>
      </c>
      <c r="B186" s="249"/>
      <c r="C186" s="234"/>
      <c r="D186" s="259"/>
      <c r="E186" s="260"/>
      <c r="F186" s="260"/>
      <c r="G186" s="260"/>
      <c r="H186" s="260"/>
      <c r="I186" s="260"/>
      <c r="J186" s="261"/>
      <c r="K186" s="259"/>
      <c r="L186" s="260"/>
      <c r="M186" s="239"/>
      <c r="N186" s="259"/>
      <c r="O186" s="236">
        <f t="shared" si="43"/>
        <v>0</v>
      </c>
      <c r="Q186" s="16"/>
      <c r="R186" s="2"/>
      <c r="S186" s="2"/>
    </row>
    <row r="187" spans="1:19" outlineLevel="2" x14ac:dyDescent="0.25">
      <c r="A187" s="258" t="s">
        <v>387</v>
      </c>
      <c r="B187" s="249"/>
      <c r="C187" s="234"/>
      <c r="D187" s="259"/>
      <c r="E187" s="260"/>
      <c r="F187" s="260"/>
      <c r="G187" s="260"/>
      <c r="H187" s="260"/>
      <c r="I187" s="260"/>
      <c r="J187" s="261"/>
      <c r="K187" s="259"/>
      <c r="L187" s="260"/>
      <c r="M187" s="239"/>
      <c r="N187" s="259"/>
      <c r="O187" s="236">
        <f t="shared" si="43"/>
        <v>0</v>
      </c>
      <c r="Q187" s="16"/>
      <c r="R187" s="2"/>
      <c r="S187" s="2"/>
    </row>
    <row r="188" spans="1:19" outlineLevel="2" x14ac:dyDescent="0.25">
      <c r="A188" s="258" t="s">
        <v>389</v>
      </c>
      <c r="B188" s="249"/>
      <c r="C188" s="234"/>
      <c r="D188" s="259"/>
      <c r="E188" s="260"/>
      <c r="F188" s="260"/>
      <c r="G188" s="260"/>
      <c r="H188" s="260"/>
      <c r="I188" s="260"/>
      <c r="J188" s="261"/>
      <c r="K188" s="259"/>
      <c r="L188" s="260"/>
      <c r="M188" s="239"/>
      <c r="N188" s="259"/>
      <c r="O188" s="236">
        <f t="shared" si="43"/>
        <v>0</v>
      </c>
      <c r="Q188" s="16"/>
      <c r="R188" s="2"/>
      <c r="S188" s="2"/>
    </row>
    <row r="189" spans="1:19" outlineLevel="2" x14ac:dyDescent="0.25">
      <c r="A189" s="258" t="s">
        <v>391</v>
      </c>
      <c r="B189" s="249"/>
      <c r="C189" s="234"/>
      <c r="D189" s="259"/>
      <c r="E189" s="260"/>
      <c r="F189" s="260"/>
      <c r="G189" s="260"/>
      <c r="H189" s="260"/>
      <c r="I189" s="260"/>
      <c r="J189" s="261"/>
      <c r="K189" s="259"/>
      <c r="L189" s="260"/>
      <c r="M189" s="239"/>
      <c r="N189" s="259"/>
      <c r="O189" s="236">
        <f t="shared" si="43"/>
        <v>0</v>
      </c>
      <c r="Q189" s="16"/>
      <c r="R189" s="2"/>
      <c r="S189" s="2"/>
    </row>
    <row r="190" spans="1:19" outlineLevel="2" x14ac:dyDescent="0.25">
      <c r="A190" s="258" t="s">
        <v>393</v>
      </c>
      <c r="B190" s="249"/>
      <c r="C190" s="234"/>
      <c r="D190" s="259"/>
      <c r="E190" s="260"/>
      <c r="F190" s="260"/>
      <c r="G190" s="260"/>
      <c r="H190" s="260"/>
      <c r="I190" s="260"/>
      <c r="J190" s="261"/>
      <c r="K190" s="259"/>
      <c r="L190" s="260"/>
      <c r="M190" s="239"/>
      <c r="N190" s="259"/>
      <c r="O190" s="236">
        <f t="shared" si="43"/>
        <v>0</v>
      </c>
      <c r="Q190" s="16"/>
      <c r="R190" s="2"/>
      <c r="S190" s="2"/>
    </row>
    <row r="191" spans="1:19" outlineLevel="1" x14ac:dyDescent="0.25">
      <c r="A191" s="265" t="s">
        <v>395</v>
      </c>
      <c r="B191" s="266"/>
      <c r="C191" s="267">
        <f t="shared" ref="C191:N191" si="44">SUM(C192:C198)</f>
        <v>0</v>
      </c>
      <c r="D191" s="268">
        <f t="shared" si="44"/>
        <v>0</v>
      </c>
      <c r="E191" s="268">
        <f t="shared" si="44"/>
        <v>0</v>
      </c>
      <c r="F191" s="268">
        <f t="shared" si="44"/>
        <v>0</v>
      </c>
      <c r="G191" s="268">
        <f t="shared" si="44"/>
        <v>0</v>
      </c>
      <c r="H191" s="268">
        <f t="shared" si="44"/>
        <v>0</v>
      </c>
      <c r="I191" s="268">
        <f t="shared" si="44"/>
        <v>0</v>
      </c>
      <c r="J191" s="268">
        <f t="shared" si="44"/>
        <v>0</v>
      </c>
      <c r="K191" s="268">
        <f t="shared" si="44"/>
        <v>0</v>
      </c>
      <c r="L191" s="268">
        <f t="shared" si="44"/>
        <v>0</v>
      </c>
      <c r="M191" s="268">
        <f t="shared" si="44"/>
        <v>0</v>
      </c>
      <c r="N191" s="269">
        <f t="shared" si="44"/>
        <v>0</v>
      </c>
      <c r="O191" s="236">
        <f t="shared" si="43"/>
        <v>0</v>
      </c>
      <c r="Q191" s="16"/>
      <c r="R191" s="2"/>
      <c r="S191" s="2"/>
    </row>
    <row r="192" spans="1:19" outlineLevel="2" x14ac:dyDescent="0.25">
      <c r="A192" s="258" t="s">
        <v>397</v>
      </c>
      <c r="B192" s="249"/>
      <c r="C192" s="234"/>
      <c r="D192" s="259"/>
      <c r="E192" s="260"/>
      <c r="F192" s="260"/>
      <c r="G192" s="260"/>
      <c r="H192" s="260"/>
      <c r="I192" s="260"/>
      <c r="J192" s="261"/>
      <c r="K192" s="259"/>
      <c r="L192" s="260"/>
      <c r="M192" s="239"/>
      <c r="N192" s="259"/>
      <c r="O192" s="236">
        <f t="shared" si="43"/>
        <v>0</v>
      </c>
      <c r="Q192" s="16"/>
      <c r="R192" s="2"/>
      <c r="S192" s="2"/>
    </row>
    <row r="193" spans="1:19" outlineLevel="2" x14ac:dyDescent="0.25">
      <c r="A193" s="258" t="s">
        <v>398</v>
      </c>
      <c r="B193" s="249"/>
      <c r="C193" s="234"/>
      <c r="D193" s="259"/>
      <c r="E193" s="260"/>
      <c r="F193" s="260"/>
      <c r="G193" s="260"/>
      <c r="H193" s="260"/>
      <c r="I193" s="260"/>
      <c r="J193" s="261"/>
      <c r="K193" s="259"/>
      <c r="L193" s="260"/>
      <c r="M193" s="239"/>
      <c r="N193" s="259"/>
      <c r="O193" s="236">
        <f t="shared" si="43"/>
        <v>0</v>
      </c>
      <c r="Q193" s="16"/>
      <c r="R193" s="2"/>
      <c r="S193" s="2"/>
    </row>
    <row r="194" spans="1:19" outlineLevel="2" x14ac:dyDescent="0.25">
      <c r="A194" s="258" t="s">
        <v>399</v>
      </c>
      <c r="B194" s="249"/>
      <c r="C194" s="234"/>
      <c r="D194" s="259"/>
      <c r="E194" s="260"/>
      <c r="F194" s="260"/>
      <c r="G194" s="260"/>
      <c r="H194" s="260"/>
      <c r="I194" s="260"/>
      <c r="J194" s="261"/>
      <c r="K194" s="259"/>
      <c r="L194" s="260"/>
      <c r="M194" s="239"/>
      <c r="N194" s="259"/>
      <c r="O194" s="236">
        <f t="shared" si="43"/>
        <v>0</v>
      </c>
      <c r="Q194" s="16"/>
      <c r="R194" s="2"/>
      <c r="S194" s="2"/>
    </row>
    <row r="195" spans="1:19" outlineLevel="2" x14ac:dyDescent="0.25">
      <c r="A195" s="258" t="s">
        <v>400</v>
      </c>
      <c r="B195" s="249"/>
      <c r="C195" s="234"/>
      <c r="D195" s="259"/>
      <c r="E195" s="260"/>
      <c r="F195" s="260"/>
      <c r="G195" s="260"/>
      <c r="H195" s="260"/>
      <c r="I195" s="260"/>
      <c r="J195" s="261"/>
      <c r="K195" s="259"/>
      <c r="L195" s="260"/>
      <c r="M195" s="239"/>
      <c r="N195" s="259"/>
      <c r="O195" s="236">
        <f t="shared" si="43"/>
        <v>0</v>
      </c>
      <c r="Q195" s="16"/>
      <c r="R195" s="2"/>
      <c r="S195" s="2"/>
    </row>
    <row r="196" spans="1:19" outlineLevel="2" x14ac:dyDescent="0.25">
      <c r="A196" s="258" t="s">
        <v>401</v>
      </c>
      <c r="B196" s="249"/>
      <c r="C196" s="234"/>
      <c r="D196" s="259"/>
      <c r="E196" s="260"/>
      <c r="F196" s="260"/>
      <c r="G196" s="260"/>
      <c r="H196" s="260"/>
      <c r="I196" s="260"/>
      <c r="J196" s="261"/>
      <c r="K196" s="259"/>
      <c r="L196" s="260"/>
      <c r="M196" s="239"/>
      <c r="N196" s="259"/>
      <c r="O196" s="236">
        <f t="shared" si="43"/>
        <v>0</v>
      </c>
      <c r="Q196" s="16"/>
      <c r="R196" s="2"/>
      <c r="S196" s="2"/>
    </row>
    <row r="197" spans="1:19" outlineLevel="2" x14ac:dyDescent="0.25">
      <c r="A197" s="258" t="s">
        <v>403</v>
      </c>
      <c r="B197" s="249"/>
      <c r="C197" s="234"/>
      <c r="D197" s="259"/>
      <c r="E197" s="260"/>
      <c r="F197" s="260"/>
      <c r="G197" s="260"/>
      <c r="H197" s="260"/>
      <c r="I197" s="260"/>
      <c r="J197" s="261"/>
      <c r="K197" s="259"/>
      <c r="L197" s="260"/>
      <c r="M197" s="239"/>
      <c r="N197" s="259"/>
      <c r="O197" s="236">
        <f t="shared" si="43"/>
        <v>0</v>
      </c>
      <c r="Q197" s="16"/>
      <c r="R197" s="2"/>
      <c r="S197" s="2"/>
    </row>
    <row r="198" spans="1:19" outlineLevel="2" x14ac:dyDescent="0.25">
      <c r="A198" s="258" t="s">
        <v>405</v>
      </c>
      <c r="B198" s="249"/>
      <c r="C198" s="234"/>
      <c r="D198" s="259"/>
      <c r="E198" s="260"/>
      <c r="F198" s="260"/>
      <c r="G198" s="260"/>
      <c r="H198" s="260"/>
      <c r="I198" s="260"/>
      <c r="J198" s="261"/>
      <c r="K198" s="259"/>
      <c r="L198" s="260"/>
      <c r="M198" s="239"/>
      <c r="N198" s="259"/>
      <c r="O198" s="236">
        <f t="shared" si="43"/>
        <v>0</v>
      </c>
      <c r="Q198" s="16"/>
      <c r="R198" s="2"/>
      <c r="S198" s="2"/>
    </row>
    <row r="199" spans="1:19" s="6" customFormat="1" x14ac:dyDescent="0.25">
      <c r="A199" s="223" t="s">
        <v>407</v>
      </c>
      <c r="B199" s="253"/>
      <c r="C199" s="254">
        <f t="shared" ref="C199:N199" si="45">SUM(C200,C210,C215,C217)</f>
        <v>0</v>
      </c>
      <c r="D199" s="255">
        <f t="shared" si="45"/>
        <v>0</v>
      </c>
      <c r="E199" s="255">
        <f t="shared" si="45"/>
        <v>0</v>
      </c>
      <c r="F199" s="255">
        <f t="shared" si="45"/>
        <v>0</v>
      </c>
      <c r="G199" s="255">
        <f t="shared" si="45"/>
        <v>0</v>
      </c>
      <c r="H199" s="255">
        <f t="shared" si="45"/>
        <v>0</v>
      </c>
      <c r="I199" s="255">
        <f t="shared" si="45"/>
        <v>0</v>
      </c>
      <c r="J199" s="255">
        <f t="shared" si="45"/>
        <v>0</v>
      </c>
      <c r="K199" s="255">
        <f t="shared" si="45"/>
        <v>0</v>
      </c>
      <c r="L199" s="255">
        <f t="shared" si="45"/>
        <v>0</v>
      </c>
      <c r="M199" s="255">
        <f t="shared" si="45"/>
        <v>0</v>
      </c>
      <c r="N199" s="256">
        <f t="shared" si="45"/>
        <v>0</v>
      </c>
      <c r="O199" s="257">
        <f t="shared" si="41"/>
        <v>0</v>
      </c>
      <c r="Q199" s="18"/>
      <c r="R199" s="19"/>
      <c r="S199" s="19"/>
    </row>
    <row r="200" spans="1:19" outlineLevel="1" x14ac:dyDescent="0.25">
      <c r="A200" s="265" t="s">
        <v>409</v>
      </c>
      <c r="B200" s="266"/>
      <c r="C200" s="267">
        <f>SUM(C201:C209)</f>
        <v>0</v>
      </c>
      <c r="D200" s="268">
        <f t="shared" ref="D200:N200" si="46">SUM(D201:D209)</f>
        <v>0</v>
      </c>
      <c r="E200" s="268">
        <f t="shared" si="46"/>
        <v>0</v>
      </c>
      <c r="F200" s="268">
        <f t="shared" si="46"/>
        <v>0</v>
      </c>
      <c r="G200" s="268">
        <f t="shared" si="46"/>
        <v>0</v>
      </c>
      <c r="H200" s="268">
        <f t="shared" si="46"/>
        <v>0</v>
      </c>
      <c r="I200" s="268">
        <f t="shared" si="46"/>
        <v>0</v>
      </c>
      <c r="J200" s="268">
        <f t="shared" si="46"/>
        <v>0</v>
      </c>
      <c r="K200" s="268">
        <f t="shared" si="46"/>
        <v>0</v>
      </c>
      <c r="L200" s="268">
        <f t="shared" si="46"/>
        <v>0</v>
      </c>
      <c r="M200" s="268">
        <f t="shared" si="46"/>
        <v>0</v>
      </c>
      <c r="N200" s="269">
        <f t="shared" si="46"/>
        <v>0</v>
      </c>
      <c r="O200" s="236">
        <f t="shared" ref="O200:O220" si="47">SUM(C200:N200)</f>
        <v>0</v>
      </c>
      <c r="Q200" s="16"/>
      <c r="R200" s="2"/>
      <c r="S200" s="2"/>
    </row>
    <row r="201" spans="1:19" outlineLevel="2" x14ac:dyDescent="0.25">
      <c r="A201" s="258" t="s">
        <v>411</v>
      </c>
      <c r="B201" s="249"/>
      <c r="C201" s="404"/>
      <c r="D201" s="260"/>
      <c r="E201" s="260"/>
      <c r="F201" s="260"/>
      <c r="G201" s="260"/>
      <c r="H201" s="260"/>
      <c r="I201" s="260"/>
      <c r="J201" s="261"/>
      <c r="K201" s="260"/>
      <c r="L201" s="260"/>
      <c r="M201" s="323"/>
      <c r="N201" s="260"/>
      <c r="O201" s="236">
        <f t="shared" si="47"/>
        <v>0</v>
      </c>
      <c r="Q201" s="16"/>
      <c r="R201" s="2"/>
      <c r="S201" s="2"/>
    </row>
    <row r="202" spans="1:19" outlineLevel="2" x14ac:dyDescent="0.25">
      <c r="A202" s="258" t="s">
        <v>413</v>
      </c>
      <c r="B202" s="249"/>
      <c r="C202" s="404"/>
      <c r="D202" s="260"/>
      <c r="E202" s="260"/>
      <c r="F202" s="260"/>
      <c r="G202" s="260"/>
      <c r="H202" s="260"/>
      <c r="I202" s="260"/>
      <c r="J202" s="261"/>
      <c r="K202" s="260"/>
      <c r="L202" s="260"/>
      <c r="M202" s="323"/>
      <c r="N202" s="260"/>
      <c r="O202" s="236">
        <f t="shared" si="47"/>
        <v>0</v>
      </c>
      <c r="Q202" s="16"/>
      <c r="R202" s="2"/>
      <c r="S202" s="2"/>
    </row>
    <row r="203" spans="1:19" outlineLevel="2" x14ac:dyDescent="0.25">
      <c r="A203" s="258" t="s">
        <v>415</v>
      </c>
      <c r="B203" s="249"/>
      <c r="C203" s="404"/>
      <c r="D203" s="260"/>
      <c r="E203" s="260"/>
      <c r="F203" s="260"/>
      <c r="G203" s="260"/>
      <c r="H203" s="260"/>
      <c r="I203" s="260"/>
      <c r="J203" s="261"/>
      <c r="K203" s="260"/>
      <c r="L203" s="260"/>
      <c r="M203" s="323"/>
      <c r="N203" s="260"/>
      <c r="O203" s="236">
        <f t="shared" si="47"/>
        <v>0</v>
      </c>
      <c r="Q203" s="16"/>
      <c r="R203" s="2"/>
      <c r="S203" s="2"/>
    </row>
    <row r="204" spans="1:19" outlineLevel="2" x14ac:dyDescent="0.25">
      <c r="A204" s="258" t="s">
        <v>685</v>
      </c>
      <c r="B204" s="249"/>
      <c r="C204" s="404"/>
      <c r="D204" s="260"/>
      <c r="E204" s="260"/>
      <c r="F204" s="260"/>
      <c r="G204" s="260"/>
      <c r="H204" s="260"/>
      <c r="I204" s="260"/>
      <c r="J204" s="261"/>
      <c r="K204" s="260"/>
      <c r="L204" s="260"/>
      <c r="M204" s="323"/>
      <c r="N204" s="260"/>
      <c r="O204" s="236">
        <f t="shared" si="47"/>
        <v>0</v>
      </c>
      <c r="Q204" s="16"/>
      <c r="R204" s="2"/>
      <c r="S204" s="2"/>
    </row>
    <row r="205" spans="1:19" outlineLevel="2" x14ac:dyDescent="0.25">
      <c r="A205" s="258" t="s">
        <v>418</v>
      </c>
      <c r="B205" s="249"/>
      <c r="C205" s="404"/>
      <c r="D205" s="260"/>
      <c r="E205" s="260"/>
      <c r="F205" s="260"/>
      <c r="G205" s="260"/>
      <c r="H205" s="260"/>
      <c r="I205" s="260"/>
      <c r="J205" s="261"/>
      <c r="K205" s="260"/>
      <c r="L205" s="260"/>
      <c r="M205" s="323"/>
      <c r="N205" s="260"/>
      <c r="O205" s="236">
        <f t="shared" si="47"/>
        <v>0</v>
      </c>
      <c r="Q205" s="16"/>
      <c r="R205" s="2"/>
      <c r="S205" s="2"/>
    </row>
    <row r="206" spans="1:19" outlineLevel="2" x14ac:dyDescent="0.25">
      <c r="A206" s="258" t="s">
        <v>420</v>
      </c>
      <c r="B206" s="249"/>
      <c r="C206" s="404"/>
      <c r="D206" s="260"/>
      <c r="E206" s="260"/>
      <c r="F206" s="260"/>
      <c r="G206" s="260"/>
      <c r="H206" s="260"/>
      <c r="I206" s="260"/>
      <c r="J206" s="261"/>
      <c r="K206" s="260"/>
      <c r="L206" s="260"/>
      <c r="M206" s="323"/>
      <c r="N206" s="260"/>
      <c r="O206" s="236">
        <f t="shared" si="47"/>
        <v>0</v>
      </c>
      <c r="Q206" s="16"/>
      <c r="R206" s="2"/>
      <c r="S206" s="2"/>
    </row>
    <row r="207" spans="1:19" outlineLevel="2" x14ac:dyDescent="0.25">
      <c r="A207" s="258" t="s">
        <v>422</v>
      </c>
      <c r="B207" s="249"/>
      <c r="C207" s="404"/>
      <c r="D207" s="260"/>
      <c r="E207" s="260"/>
      <c r="F207" s="260"/>
      <c r="G207" s="260"/>
      <c r="H207" s="260"/>
      <c r="I207" s="260"/>
      <c r="J207" s="261"/>
      <c r="K207" s="260"/>
      <c r="L207" s="260"/>
      <c r="M207" s="323"/>
      <c r="N207" s="260"/>
      <c r="O207" s="236">
        <f t="shared" si="47"/>
        <v>0</v>
      </c>
      <c r="Q207" s="16"/>
      <c r="R207" s="2"/>
      <c r="S207" s="2"/>
    </row>
    <row r="208" spans="1:19" outlineLevel="2" x14ac:dyDescent="0.25">
      <c r="A208" s="258" t="s">
        <v>424</v>
      </c>
      <c r="B208" s="249"/>
      <c r="C208" s="404"/>
      <c r="D208" s="260"/>
      <c r="E208" s="260"/>
      <c r="F208" s="260"/>
      <c r="G208" s="260"/>
      <c r="H208" s="260"/>
      <c r="I208" s="260"/>
      <c r="J208" s="261"/>
      <c r="K208" s="260"/>
      <c r="L208" s="260"/>
      <c r="M208" s="323"/>
      <c r="N208" s="260"/>
      <c r="O208" s="236">
        <f t="shared" si="47"/>
        <v>0</v>
      </c>
      <c r="Q208" s="16"/>
      <c r="R208" s="2"/>
      <c r="S208" s="2"/>
    </row>
    <row r="209" spans="1:19" outlineLevel="2" x14ac:dyDescent="0.25">
      <c r="A209" s="258" t="s">
        <v>426</v>
      </c>
      <c r="B209" s="249"/>
      <c r="C209" s="404"/>
      <c r="D209" s="260"/>
      <c r="E209" s="260"/>
      <c r="F209" s="260"/>
      <c r="G209" s="260"/>
      <c r="H209" s="260"/>
      <c r="I209" s="260"/>
      <c r="J209" s="261"/>
      <c r="K209" s="260"/>
      <c r="L209" s="260"/>
      <c r="M209" s="323"/>
      <c r="N209" s="260"/>
      <c r="O209" s="236">
        <f t="shared" si="47"/>
        <v>0</v>
      </c>
      <c r="Q209" s="16"/>
      <c r="R209" s="2"/>
      <c r="S209" s="2"/>
    </row>
    <row r="210" spans="1:19" outlineLevel="1" x14ac:dyDescent="0.25">
      <c r="A210" s="265" t="s">
        <v>428</v>
      </c>
      <c r="B210" s="266"/>
      <c r="C210" s="267">
        <f t="shared" ref="C210:N210" si="48">SUM(C211:C214)</f>
        <v>0</v>
      </c>
      <c r="D210" s="268">
        <f t="shared" si="48"/>
        <v>0</v>
      </c>
      <c r="E210" s="268">
        <f t="shared" si="48"/>
        <v>0</v>
      </c>
      <c r="F210" s="268">
        <f t="shared" si="48"/>
        <v>0</v>
      </c>
      <c r="G210" s="268">
        <f t="shared" si="48"/>
        <v>0</v>
      </c>
      <c r="H210" s="268">
        <f t="shared" si="48"/>
        <v>0</v>
      </c>
      <c r="I210" s="268">
        <f t="shared" si="48"/>
        <v>0</v>
      </c>
      <c r="J210" s="268">
        <f t="shared" si="48"/>
        <v>0</v>
      </c>
      <c r="K210" s="268">
        <f t="shared" si="48"/>
        <v>0</v>
      </c>
      <c r="L210" s="268">
        <f t="shared" si="48"/>
        <v>0</v>
      </c>
      <c r="M210" s="268">
        <f t="shared" si="48"/>
        <v>0</v>
      </c>
      <c r="N210" s="269">
        <f t="shared" si="48"/>
        <v>0</v>
      </c>
      <c r="O210" s="236">
        <f t="shared" si="47"/>
        <v>0</v>
      </c>
      <c r="Q210" s="16"/>
      <c r="R210" s="2"/>
      <c r="S210" s="2"/>
    </row>
    <row r="211" spans="1:19" outlineLevel="2" x14ac:dyDescent="0.25">
      <c r="A211" s="258" t="s">
        <v>684</v>
      </c>
      <c r="B211" s="249"/>
      <c r="C211" s="234"/>
      <c r="D211" s="259"/>
      <c r="E211" s="260"/>
      <c r="F211" s="260"/>
      <c r="G211" s="260"/>
      <c r="H211" s="260"/>
      <c r="I211" s="260"/>
      <c r="J211" s="261"/>
      <c r="K211" s="259"/>
      <c r="L211" s="260"/>
      <c r="M211" s="239"/>
      <c r="N211" s="259"/>
      <c r="O211" s="236">
        <f t="shared" si="47"/>
        <v>0</v>
      </c>
      <c r="Q211" s="16"/>
      <c r="R211" s="2"/>
      <c r="S211" s="2"/>
    </row>
    <row r="212" spans="1:19" outlineLevel="2" x14ac:dyDescent="0.25">
      <c r="A212" s="258" t="s">
        <v>432</v>
      </c>
      <c r="B212" s="249"/>
      <c r="C212" s="234"/>
      <c r="D212" s="259"/>
      <c r="E212" s="260"/>
      <c r="F212" s="260"/>
      <c r="G212" s="260"/>
      <c r="H212" s="260"/>
      <c r="I212" s="260"/>
      <c r="J212" s="261"/>
      <c r="K212" s="259"/>
      <c r="L212" s="260"/>
      <c r="M212" s="239"/>
      <c r="N212" s="259"/>
      <c r="O212" s="236">
        <f t="shared" si="47"/>
        <v>0</v>
      </c>
      <c r="Q212" s="16"/>
      <c r="R212" s="2"/>
      <c r="S212" s="2"/>
    </row>
    <row r="213" spans="1:19" outlineLevel="2" x14ac:dyDescent="0.25">
      <c r="A213" s="258" t="s">
        <v>434</v>
      </c>
      <c r="B213" s="249"/>
      <c r="C213" s="234"/>
      <c r="D213" s="259"/>
      <c r="E213" s="260"/>
      <c r="F213" s="260"/>
      <c r="G213" s="260"/>
      <c r="H213" s="260"/>
      <c r="I213" s="260"/>
      <c r="J213" s="261"/>
      <c r="K213" s="259"/>
      <c r="L213" s="260"/>
      <c r="M213" s="239"/>
      <c r="N213" s="259"/>
      <c r="O213" s="236">
        <f t="shared" si="47"/>
        <v>0</v>
      </c>
      <c r="Q213" s="16"/>
      <c r="R213" s="2"/>
      <c r="S213" s="2"/>
    </row>
    <row r="214" spans="1:19" outlineLevel="2" x14ac:dyDescent="0.25">
      <c r="A214" s="258" t="s">
        <v>436</v>
      </c>
      <c r="B214" s="249"/>
      <c r="C214" s="234"/>
      <c r="D214" s="259"/>
      <c r="E214" s="260"/>
      <c r="F214" s="260"/>
      <c r="G214" s="260"/>
      <c r="H214" s="260"/>
      <c r="I214" s="260"/>
      <c r="J214" s="261"/>
      <c r="K214" s="259"/>
      <c r="L214" s="260"/>
      <c r="M214" s="239"/>
      <c r="N214" s="259"/>
      <c r="O214" s="236">
        <f t="shared" si="47"/>
        <v>0</v>
      </c>
      <c r="Q214" s="16"/>
      <c r="R214" s="2"/>
      <c r="S214" s="2"/>
    </row>
    <row r="215" spans="1:19" outlineLevel="1" x14ac:dyDescent="0.25">
      <c r="A215" s="265" t="s">
        <v>438</v>
      </c>
      <c r="B215" s="266"/>
      <c r="C215" s="267">
        <f t="shared" ref="C215:N215" si="49">SUM(C216:C216)</f>
        <v>0</v>
      </c>
      <c r="D215" s="268">
        <f t="shared" si="49"/>
        <v>0</v>
      </c>
      <c r="E215" s="268">
        <f t="shared" si="49"/>
        <v>0</v>
      </c>
      <c r="F215" s="268">
        <f t="shared" si="49"/>
        <v>0</v>
      </c>
      <c r="G215" s="268">
        <f t="shared" si="49"/>
        <v>0</v>
      </c>
      <c r="H215" s="268">
        <f t="shared" si="49"/>
        <v>0</v>
      </c>
      <c r="I215" s="268">
        <f t="shared" si="49"/>
        <v>0</v>
      </c>
      <c r="J215" s="268">
        <f t="shared" si="49"/>
        <v>0</v>
      </c>
      <c r="K215" s="268">
        <f t="shared" si="49"/>
        <v>0</v>
      </c>
      <c r="L215" s="268">
        <f t="shared" si="49"/>
        <v>0</v>
      </c>
      <c r="M215" s="268">
        <f t="shared" si="49"/>
        <v>0</v>
      </c>
      <c r="N215" s="269">
        <f t="shared" si="49"/>
        <v>0</v>
      </c>
      <c r="O215" s="236">
        <f t="shared" si="47"/>
        <v>0</v>
      </c>
      <c r="Q215" s="16"/>
      <c r="R215" s="2"/>
      <c r="S215" s="2"/>
    </row>
    <row r="216" spans="1:19" outlineLevel="2" x14ac:dyDescent="0.25">
      <c r="A216" s="258" t="s">
        <v>440</v>
      </c>
      <c r="B216" s="249"/>
      <c r="C216" s="234"/>
      <c r="D216" s="259"/>
      <c r="E216" s="260"/>
      <c r="F216" s="260"/>
      <c r="G216" s="260"/>
      <c r="H216" s="260"/>
      <c r="I216" s="260"/>
      <c r="J216" s="261"/>
      <c r="K216" s="259"/>
      <c r="L216" s="260"/>
      <c r="M216" s="239"/>
      <c r="N216" s="259"/>
      <c r="O216" s="236">
        <f t="shared" si="47"/>
        <v>0</v>
      </c>
      <c r="Q216" s="16"/>
      <c r="R216" s="2"/>
      <c r="S216" s="2"/>
    </row>
    <row r="217" spans="1:19" outlineLevel="1" x14ac:dyDescent="0.25">
      <c r="A217" s="265" t="s">
        <v>442</v>
      </c>
      <c r="B217" s="266"/>
      <c r="C217" s="267">
        <f t="shared" ref="C217:N217" si="50">SUM(C218:C220)</f>
        <v>0</v>
      </c>
      <c r="D217" s="268">
        <f t="shared" si="50"/>
        <v>0</v>
      </c>
      <c r="E217" s="268">
        <f t="shared" si="50"/>
        <v>0</v>
      </c>
      <c r="F217" s="268">
        <f t="shared" si="50"/>
        <v>0</v>
      </c>
      <c r="G217" s="268">
        <f t="shared" si="50"/>
        <v>0</v>
      </c>
      <c r="H217" s="268">
        <f t="shared" si="50"/>
        <v>0</v>
      </c>
      <c r="I217" s="268">
        <f t="shared" si="50"/>
        <v>0</v>
      </c>
      <c r="J217" s="268">
        <f t="shared" si="50"/>
        <v>0</v>
      </c>
      <c r="K217" s="268">
        <f t="shared" si="50"/>
        <v>0</v>
      </c>
      <c r="L217" s="268">
        <f t="shared" si="50"/>
        <v>0</v>
      </c>
      <c r="M217" s="268">
        <f t="shared" si="50"/>
        <v>0</v>
      </c>
      <c r="N217" s="269">
        <f t="shared" si="50"/>
        <v>0</v>
      </c>
      <c r="O217" s="236">
        <f t="shared" si="47"/>
        <v>0</v>
      </c>
      <c r="Q217" s="16"/>
      <c r="R217" s="2"/>
      <c r="S217" s="2"/>
    </row>
    <row r="218" spans="1:19" outlineLevel="2" x14ac:dyDescent="0.25">
      <c r="A218" s="258" t="s">
        <v>444</v>
      </c>
      <c r="B218" s="249"/>
      <c r="C218" s="234"/>
      <c r="D218" s="259"/>
      <c r="E218" s="260"/>
      <c r="F218" s="260"/>
      <c r="G218" s="260"/>
      <c r="H218" s="260"/>
      <c r="I218" s="260"/>
      <c r="J218" s="261"/>
      <c r="K218" s="259"/>
      <c r="L218" s="260"/>
      <c r="M218" s="239"/>
      <c r="N218" s="259"/>
      <c r="O218" s="236">
        <f t="shared" si="47"/>
        <v>0</v>
      </c>
      <c r="Q218" s="16"/>
      <c r="R218" s="2"/>
      <c r="S218" s="2"/>
    </row>
    <row r="219" spans="1:19" outlineLevel="2" x14ac:dyDescent="0.25">
      <c r="A219" s="258" t="s">
        <v>446</v>
      </c>
      <c r="B219" s="249"/>
      <c r="C219" s="234"/>
      <c r="D219" s="259"/>
      <c r="E219" s="260"/>
      <c r="F219" s="260"/>
      <c r="G219" s="260"/>
      <c r="H219" s="260"/>
      <c r="I219" s="260"/>
      <c r="J219" s="261"/>
      <c r="K219" s="259"/>
      <c r="L219" s="260"/>
      <c r="M219" s="239"/>
      <c r="N219" s="259"/>
      <c r="O219" s="236">
        <f t="shared" si="47"/>
        <v>0</v>
      </c>
      <c r="Q219" s="16"/>
      <c r="R219" s="2"/>
      <c r="S219" s="2"/>
    </row>
    <row r="220" spans="1:19" outlineLevel="2" x14ac:dyDescent="0.25">
      <c r="A220" s="258" t="s">
        <v>447</v>
      </c>
      <c r="B220" s="249"/>
      <c r="C220" s="234"/>
      <c r="D220" s="259"/>
      <c r="E220" s="260"/>
      <c r="F220" s="260"/>
      <c r="G220" s="260"/>
      <c r="H220" s="260"/>
      <c r="I220" s="260"/>
      <c r="J220" s="261"/>
      <c r="K220" s="259"/>
      <c r="L220" s="260"/>
      <c r="M220" s="239"/>
      <c r="N220" s="259"/>
      <c r="O220" s="236">
        <f t="shared" si="47"/>
        <v>0</v>
      </c>
      <c r="Q220" s="16"/>
      <c r="R220" s="2"/>
      <c r="S220" s="2"/>
    </row>
    <row r="221" spans="1:19" s="6" customFormat="1" x14ac:dyDescent="0.25">
      <c r="A221" s="223" t="s">
        <v>449</v>
      </c>
      <c r="B221" s="253"/>
      <c r="C221" s="254">
        <f t="shared" ref="C221:N221" si="51">SUM(C222,C236)</f>
        <v>0</v>
      </c>
      <c r="D221" s="255">
        <f t="shared" si="51"/>
        <v>0</v>
      </c>
      <c r="E221" s="255">
        <f t="shared" si="51"/>
        <v>0</v>
      </c>
      <c r="F221" s="255">
        <f t="shared" si="51"/>
        <v>0</v>
      </c>
      <c r="G221" s="255">
        <f t="shared" si="51"/>
        <v>0</v>
      </c>
      <c r="H221" s="255">
        <f t="shared" si="51"/>
        <v>0</v>
      </c>
      <c r="I221" s="255">
        <f t="shared" si="51"/>
        <v>0</v>
      </c>
      <c r="J221" s="255">
        <f t="shared" si="51"/>
        <v>0</v>
      </c>
      <c r="K221" s="255">
        <f t="shared" si="51"/>
        <v>0</v>
      </c>
      <c r="L221" s="255">
        <f t="shared" si="51"/>
        <v>0</v>
      </c>
      <c r="M221" s="255">
        <f t="shared" si="51"/>
        <v>0</v>
      </c>
      <c r="N221" s="256">
        <f t="shared" si="51"/>
        <v>0</v>
      </c>
      <c r="O221" s="257">
        <f t="shared" si="41"/>
        <v>0</v>
      </c>
      <c r="Q221" s="18"/>
      <c r="R221" s="19"/>
      <c r="S221" s="19"/>
    </row>
    <row r="222" spans="1:19" outlineLevel="1" x14ac:dyDescent="0.25">
      <c r="A222" s="265" t="s">
        <v>451</v>
      </c>
      <c r="B222" s="266"/>
      <c r="C222" s="267">
        <f t="shared" ref="C222:N222" si="52">SUM(C223:C235)</f>
        <v>0</v>
      </c>
      <c r="D222" s="268">
        <f t="shared" si="52"/>
        <v>0</v>
      </c>
      <c r="E222" s="268">
        <f t="shared" si="52"/>
        <v>0</v>
      </c>
      <c r="F222" s="268">
        <f t="shared" si="52"/>
        <v>0</v>
      </c>
      <c r="G222" s="268">
        <f t="shared" si="52"/>
        <v>0</v>
      </c>
      <c r="H222" s="268">
        <f t="shared" si="52"/>
        <v>0</v>
      </c>
      <c r="I222" s="268">
        <f t="shared" si="52"/>
        <v>0</v>
      </c>
      <c r="J222" s="268">
        <f t="shared" si="52"/>
        <v>0</v>
      </c>
      <c r="K222" s="268">
        <f t="shared" si="52"/>
        <v>0</v>
      </c>
      <c r="L222" s="268">
        <f t="shared" si="52"/>
        <v>0</v>
      </c>
      <c r="M222" s="268">
        <f t="shared" si="52"/>
        <v>0</v>
      </c>
      <c r="N222" s="269">
        <f t="shared" si="52"/>
        <v>0</v>
      </c>
      <c r="O222" s="270">
        <f t="shared" si="41"/>
        <v>0</v>
      </c>
      <c r="Q222" s="16"/>
      <c r="R222" s="2"/>
      <c r="S222" s="2"/>
    </row>
    <row r="223" spans="1:19" outlineLevel="2" x14ac:dyDescent="0.25">
      <c r="A223" s="258" t="s">
        <v>453</v>
      </c>
      <c r="B223" s="249"/>
      <c r="C223" s="234"/>
      <c r="D223" s="259"/>
      <c r="E223" s="260"/>
      <c r="F223" s="260"/>
      <c r="G223" s="260"/>
      <c r="H223" s="260"/>
      <c r="I223" s="260"/>
      <c r="J223" s="261"/>
      <c r="K223" s="259"/>
      <c r="L223" s="260"/>
      <c r="M223" s="239"/>
      <c r="N223" s="259"/>
      <c r="O223" s="236">
        <f t="shared" ref="O223:O235" si="53">SUM(C223:N223)</f>
        <v>0</v>
      </c>
      <c r="Q223" s="16"/>
      <c r="R223" s="2"/>
      <c r="S223" s="2"/>
    </row>
    <row r="224" spans="1:19" outlineLevel="2" x14ac:dyDescent="0.25">
      <c r="A224" s="258" t="s">
        <v>455</v>
      </c>
      <c r="B224" s="249"/>
      <c r="C224" s="234"/>
      <c r="D224" s="259"/>
      <c r="E224" s="260"/>
      <c r="F224" s="260"/>
      <c r="G224" s="260"/>
      <c r="H224" s="260"/>
      <c r="I224" s="260"/>
      <c r="J224" s="261"/>
      <c r="K224" s="259"/>
      <c r="L224" s="260"/>
      <c r="M224" s="239"/>
      <c r="N224" s="259"/>
      <c r="O224" s="236">
        <f t="shared" si="53"/>
        <v>0</v>
      </c>
      <c r="Q224" s="16"/>
      <c r="R224" s="2"/>
      <c r="S224" s="2"/>
    </row>
    <row r="225" spans="1:19" outlineLevel="2" x14ac:dyDescent="0.25">
      <c r="A225" s="258" t="s">
        <v>457</v>
      </c>
      <c r="B225" s="249"/>
      <c r="C225" s="234"/>
      <c r="D225" s="259"/>
      <c r="E225" s="260"/>
      <c r="F225" s="260"/>
      <c r="G225" s="260"/>
      <c r="H225" s="260"/>
      <c r="I225" s="260"/>
      <c r="J225" s="261"/>
      <c r="K225" s="259"/>
      <c r="L225" s="260"/>
      <c r="M225" s="239"/>
      <c r="N225" s="259"/>
      <c r="O225" s="236">
        <f t="shared" si="53"/>
        <v>0</v>
      </c>
      <c r="Q225" s="16"/>
      <c r="R225" s="2"/>
      <c r="S225" s="2"/>
    </row>
    <row r="226" spans="1:19" outlineLevel="2" x14ac:dyDescent="0.25">
      <c r="A226" s="258" t="s">
        <v>459</v>
      </c>
      <c r="B226" s="249"/>
      <c r="C226" s="234"/>
      <c r="D226" s="259"/>
      <c r="E226" s="260"/>
      <c r="F226" s="260"/>
      <c r="G226" s="260"/>
      <c r="H226" s="260"/>
      <c r="I226" s="260"/>
      <c r="J226" s="261"/>
      <c r="K226" s="259"/>
      <c r="L226" s="260"/>
      <c r="M226" s="239"/>
      <c r="N226" s="259"/>
      <c r="O226" s="236">
        <f t="shared" si="53"/>
        <v>0</v>
      </c>
      <c r="Q226" s="16"/>
      <c r="R226" s="2"/>
      <c r="S226" s="2"/>
    </row>
    <row r="227" spans="1:19" outlineLevel="2" x14ac:dyDescent="0.25">
      <c r="A227" s="258" t="s">
        <v>461</v>
      </c>
      <c r="B227" s="249"/>
      <c r="C227" s="234"/>
      <c r="D227" s="259"/>
      <c r="E227" s="260"/>
      <c r="F227" s="260"/>
      <c r="G227" s="260"/>
      <c r="H227" s="260"/>
      <c r="I227" s="260"/>
      <c r="J227" s="261"/>
      <c r="K227" s="259"/>
      <c r="L227" s="260"/>
      <c r="M227" s="239"/>
      <c r="N227" s="259"/>
      <c r="O227" s="236">
        <f t="shared" si="53"/>
        <v>0</v>
      </c>
      <c r="Q227" s="16"/>
      <c r="R227" s="2"/>
      <c r="S227" s="2"/>
    </row>
    <row r="228" spans="1:19" outlineLevel="2" x14ac:dyDescent="0.25">
      <c r="A228" s="258" t="s">
        <v>463</v>
      </c>
      <c r="B228" s="249"/>
      <c r="C228" s="234"/>
      <c r="D228" s="259"/>
      <c r="E228" s="260"/>
      <c r="F228" s="260"/>
      <c r="G228" s="260"/>
      <c r="H228" s="260"/>
      <c r="I228" s="260"/>
      <c r="J228" s="261"/>
      <c r="K228" s="259"/>
      <c r="L228" s="260"/>
      <c r="M228" s="239"/>
      <c r="N228" s="259"/>
      <c r="O228" s="236">
        <f t="shared" si="53"/>
        <v>0</v>
      </c>
      <c r="Q228" s="16"/>
      <c r="R228" s="2"/>
      <c r="S228" s="2"/>
    </row>
    <row r="229" spans="1:19" outlineLevel="2" x14ac:dyDescent="0.25">
      <c r="A229" s="258" t="s">
        <v>465</v>
      </c>
      <c r="B229" s="249"/>
      <c r="C229" s="234"/>
      <c r="D229" s="259"/>
      <c r="E229" s="260"/>
      <c r="F229" s="260"/>
      <c r="G229" s="260"/>
      <c r="H229" s="260"/>
      <c r="I229" s="260"/>
      <c r="J229" s="261"/>
      <c r="K229" s="259"/>
      <c r="L229" s="260"/>
      <c r="M229" s="239"/>
      <c r="N229" s="259"/>
      <c r="O229" s="236">
        <f t="shared" si="53"/>
        <v>0</v>
      </c>
      <c r="Q229" s="16"/>
      <c r="R229" s="2"/>
      <c r="S229" s="2"/>
    </row>
    <row r="230" spans="1:19" outlineLevel="2" x14ac:dyDescent="0.25">
      <c r="A230" s="258" t="s">
        <v>467</v>
      </c>
      <c r="B230" s="249"/>
      <c r="C230" s="234"/>
      <c r="D230" s="259"/>
      <c r="E230" s="260"/>
      <c r="F230" s="260"/>
      <c r="G230" s="260"/>
      <c r="H230" s="260"/>
      <c r="I230" s="260"/>
      <c r="J230" s="261"/>
      <c r="K230" s="259"/>
      <c r="L230" s="260"/>
      <c r="M230" s="239"/>
      <c r="N230" s="259"/>
      <c r="O230" s="236">
        <f t="shared" si="53"/>
        <v>0</v>
      </c>
      <c r="Q230" s="16"/>
      <c r="R230" s="2"/>
      <c r="S230" s="2"/>
    </row>
    <row r="231" spans="1:19" outlineLevel="2" x14ac:dyDescent="0.25">
      <c r="A231" s="258" t="s">
        <v>469</v>
      </c>
      <c r="B231" s="249"/>
      <c r="C231" s="234"/>
      <c r="D231" s="259"/>
      <c r="E231" s="260"/>
      <c r="F231" s="260"/>
      <c r="G231" s="260"/>
      <c r="H231" s="260"/>
      <c r="I231" s="260"/>
      <c r="J231" s="261"/>
      <c r="K231" s="259"/>
      <c r="L231" s="260"/>
      <c r="M231" s="239"/>
      <c r="N231" s="259"/>
      <c r="O231" s="236">
        <f t="shared" si="53"/>
        <v>0</v>
      </c>
      <c r="Q231" s="16"/>
      <c r="R231" s="2"/>
      <c r="S231" s="2"/>
    </row>
    <row r="232" spans="1:19" outlineLevel="2" x14ac:dyDescent="0.25">
      <c r="A232" s="258" t="s">
        <v>471</v>
      </c>
      <c r="B232" s="249"/>
      <c r="C232" s="234"/>
      <c r="D232" s="259"/>
      <c r="E232" s="260"/>
      <c r="F232" s="260"/>
      <c r="G232" s="260"/>
      <c r="H232" s="260"/>
      <c r="I232" s="260"/>
      <c r="J232" s="261"/>
      <c r="K232" s="259"/>
      <c r="L232" s="260"/>
      <c r="M232" s="239"/>
      <c r="N232" s="259"/>
      <c r="O232" s="236">
        <f t="shared" si="53"/>
        <v>0</v>
      </c>
      <c r="Q232" s="16"/>
      <c r="R232" s="2"/>
      <c r="S232" s="2"/>
    </row>
    <row r="233" spans="1:19" outlineLevel="2" x14ac:dyDescent="0.25">
      <c r="A233" s="258" t="s">
        <v>473</v>
      </c>
      <c r="B233" s="249"/>
      <c r="C233" s="234"/>
      <c r="D233" s="259"/>
      <c r="E233" s="260"/>
      <c r="F233" s="260"/>
      <c r="G233" s="260"/>
      <c r="H233" s="260"/>
      <c r="I233" s="260"/>
      <c r="J233" s="261"/>
      <c r="K233" s="259"/>
      <c r="L233" s="260"/>
      <c r="M233" s="239"/>
      <c r="N233" s="259"/>
      <c r="O233" s="236">
        <f t="shared" si="53"/>
        <v>0</v>
      </c>
      <c r="Q233" s="16"/>
      <c r="R233" s="2"/>
      <c r="S233" s="2"/>
    </row>
    <row r="234" spans="1:19" outlineLevel="2" x14ac:dyDescent="0.25">
      <c r="A234" s="258" t="s">
        <v>475</v>
      </c>
      <c r="B234" s="249"/>
      <c r="C234" s="234"/>
      <c r="D234" s="259"/>
      <c r="E234" s="260"/>
      <c r="F234" s="260"/>
      <c r="G234" s="260"/>
      <c r="H234" s="260"/>
      <c r="I234" s="260"/>
      <c r="J234" s="261"/>
      <c r="K234" s="259"/>
      <c r="L234" s="260"/>
      <c r="M234" s="239"/>
      <c r="N234" s="259"/>
      <c r="O234" s="236">
        <f t="shared" si="53"/>
        <v>0</v>
      </c>
      <c r="Q234" s="16"/>
      <c r="R234" s="2"/>
      <c r="S234" s="2"/>
    </row>
    <row r="235" spans="1:19" outlineLevel="2" x14ac:dyDescent="0.25">
      <c r="A235" s="258" t="s">
        <v>477</v>
      </c>
      <c r="B235" s="249"/>
      <c r="C235" s="234"/>
      <c r="D235" s="260"/>
      <c r="E235" s="260"/>
      <c r="F235" s="260"/>
      <c r="G235" s="260"/>
      <c r="H235" s="260"/>
      <c r="I235" s="260"/>
      <c r="J235" s="261"/>
      <c r="K235" s="259"/>
      <c r="L235" s="260"/>
      <c r="M235" s="239"/>
      <c r="N235" s="259"/>
      <c r="O235" s="236">
        <f t="shared" si="53"/>
        <v>0</v>
      </c>
      <c r="Q235" s="16"/>
      <c r="R235" s="2"/>
      <c r="S235" s="2"/>
    </row>
    <row r="236" spans="1:19" outlineLevel="1" x14ac:dyDescent="0.25">
      <c r="A236" s="265" t="s">
        <v>479</v>
      </c>
      <c r="B236" s="266"/>
      <c r="C236" s="267">
        <f t="shared" ref="C236:N236" si="54">SUM(C237)</f>
        <v>0</v>
      </c>
      <c r="D236" s="268">
        <f t="shared" si="54"/>
        <v>0</v>
      </c>
      <c r="E236" s="268">
        <f t="shared" si="54"/>
        <v>0</v>
      </c>
      <c r="F236" s="268">
        <f t="shared" si="54"/>
        <v>0</v>
      </c>
      <c r="G236" s="268">
        <f t="shared" si="54"/>
        <v>0</v>
      </c>
      <c r="H236" s="268">
        <f t="shared" si="54"/>
        <v>0</v>
      </c>
      <c r="I236" s="268">
        <f t="shared" si="54"/>
        <v>0</v>
      </c>
      <c r="J236" s="268">
        <f t="shared" si="54"/>
        <v>0</v>
      </c>
      <c r="K236" s="268">
        <f t="shared" si="54"/>
        <v>0</v>
      </c>
      <c r="L236" s="268">
        <f t="shared" si="54"/>
        <v>0</v>
      </c>
      <c r="M236" s="268">
        <f t="shared" si="54"/>
        <v>0</v>
      </c>
      <c r="N236" s="269">
        <f t="shared" si="54"/>
        <v>0</v>
      </c>
      <c r="O236" s="270">
        <f t="shared" si="41"/>
        <v>0</v>
      </c>
      <c r="Q236" s="16"/>
      <c r="R236" s="2"/>
      <c r="S236" s="2"/>
    </row>
    <row r="237" spans="1:19" outlineLevel="2" x14ac:dyDescent="0.25">
      <c r="A237" s="258" t="s">
        <v>481</v>
      </c>
      <c r="B237" s="249"/>
      <c r="C237" s="234"/>
      <c r="D237" s="259"/>
      <c r="E237" s="260"/>
      <c r="F237" s="260"/>
      <c r="G237" s="260"/>
      <c r="H237" s="260"/>
      <c r="I237" s="260"/>
      <c r="J237" s="261"/>
      <c r="K237" s="259"/>
      <c r="L237" s="260"/>
      <c r="M237" s="239"/>
      <c r="N237" s="259"/>
      <c r="O237" s="236">
        <f t="shared" ref="O237:O275" si="55">SUM(C237:N237)</f>
        <v>0</v>
      </c>
      <c r="Q237" s="16"/>
      <c r="R237" s="2"/>
      <c r="S237" s="2"/>
    </row>
    <row r="238" spans="1:19" x14ac:dyDescent="0.25">
      <c r="A238" s="223" t="s">
        <v>545</v>
      </c>
      <c r="B238" s="253"/>
      <c r="C238" s="254">
        <f t="shared" ref="C238:N238" si="56">C239+C244+C250+C252</f>
        <v>0</v>
      </c>
      <c r="D238" s="255">
        <f t="shared" si="56"/>
        <v>0</v>
      </c>
      <c r="E238" s="255">
        <f t="shared" si="56"/>
        <v>0</v>
      </c>
      <c r="F238" s="255">
        <f t="shared" si="56"/>
        <v>0</v>
      </c>
      <c r="G238" s="255">
        <f t="shared" si="56"/>
        <v>0</v>
      </c>
      <c r="H238" s="255">
        <f t="shared" si="56"/>
        <v>0</v>
      </c>
      <c r="I238" s="255">
        <f t="shared" si="56"/>
        <v>0</v>
      </c>
      <c r="J238" s="255">
        <f t="shared" si="56"/>
        <v>0</v>
      </c>
      <c r="K238" s="255">
        <f t="shared" si="56"/>
        <v>0</v>
      </c>
      <c r="L238" s="255">
        <f t="shared" si="56"/>
        <v>0</v>
      </c>
      <c r="M238" s="255">
        <f t="shared" si="56"/>
        <v>0</v>
      </c>
      <c r="N238" s="255">
        <f t="shared" si="56"/>
        <v>0</v>
      </c>
      <c r="O238" s="257">
        <f t="shared" ref="O238" si="57">SUM(C238:N238)</f>
        <v>0</v>
      </c>
      <c r="Q238" s="16"/>
      <c r="R238" s="2"/>
      <c r="S238" s="2"/>
    </row>
    <row r="239" spans="1:19" outlineLevel="1" x14ac:dyDescent="0.25">
      <c r="A239" s="265" t="s">
        <v>451</v>
      </c>
      <c r="B239" s="266"/>
      <c r="C239" s="267">
        <f t="shared" ref="C239:N239" si="58">SUM(C240:C243)</f>
        <v>0</v>
      </c>
      <c r="D239" s="267">
        <f t="shared" si="58"/>
        <v>0</v>
      </c>
      <c r="E239" s="267">
        <f t="shared" si="58"/>
        <v>0</v>
      </c>
      <c r="F239" s="267">
        <f t="shared" si="58"/>
        <v>0</v>
      </c>
      <c r="G239" s="267">
        <f t="shared" si="58"/>
        <v>0</v>
      </c>
      <c r="H239" s="267">
        <f t="shared" si="58"/>
        <v>0</v>
      </c>
      <c r="I239" s="267">
        <f t="shared" si="58"/>
        <v>0</v>
      </c>
      <c r="J239" s="267">
        <f t="shared" si="58"/>
        <v>0</v>
      </c>
      <c r="K239" s="267">
        <f t="shared" si="58"/>
        <v>0</v>
      </c>
      <c r="L239" s="267">
        <f t="shared" si="58"/>
        <v>0</v>
      </c>
      <c r="M239" s="267">
        <f t="shared" si="58"/>
        <v>0</v>
      </c>
      <c r="N239" s="267">
        <f t="shared" si="58"/>
        <v>0</v>
      </c>
      <c r="O239" s="236">
        <f t="shared" si="55"/>
        <v>0</v>
      </c>
      <c r="Q239" s="16"/>
      <c r="R239" s="2"/>
      <c r="S239" s="2"/>
    </row>
    <row r="240" spans="1:19" outlineLevel="2" x14ac:dyDescent="0.25">
      <c r="A240" s="258" t="s">
        <v>482</v>
      </c>
      <c r="B240" s="249"/>
      <c r="C240" s="259"/>
      <c r="D240" s="260"/>
      <c r="E240" s="260"/>
      <c r="F240" s="260"/>
      <c r="G240" s="260"/>
      <c r="H240" s="260"/>
      <c r="I240" s="260"/>
      <c r="J240" s="261"/>
      <c r="K240" s="259"/>
      <c r="L240" s="260"/>
      <c r="M240" s="239"/>
      <c r="N240" s="275"/>
      <c r="O240" s="236">
        <f t="shared" si="55"/>
        <v>0</v>
      </c>
      <c r="Q240" s="16"/>
      <c r="R240" s="2"/>
      <c r="S240" s="2"/>
    </row>
    <row r="241" spans="1:19" outlineLevel="2" x14ac:dyDescent="0.25">
      <c r="A241" s="258" t="s">
        <v>483</v>
      </c>
      <c r="B241" s="249"/>
      <c r="C241" s="259"/>
      <c r="D241" s="260"/>
      <c r="E241" s="260"/>
      <c r="F241" s="260"/>
      <c r="G241" s="260"/>
      <c r="H241" s="260"/>
      <c r="I241" s="260"/>
      <c r="J241" s="261"/>
      <c r="K241" s="259"/>
      <c r="L241" s="260"/>
      <c r="M241" s="239"/>
      <c r="N241" s="275"/>
      <c r="O241" s="236">
        <f t="shared" si="55"/>
        <v>0</v>
      </c>
      <c r="Q241" s="16"/>
      <c r="R241" s="2"/>
      <c r="S241" s="2"/>
    </row>
    <row r="242" spans="1:19" outlineLevel="2" x14ac:dyDescent="0.25">
      <c r="A242" s="258" t="s">
        <v>546</v>
      </c>
      <c r="B242" s="249"/>
      <c r="C242" s="259"/>
      <c r="D242" s="260"/>
      <c r="E242" s="260"/>
      <c r="F242" s="260"/>
      <c r="G242" s="260"/>
      <c r="H242" s="260"/>
      <c r="I242" s="260"/>
      <c r="J242" s="261"/>
      <c r="K242" s="259"/>
      <c r="L242" s="260"/>
      <c r="M242" s="239"/>
      <c r="N242" s="275"/>
      <c r="O242" s="236">
        <f t="shared" si="55"/>
        <v>0</v>
      </c>
      <c r="Q242" s="16"/>
      <c r="R242" s="2"/>
      <c r="S242" s="2"/>
    </row>
    <row r="243" spans="1:19" outlineLevel="2" x14ac:dyDescent="0.25">
      <c r="A243" s="258" t="s">
        <v>484</v>
      </c>
      <c r="B243" s="249"/>
      <c r="C243" s="234"/>
      <c r="D243" s="259"/>
      <c r="E243" s="260"/>
      <c r="F243" s="260"/>
      <c r="G243" s="260"/>
      <c r="H243" s="260"/>
      <c r="I243" s="260"/>
      <c r="J243" s="261"/>
      <c r="K243" s="259"/>
      <c r="L243" s="260"/>
      <c r="M243" s="239"/>
      <c r="N243" s="275"/>
      <c r="O243" s="236">
        <f t="shared" si="55"/>
        <v>0</v>
      </c>
      <c r="Q243" s="16"/>
      <c r="R243" s="2"/>
      <c r="S243" s="2"/>
    </row>
    <row r="244" spans="1:19" outlineLevel="1" x14ac:dyDescent="0.25">
      <c r="A244" s="265" t="s">
        <v>486</v>
      </c>
      <c r="B244" s="266"/>
      <c r="C244" s="267">
        <f>SUM(C245:C249)</f>
        <v>0</v>
      </c>
      <c r="D244" s="268">
        <f t="shared" ref="D244:N244" si="59">SUM(D245:D249)</f>
        <v>0</v>
      </c>
      <c r="E244" s="268">
        <f t="shared" si="59"/>
        <v>0</v>
      </c>
      <c r="F244" s="268">
        <f t="shared" si="59"/>
        <v>0</v>
      </c>
      <c r="G244" s="268">
        <f t="shared" si="59"/>
        <v>0</v>
      </c>
      <c r="H244" s="268">
        <f t="shared" si="59"/>
        <v>0</v>
      </c>
      <c r="I244" s="268">
        <f t="shared" si="59"/>
        <v>0</v>
      </c>
      <c r="J244" s="268">
        <f>SUM(J245:J249)</f>
        <v>0</v>
      </c>
      <c r="K244" s="268">
        <f t="shared" si="59"/>
        <v>0</v>
      </c>
      <c r="L244" s="268">
        <f t="shared" si="59"/>
        <v>0</v>
      </c>
      <c r="M244" s="268">
        <f t="shared" si="59"/>
        <v>0</v>
      </c>
      <c r="N244" s="269">
        <f t="shared" si="59"/>
        <v>0</v>
      </c>
      <c r="O244" s="236">
        <f t="shared" ref="O244:O253" si="60">SUM(C244:N244)</f>
        <v>0</v>
      </c>
      <c r="Q244" s="16"/>
      <c r="R244" s="2"/>
      <c r="S244" s="2"/>
    </row>
    <row r="245" spans="1:19" outlineLevel="2" x14ac:dyDescent="0.25">
      <c r="A245" s="258" t="s">
        <v>683</v>
      </c>
      <c r="B245" s="249"/>
      <c r="C245" s="234"/>
      <c r="D245" s="259"/>
      <c r="E245" s="260"/>
      <c r="F245" s="260"/>
      <c r="G245" s="260"/>
      <c r="H245" s="260"/>
      <c r="I245" s="260"/>
      <c r="J245" s="261"/>
      <c r="K245" s="259"/>
      <c r="L245" s="260"/>
      <c r="M245" s="239"/>
      <c r="N245" s="259"/>
      <c r="O245" s="236">
        <f t="shared" si="60"/>
        <v>0</v>
      </c>
      <c r="Q245" s="16"/>
      <c r="R245" s="2"/>
      <c r="S245" s="2"/>
    </row>
    <row r="246" spans="1:19" outlineLevel="2" x14ac:dyDescent="0.25">
      <c r="A246" s="258" t="s">
        <v>489</v>
      </c>
      <c r="B246" s="249"/>
      <c r="C246" s="234"/>
      <c r="D246" s="259"/>
      <c r="E246" s="259"/>
      <c r="F246" s="260"/>
      <c r="G246" s="260"/>
      <c r="H246" s="260"/>
      <c r="I246" s="260"/>
      <c r="J246" s="261"/>
      <c r="K246" s="259"/>
      <c r="L246" s="260"/>
      <c r="M246" s="239"/>
      <c r="N246" s="259"/>
      <c r="O246" s="236">
        <f t="shared" si="60"/>
        <v>0</v>
      </c>
      <c r="Q246" s="16"/>
      <c r="R246" s="2"/>
      <c r="S246" s="2"/>
    </row>
    <row r="247" spans="1:19" outlineLevel="2" x14ac:dyDescent="0.25">
      <c r="A247" s="258" t="s">
        <v>490</v>
      </c>
      <c r="B247" s="249"/>
      <c r="C247" s="234"/>
      <c r="D247" s="259"/>
      <c r="E247" s="260"/>
      <c r="F247" s="260"/>
      <c r="G247" s="260"/>
      <c r="H247" s="260"/>
      <c r="I247" s="260"/>
      <c r="J247" s="261"/>
      <c r="K247" s="259"/>
      <c r="L247" s="276"/>
      <c r="M247" s="239"/>
      <c r="N247" s="259"/>
      <c r="O247" s="236">
        <f t="shared" si="60"/>
        <v>0</v>
      </c>
      <c r="Q247" s="16"/>
      <c r="R247" s="2"/>
      <c r="S247" s="2"/>
    </row>
    <row r="248" spans="1:19" outlineLevel="2" x14ac:dyDescent="0.25">
      <c r="A248" s="258" t="s">
        <v>491</v>
      </c>
      <c r="B248" s="249"/>
      <c r="C248" s="234"/>
      <c r="D248" s="259"/>
      <c r="E248" s="260"/>
      <c r="F248" s="260"/>
      <c r="G248" s="260"/>
      <c r="H248" s="260"/>
      <c r="I248" s="260"/>
      <c r="J248" s="261"/>
      <c r="K248" s="259"/>
      <c r="L248" s="260"/>
      <c r="M248" s="239"/>
      <c r="N248" s="259"/>
      <c r="O248" s="236">
        <f t="shared" si="60"/>
        <v>0</v>
      </c>
      <c r="Q248" s="16"/>
      <c r="R248" s="2"/>
      <c r="S248" s="2"/>
    </row>
    <row r="249" spans="1:19" outlineLevel="2" x14ac:dyDescent="0.25">
      <c r="A249" s="258" t="s">
        <v>493</v>
      </c>
      <c r="B249" s="249"/>
      <c r="C249" s="234"/>
      <c r="D249" s="259"/>
      <c r="E249" s="260"/>
      <c r="F249" s="260"/>
      <c r="G249" s="260"/>
      <c r="H249" s="260"/>
      <c r="I249" s="260"/>
      <c r="J249" s="261"/>
      <c r="K249" s="259"/>
      <c r="L249" s="260"/>
      <c r="M249" s="239"/>
      <c r="N249" s="259"/>
      <c r="O249" s="236">
        <f t="shared" si="60"/>
        <v>0</v>
      </c>
      <c r="Q249" s="16"/>
      <c r="R249" s="2"/>
      <c r="S249" s="2"/>
    </row>
    <row r="250" spans="1:19" outlineLevel="1" x14ac:dyDescent="0.25">
      <c r="A250" s="265" t="s">
        <v>495</v>
      </c>
      <c r="B250" s="266"/>
      <c r="C250" s="267">
        <f t="shared" ref="C250:N250" si="61">SUM(C251)</f>
        <v>0</v>
      </c>
      <c r="D250" s="268">
        <f t="shared" si="61"/>
        <v>0</v>
      </c>
      <c r="E250" s="268">
        <f t="shared" si="61"/>
        <v>0</v>
      </c>
      <c r="F250" s="268">
        <f t="shared" si="61"/>
        <v>0</v>
      </c>
      <c r="G250" s="268">
        <f t="shared" si="61"/>
        <v>0</v>
      </c>
      <c r="H250" s="268">
        <f t="shared" si="61"/>
        <v>0</v>
      </c>
      <c r="I250" s="268">
        <f t="shared" si="61"/>
        <v>0</v>
      </c>
      <c r="J250" s="268">
        <f t="shared" si="61"/>
        <v>0</v>
      </c>
      <c r="K250" s="268">
        <f t="shared" si="61"/>
        <v>0</v>
      </c>
      <c r="L250" s="268">
        <f t="shared" si="61"/>
        <v>0</v>
      </c>
      <c r="M250" s="268">
        <f t="shared" si="61"/>
        <v>0</v>
      </c>
      <c r="N250" s="269">
        <f t="shared" si="61"/>
        <v>0</v>
      </c>
      <c r="O250" s="236">
        <f t="shared" si="60"/>
        <v>0</v>
      </c>
      <c r="Q250" s="16"/>
      <c r="R250" s="2"/>
      <c r="S250" s="2"/>
    </row>
    <row r="251" spans="1:19" outlineLevel="2" x14ac:dyDescent="0.25">
      <c r="A251" s="258" t="s">
        <v>497</v>
      </c>
      <c r="B251" s="249"/>
      <c r="C251" s="234"/>
      <c r="D251" s="259"/>
      <c r="E251" s="260"/>
      <c r="F251" s="260"/>
      <c r="G251" s="260"/>
      <c r="H251" s="260"/>
      <c r="I251" s="260"/>
      <c r="J251" s="261"/>
      <c r="K251" s="259"/>
      <c r="L251" s="260"/>
      <c r="M251" s="239"/>
      <c r="N251" s="259"/>
      <c r="O251" s="236">
        <f t="shared" si="60"/>
        <v>0</v>
      </c>
      <c r="Q251" s="16"/>
      <c r="R251" s="2"/>
      <c r="S251" s="2"/>
    </row>
    <row r="252" spans="1:19" outlineLevel="1" x14ac:dyDescent="0.25">
      <c r="A252" s="265" t="s">
        <v>499</v>
      </c>
      <c r="B252" s="266"/>
      <c r="C252" s="267">
        <f t="shared" ref="C252:N252" si="62">SUM(C253:C254)</f>
        <v>0</v>
      </c>
      <c r="D252" s="268">
        <f t="shared" si="62"/>
        <v>0</v>
      </c>
      <c r="E252" s="268">
        <f t="shared" si="62"/>
        <v>0</v>
      </c>
      <c r="F252" s="268">
        <f t="shared" si="62"/>
        <v>0</v>
      </c>
      <c r="G252" s="268">
        <f t="shared" si="62"/>
        <v>0</v>
      </c>
      <c r="H252" s="268">
        <f t="shared" si="62"/>
        <v>0</v>
      </c>
      <c r="I252" s="268">
        <f t="shared" si="62"/>
        <v>0</v>
      </c>
      <c r="J252" s="268">
        <f t="shared" si="62"/>
        <v>0</v>
      </c>
      <c r="K252" s="268">
        <f t="shared" si="62"/>
        <v>0</v>
      </c>
      <c r="L252" s="268">
        <f t="shared" si="62"/>
        <v>0</v>
      </c>
      <c r="M252" s="268">
        <f t="shared" si="62"/>
        <v>0</v>
      </c>
      <c r="N252" s="269">
        <f t="shared" si="62"/>
        <v>0</v>
      </c>
      <c r="O252" s="236">
        <f t="shared" si="60"/>
        <v>0</v>
      </c>
      <c r="Q252" s="16"/>
      <c r="R252" s="2"/>
      <c r="S252" s="2"/>
    </row>
    <row r="253" spans="1:19" outlineLevel="2" x14ac:dyDescent="0.25">
      <c r="A253" s="258" t="s">
        <v>501</v>
      </c>
      <c r="B253" s="249"/>
      <c r="C253" s="234"/>
      <c r="D253" s="259"/>
      <c r="E253" s="260"/>
      <c r="F253" s="260"/>
      <c r="G253" s="260"/>
      <c r="H253" s="260"/>
      <c r="I253" s="260"/>
      <c r="J253" s="261"/>
      <c r="K253" s="259"/>
      <c r="L253" s="260"/>
      <c r="M253" s="239"/>
      <c r="N253" s="259"/>
      <c r="O253" s="236">
        <f t="shared" si="60"/>
        <v>0</v>
      </c>
      <c r="Q253" s="16"/>
      <c r="R253" s="2"/>
      <c r="S253" s="2"/>
    </row>
    <row r="254" spans="1:19" outlineLevel="2" x14ac:dyDescent="0.25">
      <c r="A254" s="258" t="s">
        <v>503</v>
      </c>
      <c r="B254" s="249"/>
      <c r="C254" s="234"/>
      <c r="D254" s="259"/>
      <c r="E254" s="260"/>
      <c r="F254" s="260"/>
      <c r="G254" s="260"/>
      <c r="H254" s="260"/>
      <c r="I254" s="260"/>
      <c r="J254" s="261"/>
      <c r="K254" s="259"/>
      <c r="L254" s="260"/>
      <c r="M254" s="239"/>
      <c r="N254" s="259"/>
      <c r="O254" s="236">
        <f t="shared" si="55"/>
        <v>0</v>
      </c>
      <c r="Q254" s="16"/>
      <c r="R254" s="2"/>
      <c r="S254" s="2"/>
    </row>
    <row r="255" spans="1:19" s="6" customFormat="1" x14ac:dyDescent="0.25">
      <c r="A255" s="223" t="s">
        <v>505</v>
      </c>
      <c r="B255" s="253"/>
      <c r="C255" s="254">
        <f t="shared" ref="C255:N255" si="63">SUM(C256,C259)</f>
        <v>0</v>
      </c>
      <c r="D255" s="255">
        <f t="shared" si="63"/>
        <v>0</v>
      </c>
      <c r="E255" s="255">
        <f t="shared" si="63"/>
        <v>0</v>
      </c>
      <c r="F255" s="255">
        <f t="shared" si="63"/>
        <v>0</v>
      </c>
      <c r="G255" s="255">
        <f t="shared" si="63"/>
        <v>0</v>
      </c>
      <c r="H255" s="255">
        <f t="shared" si="63"/>
        <v>0</v>
      </c>
      <c r="I255" s="255">
        <f t="shared" si="63"/>
        <v>0</v>
      </c>
      <c r="J255" s="255">
        <f t="shared" si="63"/>
        <v>0</v>
      </c>
      <c r="K255" s="255">
        <f t="shared" si="63"/>
        <v>0</v>
      </c>
      <c r="L255" s="255">
        <f t="shared" si="63"/>
        <v>0</v>
      </c>
      <c r="M255" s="255">
        <f t="shared" si="63"/>
        <v>0</v>
      </c>
      <c r="N255" s="256">
        <f t="shared" si="63"/>
        <v>0</v>
      </c>
      <c r="O255" s="257">
        <f t="shared" si="55"/>
        <v>0</v>
      </c>
      <c r="Q255" s="18"/>
      <c r="R255" s="19"/>
      <c r="S255" s="19"/>
    </row>
    <row r="256" spans="1:19" outlineLevel="1" x14ac:dyDescent="0.25">
      <c r="A256" s="265" t="s">
        <v>507</v>
      </c>
      <c r="B256" s="266"/>
      <c r="C256" s="267">
        <f t="shared" ref="C256:N256" si="64">SUM(C257:C258)</f>
        <v>0</v>
      </c>
      <c r="D256" s="268">
        <f t="shared" si="64"/>
        <v>0</v>
      </c>
      <c r="E256" s="268">
        <f t="shared" si="64"/>
        <v>0</v>
      </c>
      <c r="F256" s="268">
        <f t="shared" si="64"/>
        <v>0</v>
      </c>
      <c r="G256" s="268">
        <f t="shared" si="64"/>
        <v>0</v>
      </c>
      <c r="H256" s="268">
        <f t="shared" si="64"/>
        <v>0</v>
      </c>
      <c r="I256" s="268">
        <f t="shared" si="64"/>
        <v>0</v>
      </c>
      <c r="J256" s="268">
        <f t="shared" si="64"/>
        <v>0</v>
      </c>
      <c r="K256" s="268">
        <f t="shared" si="64"/>
        <v>0</v>
      </c>
      <c r="L256" s="268">
        <f t="shared" si="64"/>
        <v>0</v>
      </c>
      <c r="M256" s="268">
        <f t="shared" si="64"/>
        <v>0</v>
      </c>
      <c r="N256" s="269">
        <f t="shared" si="64"/>
        <v>0</v>
      </c>
      <c r="O256" s="236">
        <f t="shared" ref="O256:O269" si="65">SUM(C256:N256)</f>
        <v>0</v>
      </c>
      <c r="Q256" s="16"/>
      <c r="R256" s="2"/>
      <c r="S256" s="2"/>
    </row>
    <row r="257" spans="1:19" outlineLevel="2" x14ac:dyDescent="0.25">
      <c r="A257" s="258" t="s">
        <v>509</v>
      </c>
      <c r="B257" s="249"/>
      <c r="C257" s="234"/>
      <c r="D257" s="259"/>
      <c r="E257" s="260"/>
      <c r="F257" s="260"/>
      <c r="G257" s="260"/>
      <c r="H257" s="260"/>
      <c r="I257" s="260"/>
      <c r="J257" s="261"/>
      <c r="K257" s="259"/>
      <c r="L257" s="260"/>
      <c r="M257" s="239"/>
      <c r="N257" s="259"/>
      <c r="O257" s="236">
        <f t="shared" si="65"/>
        <v>0</v>
      </c>
      <c r="Q257" s="16"/>
      <c r="R257" s="2"/>
      <c r="S257" s="2"/>
    </row>
    <row r="258" spans="1:19" outlineLevel="2" x14ac:dyDescent="0.25">
      <c r="A258" s="258" t="s">
        <v>511</v>
      </c>
      <c r="B258" s="249"/>
      <c r="C258" s="234"/>
      <c r="D258" s="259"/>
      <c r="E258" s="260"/>
      <c r="F258" s="260"/>
      <c r="G258" s="260"/>
      <c r="H258" s="260"/>
      <c r="I258" s="260"/>
      <c r="J258" s="261"/>
      <c r="K258" s="259"/>
      <c r="L258" s="260"/>
      <c r="M258" s="239"/>
      <c r="N258" s="259"/>
      <c r="O258" s="236">
        <f t="shared" si="65"/>
        <v>0</v>
      </c>
      <c r="Q258" s="16"/>
      <c r="R258" s="2"/>
      <c r="S258" s="2"/>
    </row>
    <row r="259" spans="1:19" outlineLevel="1" x14ac:dyDescent="0.25">
      <c r="A259" s="265" t="s">
        <v>513</v>
      </c>
      <c r="B259" s="266"/>
      <c r="C259" s="267">
        <f t="shared" ref="C259:N259" si="66">SUM(C260:C269)</f>
        <v>0</v>
      </c>
      <c r="D259" s="268">
        <f t="shared" si="66"/>
        <v>0</v>
      </c>
      <c r="E259" s="268">
        <f t="shared" si="66"/>
        <v>0</v>
      </c>
      <c r="F259" s="268">
        <f t="shared" si="66"/>
        <v>0</v>
      </c>
      <c r="G259" s="268">
        <f t="shared" si="66"/>
        <v>0</v>
      </c>
      <c r="H259" s="268">
        <f t="shared" si="66"/>
        <v>0</v>
      </c>
      <c r="I259" s="268">
        <f t="shared" si="66"/>
        <v>0</v>
      </c>
      <c r="J259" s="268">
        <f t="shared" si="66"/>
        <v>0</v>
      </c>
      <c r="K259" s="268">
        <f t="shared" si="66"/>
        <v>0</v>
      </c>
      <c r="L259" s="268">
        <f t="shared" si="66"/>
        <v>0</v>
      </c>
      <c r="M259" s="268">
        <f t="shared" si="66"/>
        <v>0</v>
      </c>
      <c r="N259" s="269">
        <f t="shared" si="66"/>
        <v>0</v>
      </c>
      <c r="O259" s="236">
        <f t="shared" si="65"/>
        <v>0</v>
      </c>
      <c r="Q259" s="16"/>
      <c r="R259" s="2"/>
      <c r="S259" s="2"/>
    </row>
    <row r="260" spans="1:19" outlineLevel="2" x14ac:dyDescent="0.25">
      <c r="A260" s="258" t="s">
        <v>309</v>
      </c>
      <c r="B260" s="249"/>
      <c r="C260" s="234"/>
      <c r="D260" s="259"/>
      <c r="E260" s="260"/>
      <c r="F260" s="260"/>
      <c r="G260" s="260"/>
      <c r="H260" s="260"/>
      <c r="I260" s="260"/>
      <c r="J260" s="261"/>
      <c r="K260" s="259"/>
      <c r="L260" s="260"/>
      <c r="M260" s="239"/>
      <c r="N260" s="259"/>
      <c r="O260" s="236">
        <f t="shared" si="65"/>
        <v>0</v>
      </c>
      <c r="Q260" s="16"/>
      <c r="R260" s="2"/>
      <c r="S260" s="2"/>
    </row>
    <row r="261" spans="1:19" outlineLevel="2" x14ac:dyDescent="0.25">
      <c r="A261" s="258" t="s">
        <v>291</v>
      </c>
      <c r="B261" s="249"/>
      <c r="C261" s="234"/>
      <c r="D261" s="259"/>
      <c r="E261" s="260"/>
      <c r="F261" s="260"/>
      <c r="G261" s="260"/>
      <c r="H261" s="260"/>
      <c r="I261" s="260"/>
      <c r="J261" s="261"/>
      <c r="K261" s="259"/>
      <c r="L261" s="260"/>
      <c r="M261" s="239"/>
      <c r="N261" s="259"/>
      <c r="O261" s="236">
        <f t="shared" si="65"/>
        <v>0</v>
      </c>
      <c r="Q261" s="16"/>
      <c r="R261" s="2"/>
      <c r="S261" s="2"/>
    </row>
    <row r="262" spans="1:19" outlineLevel="2" x14ac:dyDescent="0.25">
      <c r="A262" s="258" t="s">
        <v>293</v>
      </c>
      <c r="B262" s="249"/>
      <c r="C262" s="234"/>
      <c r="D262" s="259"/>
      <c r="E262" s="260"/>
      <c r="F262" s="260"/>
      <c r="G262" s="260"/>
      <c r="H262" s="260"/>
      <c r="I262" s="260"/>
      <c r="J262" s="261"/>
      <c r="K262" s="259"/>
      <c r="L262" s="260"/>
      <c r="M262" s="239"/>
      <c r="N262" s="259"/>
      <c r="O262" s="236">
        <f t="shared" si="65"/>
        <v>0</v>
      </c>
      <c r="Q262" s="16"/>
      <c r="R262" s="2"/>
      <c r="S262" s="2"/>
    </row>
    <row r="263" spans="1:19" outlineLevel="2" x14ac:dyDescent="0.25">
      <c r="A263" s="258" t="s">
        <v>295</v>
      </c>
      <c r="B263" s="249"/>
      <c r="C263" s="234"/>
      <c r="D263" s="259"/>
      <c r="E263" s="260"/>
      <c r="F263" s="260"/>
      <c r="G263" s="260"/>
      <c r="H263" s="260"/>
      <c r="I263" s="260"/>
      <c r="J263" s="261"/>
      <c r="K263" s="259"/>
      <c r="L263" s="260"/>
      <c r="M263" s="239"/>
      <c r="N263" s="259"/>
      <c r="O263" s="236">
        <f t="shared" si="65"/>
        <v>0</v>
      </c>
      <c r="Q263" s="16"/>
      <c r="R263" s="2"/>
      <c r="S263" s="2"/>
    </row>
    <row r="264" spans="1:19" outlineLevel="2" x14ac:dyDescent="0.25">
      <c r="A264" s="258" t="s">
        <v>519</v>
      </c>
      <c r="B264" s="249"/>
      <c r="C264" s="234"/>
      <c r="D264" s="259"/>
      <c r="E264" s="260"/>
      <c r="F264" s="260"/>
      <c r="G264" s="260"/>
      <c r="H264" s="260"/>
      <c r="I264" s="260"/>
      <c r="J264" s="261"/>
      <c r="K264" s="259"/>
      <c r="L264" s="260"/>
      <c r="M264" s="239"/>
      <c r="N264" s="259"/>
      <c r="O264" s="236">
        <f t="shared" si="65"/>
        <v>0</v>
      </c>
      <c r="Q264" s="16"/>
      <c r="R264" s="2"/>
      <c r="S264" s="2"/>
    </row>
    <row r="265" spans="1:19" outlineLevel="2" x14ac:dyDescent="0.25">
      <c r="A265" s="258" t="s">
        <v>303</v>
      </c>
      <c r="B265" s="249"/>
      <c r="C265" s="234"/>
      <c r="D265" s="259"/>
      <c r="E265" s="260"/>
      <c r="F265" s="260"/>
      <c r="G265" s="260"/>
      <c r="H265" s="260"/>
      <c r="I265" s="260"/>
      <c r="J265" s="261"/>
      <c r="K265" s="259"/>
      <c r="L265" s="260"/>
      <c r="M265" s="239"/>
      <c r="N265" s="259"/>
      <c r="O265" s="236">
        <f t="shared" si="65"/>
        <v>0</v>
      </c>
      <c r="Q265" s="16"/>
      <c r="R265" s="2"/>
      <c r="S265" s="2"/>
    </row>
    <row r="266" spans="1:19" outlineLevel="2" x14ac:dyDescent="0.25">
      <c r="A266" s="258" t="s">
        <v>522</v>
      </c>
      <c r="B266" s="249"/>
      <c r="C266" s="234"/>
      <c r="D266" s="259"/>
      <c r="E266" s="260"/>
      <c r="F266" s="260"/>
      <c r="G266" s="260"/>
      <c r="H266" s="260"/>
      <c r="I266" s="260"/>
      <c r="J266" s="261"/>
      <c r="K266" s="259"/>
      <c r="L266" s="260"/>
      <c r="M266" s="239"/>
      <c r="N266" s="259"/>
      <c r="O266" s="236">
        <f t="shared" si="65"/>
        <v>0</v>
      </c>
      <c r="Q266" s="16"/>
      <c r="R266" s="2"/>
      <c r="S266" s="2"/>
    </row>
    <row r="267" spans="1:19" outlineLevel="2" x14ac:dyDescent="0.25">
      <c r="A267" s="258" t="s">
        <v>524</v>
      </c>
      <c r="B267" s="249"/>
      <c r="C267" s="234"/>
      <c r="D267" s="259"/>
      <c r="E267" s="260"/>
      <c r="F267" s="260"/>
      <c r="G267" s="260"/>
      <c r="H267" s="260"/>
      <c r="I267" s="260"/>
      <c r="J267" s="261"/>
      <c r="K267" s="259"/>
      <c r="L267" s="260"/>
      <c r="M267" s="239"/>
      <c r="N267" s="259"/>
      <c r="O267" s="236">
        <f t="shared" si="65"/>
        <v>0</v>
      </c>
      <c r="Q267" s="16"/>
      <c r="R267" s="2"/>
      <c r="S267" s="2"/>
    </row>
    <row r="268" spans="1:19" outlineLevel="2" x14ac:dyDescent="0.25">
      <c r="A268" s="258" t="s">
        <v>526</v>
      </c>
      <c r="B268" s="249"/>
      <c r="C268" s="234"/>
      <c r="D268" s="259"/>
      <c r="E268" s="260"/>
      <c r="F268" s="260"/>
      <c r="G268" s="260"/>
      <c r="H268" s="260"/>
      <c r="I268" s="260"/>
      <c r="J268" s="261"/>
      <c r="K268" s="259"/>
      <c r="L268" s="260"/>
      <c r="M268" s="239"/>
      <c r="N268" s="259"/>
      <c r="O268" s="236">
        <f t="shared" si="65"/>
        <v>0</v>
      </c>
      <c r="Q268" s="16"/>
      <c r="R268" s="2"/>
      <c r="S268" s="2"/>
    </row>
    <row r="269" spans="1:19" outlineLevel="2" x14ac:dyDescent="0.25">
      <c r="A269" s="258" t="s">
        <v>528</v>
      </c>
      <c r="B269" s="249"/>
      <c r="C269" s="234"/>
      <c r="D269" s="259"/>
      <c r="E269" s="260"/>
      <c r="F269" s="260"/>
      <c r="G269" s="260"/>
      <c r="H269" s="260"/>
      <c r="I269" s="260"/>
      <c r="J269" s="261"/>
      <c r="K269" s="259"/>
      <c r="L269" s="260"/>
      <c r="M269" s="239"/>
      <c r="N269" s="259"/>
      <c r="O269" s="236">
        <f t="shared" si="65"/>
        <v>0</v>
      </c>
      <c r="Q269" s="16"/>
      <c r="R269" s="2"/>
      <c r="S269" s="2"/>
    </row>
    <row r="270" spans="1:19" s="6" customFormat="1" x14ac:dyDescent="0.25">
      <c r="A270" s="223" t="s">
        <v>530</v>
      </c>
      <c r="B270" s="253"/>
      <c r="C270" s="255">
        <f t="shared" ref="C270:N270" si="67">SUM(C271:C272)</f>
        <v>0</v>
      </c>
      <c r="D270" s="255">
        <f t="shared" si="67"/>
        <v>0</v>
      </c>
      <c r="E270" s="255">
        <f t="shared" si="67"/>
        <v>0</v>
      </c>
      <c r="F270" s="255">
        <f t="shared" si="67"/>
        <v>0</v>
      </c>
      <c r="G270" s="255">
        <f t="shared" si="67"/>
        <v>0</v>
      </c>
      <c r="H270" s="255">
        <f t="shared" si="67"/>
        <v>0</v>
      </c>
      <c r="I270" s="255">
        <f t="shared" si="67"/>
        <v>0</v>
      </c>
      <c r="J270" s="255">
        <f t="shared" si="67"/>
        <v>0</v>
      </c>
      <c r="K270" s="255">
        <f t="shared" si="67"/>
        <v>0</v>
      </c>
      <c r="L270" s="255">
        <f t="shared" si="67"/>
        <v>0</v>
      </c>
      <c r="M270" s="255">
        <f t="shared" si="67"/>
        <v>0</v>
      </c>
      <c r="N270" s="255">
        <f t="shared" si="67"/>
        <v>0</v>
      </c>
      <c r="O270" s="257">
        <f t="shared" si="55"/>
        <v>0</v>
      </c>
      <c r="Q270" s="18"/>
      <c r="R270" s="19"/>
      <c r="S270" s="19"/>
    </row>
    <row r="271" spans="1:19" outlineLevel="2" x14ac:dyDescent="0.25">
      <c r="A271" s="258" t="s">
        <v>532</v>
      </c>
      <c r="B271" s="249"/>
      <c r="C271" s="234"/>
      <c r="D271" s="259"/>
      <c r="E271" s="260"/>
      <c r="F271" s="260"/>
      <c r="G271" s="260"/>
      <c r="H271" s="260"/>
      <c r="I271" s="260"/>
      <c r="J271" s="261"/>
      <c r="K271" s="259"/>
      <c r="L271" s="260"/>
      <c r="M271" s="239"/>
      <c r="N271" s="259"/>
      <c r="O271" s="236">
        <f t="shared" ref="O271" si="68">SUM(C271:N271)</f>
        <v>0</v>
      </c>
      <c r="Q271" s="16"/>
      <c r="R271" s="2"/>
      <c r="S271" s="2"/>
    </row>
    <row r="272" spans="1:19" ht="12.6" outlineLevel="2" thickBot="1" x14ac:dyDescent="0.3">
      <c r="A272" s="258" t="s">
        <v>547</v>
      </c>
      <c r="B272" s="249"/>
      <c r="C272" s="234"/>
      <c r="D272" s="259"/>
      <c r="E272" s="260"/>
      <c r="F272" s="260"/>
      <c r="G272" s="260"/>
      <c r="H272" s="260"/>
      <c r="I272" s="260"/>
      <c r="J272" s="261"/>
      <c r="K272" s="259"/>
      <c r="L272" s="260"/>
      <c r="M272" s="239"/>
      <c r="N272" s="259"/>
      <c r="O272" s="236">
        <f t="shared" si="55"/>
        <v>0</v>
      </c>
      <c r="Q272" s="16"/>
      <c r="R272" s="2"/>
      <c r="S272" s="2"/>
    </row>
    <row r="273" spans="1:19" s="6" customFormat="1" ht="12.6" collapsed="1" thickBot="1" x14ac:dyDescent="0.3">
      <c r="A273" s="196" t="s">
        <v>535</v>
      </c>
      <c r="B273" s="197"/>
      <c r="C273" s="198">
        <f t="shared" ref="C273:N273" si="69">SUM(C27,C82,C100,C167,C154,C183,C199,C221,C238,C255,C270,C17)</f>
        <v>0</v>
      </c>
      <c r="D273" s="199">
        <f t="shared" si="69"/>
        <v>0</v>
      </c>
      <c r="E273" s="199">
        <f t="shared" si="69"/>
        <v>0</v>
      </c>
      <c r="F273" s="199">
        <f t="shared" si="69"/>
        <v>0</v>
      </c>
      <c r="G273" s="199">
        <f t="shared" si="69"/>
        <v>0</v>
      </c>
      <c r="H273" s="199">
        <f t="shared" si="69"/>
        <v>0</v>
      </c>
      <c r="I273" s="199">
        <f t="shared" si="69"/>
        <v>0</v>
      </c>
      <c r="J273" s="199">
        <f t="shared" si="69"/>
        <v>0</v>
      </c>
      <c r="K273" s="199">
        <f t="shared" si="69"/>
        <v>0</v>
      </c>
      <c r="L273" s="199">
        <f t="shared" si="69"/>
        <v>0</v>
      </c>
      <c r="M273" s="199">
        <f t="shared" si="69"/>
        <v>0</v>
      </c>
      <c r="N273" s="200">
        <f t="shared" si="69"/>
        <v>0</v>
      </c>
      <c r="O273" s="201">
        <f t="shared" si="55"/>
        <v>0</v>
      </c>
      <c r="Q273" s="18"/>
      <c r="R273" s="19"/>
      <c r="S273" s="19"/>
    </row>
    <row r="274" spans="1:19" ht="12.6" thickBot="1" x14ac:dyDescent="0.3">
      <c r="B274" s="28"/>
      <c r="C274" s="4"/>
      <c r="D274" s="4"/>
      <c r="E274" s="4"/>
      <c r="F274" s="4"/>
      <c r="G274" s="4"/>
      <c r="H274" s="4"/>
      <c r="K274" s="4"/>
      <c r="L274" s="4"/>
      <c r="M274" s="4"/>
      <c r="N274" s="4"/>
      <c r="O274" s="26">
        <f t="shared" si="55"/>
        <v>0</v>
      </c>
      <c r="Q274" s="17"/>
      <c r="R274" s="2"/>
      <c r="S274" s="2"/>
    </row>
    <row r="275" spans="1:19" s="6" customFormat="1" ht="18" customHeight="1" thickBot="1" x14ac:dyDescent="0.3">
      <c r="A275" s="425" t="s">
        <v>536</v>
      </c>
      <c r="B275" s="426"/>
      <c r="C275" s="427">
        <f t="shared" ref="C275:N275" si="70">C15-C273</f>
        <v>0</v>
      </c>
      <c r="D275" s="428">
        <f t="shared" si="70"/>
        <v>0</v>
      </c>
      <c r="E275" s="428">
        <f t="shared" si="70"/>
        <v>0</v>
      </c>
      <c r="F275" s="428">
        <f t="shared" si="70"/>
        <v>0</v>
      </c>
      <c r="G275" s="428">
        <f t="shared" si="70"/>
        <v>0</v>
      </c>
      <c r="H275" s="428">
        <f t="shared" si="70"/>
        <v>0</v>
      </c>
      <c r="I275" s="428">
        <f t="shared" si="70"/>
        <v>0</v>
      </c>
      <c r="J275" s="428">
        <f t="shared" si="70"/>
        <v>0</v>
      </c>
      <c r="K275" s="428">
        <f t="shared" si="70"/>
        <v>0</v>
      </c>
      <c r="L275" s="428">
        <f t="shared" si="70"/>
        <v>0</v>
      </c>
      <c r="M275" s="428">
        <f t="shared" si="70"/>
        <v>0</v>
      </c>
      <c r="N275" s="429">
        <f t="shared" si="70"/>
        <v>0</v>
      </c>
      <c r="O275" s="430">
        <f t="shared" si="55"/>
        <v>0</v>
      </c>
      <c r="P275" s="22"/>
      <c r="Q275" s="18"/>
      <c r="R275" s="19"/>
      <c r="S275" s="19"/>
    </row>
    <row r="276" spans="1:19" s="13" customFormat="1" x14ac:dyDescent="0.25">
      <c r="A276" s="277"/>
      <c r="B276" s="277"/>
      <c r="C276" s="278"/>
      <c r="D276" s="278"/>
      <c r="E276" s="278"/>
      <c r="F276" s="278"/>
      <c r="G276" s="278"/>
      <c r="H276" s="278"/>
      <c r="I276" s="278"/>
      <c r="J276" s="278"/>
      <c r="K276" s="278"/>
      <c r="L276" s="278"/>
      <c r="M276" s="278"/>
      <c r="N276" s="278"/>
      <c r="O276" s="279"/>
    </row>
    <row r="278" spans="1:19" x14ac:dyDescent="0.25">
      <c r="G278" s="30">
        <v>11000</v>
      </c>
    </row>
    <row r="279" spans="1:19" x14ac:dyDescent="0.25">
      <c r="G279" s="2"/>
    </row>
    <row r="280" spans="1:19" x14ac:dyDescent="0.25">
      <c r="G280" s="30">
        <v>201.57</v>
      </c>
    </row>
    <row r="281" spans="1:19" x14ac:dyDescent="0.25">
      <c r="G281" s="30">
        <v>384</v>
      </c>
    </row>
    <row r="282" spans="1:19" x14ac:dyDescent="0.25">
      <c r="G282" s="30">
        <v>3849.42</v>
      </c>
    </row>
    <row r="283" spans="1:19" x14ac:dyDescent="0.25">
      <c r="G283" s="30">
        <v>550</v>
      </c>
    </row>
    <row r="284" spans="1:19" x14ac:dyDescent="0.25">
      <c r="G284" s="30">
        <f>SUM(G273,G278:G283)</f>
        <v>15984.99</v>
      </c>
    </row>
    <row r="285" spans="1:19" x14ac:dyDescent="0.25">
      <c r="G285" s="30">
        <v>-114478.52</v>
      </c>
    </row>
    <row r="286" spans="1:19" x14ac:dyDescent="0.25">
      <c r="G286" s="30">
        <f>SUM(G284:G285)</f>
        <v>-98493.53</v>
      </c>
    </row>
  </sheetData>
  <autoFilter ref="C27:O173" xr:uid="{00000000-0001-0000-0300-000000000000}"/>
  <dataConsolidate/>
  <mergeCells count="2">
    <mergeCell ref="A3:A4"/>
    <mergeCell ref="B3:B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1264-0258-45EA-A351-90A37C2604DB}">
  <sheetPr>
    <tabColor theme="7" tint="-0.249977111117893"/>
  </sheetPr>
  <dimension ref="B1:I15"/>
  <sheetViews>
    <sheetView showGridLines="0" workbookViewId="0">
      <selection activeCell="F14" sqref="F14"/>
    </sheetView>
  </sheetViews>
  <sheetFormatPr defaultRowHeight="14.4" x14ac:dyDescent="0.3"/>
  <cols>
    <col min="2" max="2" width="27.109375" style="474" bestFit="1" customWidth="1"/>
    <col min="3" max="3" width="19.109375" style="479" customWidth="1"/>
    <col min="4" max="4" width="13.88671875" style="479" customWidth="1"/>
    <col min="5" max="5" width="16.44140625" style="460" bestFit="1" customWidth="1"/>
    <col min="6" max="6" width="19.44140625" style="480" bestFit="1" customWidth="1"/>
    <col min="7" max="7" width="19.44140625" style="480" customWidth="1"/>
    <col min="8" max="8" width="24" style="460" bestFit="1" customWidth="1"/>
    <col min="9" max="9" width="15.5546875" style="460" customWidth="1"/>
    <col min="10" max="10" width="13.33203125" bestFit="1" customWidth="1"/>
    <col min="12" max="12" width="9.5546875" bestFit="1" customWidth="1"/>
    <col min="16332" max="16332" width="10.109375" bestFit="1" customWidth="1"/>
  </cols>
  <sheetData>
    <row r="1" spans="2:9" ht="26.4" thickBot="1" x14ac:dyDescent="0.55000000000000004">
      <c r="B1" s="452" t="s">
        <v>743</v>
      </c>
      <c r="C1" s="453"/>
      <c r="D1" s="453"/>
      <c r="E1" s="453"/>
      <c r="F1" s="453"/>
      <c r="G1" s="453"/>
      <c r="H1" s="453"/>
      <c r="I1" s="453"/>
    </row>
    <row r="2" spans="2:9" ht="15" thickBot="1" x14ac:dyDescent="0.35">
      <c r="B2" s="516" t="s">
        <v>716</v>
      </c>
      <c r="C2" s="454"/>
      <c r="D2" s="454"/>
      <c r="E2" s="454"/>
      <c r="F2" s="454"/>
      <c r="G2" s="454"/>
      <c r="H2" s="454"/>
      <c r="I2" s="455"/>
    </row>
    <row r="3" spans="2:9" ht="15" thickBot="1" x14ac:dyDescent="0.35">
      <c r="B3" s="517"/>
      <c r="C3" s="456" t="s">
        <v>717</v>
      </c>
      <c r="D3" s="456" t="s">
        <v>718</v>
      </c>
      <c r="E3" s="457" t="s">
        <v>735</v>
      </c>
      <c r="F3" s="458" t="s">
        <v>719</v>
      </c>
      <c r="G3" s="458" t="s">
        <v>720</v>
      </c>
      <c r="H3" s="484" t="s">
        <v>736</v>
      </c>
      <c r="I3" s="459" t="s">
        <v>721</v>
      </c>
    </row>
    <row r="4" spans="2:9" x14ac:dyDescent="0.3">
      <c r="B4" s="461"/>
      <c r="C4" s="518"/>
      <c r="D4" s="518"/>
      <c r="E4" s="518"/>
      <c r="F4" s="518"/>
      <c r="G4" s="518"/>
      <c r="H4" s="519"/>
      <c r="I4" s="462">
        <f>30408.29+4336.3</f>
        <v>34744.590000000004</v>
      </c>
    </row>
    <row r="5" spans="2:9" x14ac:dyDescent="0.3">
      <c r="B5" s="463">
        <v>46013</v>
      </c>
      <c r="C5" s="464">
        <v>45000</v>
      </c>
      <c r="D5" s="464">
        <v>0</v>
      </c>
      <c r="E5" s="465">
        <v>0</v>
      </c>
      <c r="F5" s="495">
        <f>-(29955.91+28232.08+600)</f>
        <v>-58787.990000000005</v>
      </c>
      <c r="G5" s="466">
        <v>0</v>
      </c>
      <c r="H5" s="467">
        <v>0</v>
      </c>
      <c r="I5" s="462">
        <f>+I4+C5+E5+G5+H5+F5+D5</f>
        <v>20956.599999999991</v>
      </c>
    </row>
    <row r="6" spans="2:9" x14ac:dyDescent="0.3">
      <c r="B6" s="463">
        <v>46014</v>
      </c>
      <c r="C6" s="464">
        <v>0</v>
      </c>
      <c r="D6" s="464">
        <v>0</v>
      </c>
      <c r="E6" s="465">
        <v>0</v>
      </c>
      <c r="F6" s="495">
        <v>-6927.9</v>
      </c>
      <c r="G6" s="466">
        <v>0</v>
      </c>
      <c r="H6" s="467">
        <v>0</v>
      </c>
      <c r="I6" s="462">
        <f t="shared" ref="I6:I14" si="0">+I5+C6+E6+G6+H6+F6+D6</f>
        <v>14028.699999999992</v>
      </c>
    </row>
    <row r="7" spans="2:9" x14ac:dyDescent="0.3">
      <c r="B7" s="463">
        <v>46015</v>
      </c>
      <c r="C7" s="464">
        <v>0</v>
      </c>
      <c r="D7" s="464">
        <v>0</v>
      </c>
      <c r="E7" s="465">
        <v>0</v>
      </c>
      <c r="F7" s="495">
        <v>-6890.19</v>
      </c>
      <c r="G7" s="466">
        <v>0</v>
      </c>
      <c r="H7" s="467">
        <v>0</v>
      </c>
      <c r="I7" s="462">
        <f t="shared" si="0"/>
        <v>7138.509999999992</v>
      </c>
    </row>
    <row r="8" spans="2:9" x14ac:dyDescent="0.3">
      <c r="B8" s="463">
        <v>46016</v>
      </c>
      <c r="C8" s="464">
        <v>0</v>
      </c>
      <c r="D8" s="464">
        <v>0</v>
      </c>
      <c r="E8" s="465">
        <v>0</v>
      </c>
      <c r="F8" s="495">
        <v>-10708.48</v>
      </c>
      <c r="G8" s="466">
        <v>0</v>
      </c>
      <c r="H8" s="467">
        <v>0</v>
      </c>
      <c r="I8" s="462">
        <f t="shared" si="0"/>
        <v>-3569.9700000000075</v>
      </c>
    </row>
    <row r="9" spans="2:9" x14ac:dyDescent="0.3">
      <c r="B9" s="463">
        <v>46017</v>
      </c>
      <c r="C9" s="464">
        <v>0</v>
      </c>
      <c r="D9" s="464">
        <v>0</v>
      </c>
      <c r="E9" s="465">
        <v>0</v>
      </c>
      <c r="F9" s="495">
        <v>-10740.8</v>
      </c>
      <c r="G9" s="466">
        <v>0</v>
      </c>
      <c r="H9" s="467">
        <v>0</v>
      </c>
      <c r="I9" s="462">
        <f t="shared" si="0"/>
        <v>-14310.770000000008</v>
      </c>
    </row>
    <row r="10" spans="2:9" x14ac:dyDescent="0.3">
      <c r="B10" s="463">
        <v>46018</v>
      </c>
      <c r="C10" s="464">
        <v>0</v>
      </c>
      <c r="D10" s="464">
        <v>0</v>
      </c>
      <c r="E10" s="465">
        <v>0</v>
      </c>
      <c r="F10" s="495">
        <v>-9988.89</v>
      </c>
      <c r="G10" s="466">
        <v>0</v>
      </c>
      <c r="H10" s="467">
        <v>0</v>
      </c>
      <c r="I10" s="462">
        <f t="shared" si="0"/>
        <v>-24299.660000000007</v>
      </c>
    </row>
    <row r="11" spans="2:9" x14ac:dyDescent="0.3">
      <c r="B11" s="463">
        <v>46019</v>
      </c>
      <c r="C11" s="464">
        <v>0</v>
      </c>
      <c r="D11" s="464">
        <v>0</v>
      </c>
      <c r="E11" s="465">
        <v>0</v>
      </c>
      <c r="F11" s="495">
        <v>-4414.47</v>
      </c>
      <c r="G11" s="466">
        <v>0</v>
      </c>
      <c r="H11" s="467">
        <v>0</v>
      </c>
      <c r="I11" s="462">
        <f t="shared" si="0"/>
        <v>-28714.130000000008</v>
      </c>
    </row>
    <row r="12" spans="2:9" x14ac:dyDescent="0.3">
      <c r="B12" s="463">
        <v>46020</v>
      </c>
      <c r="C12" s="464">
        <f>30147.01+33984.23</f>
        <v>64131.240000000005</v>
      </c>
      <c r="D12" s="464">
        <v>0</v>
      </c>
      <c r="E12" s="465">
        <v>0</v>
      </c>
      <c r="F12" s="495">
        <v>-10476.48</v>
      </c>
      <c r="G12" s="466">
        <v>0</v>
      </c>
      <c r="H12" s="467">
        <v>0</v>
      </c>
      <c r="I12" s="462">
        <f t="shared" si="0"/>
        <v>24940.63</v>
      </c>
    </row>
    <row r="13" spans="2:9" x14ac:dyDescent="0.3">
      <c r="B13" s="463">
        <v>46021</v>
      </c>
      <c r="C13" s="464">
        <v>0</v>
      </c>
      <c r="D13" s="464">
        <v>0</v>
      </c>
      <c r="E13" s="465">
        <v>0</v>
      </c>
      <c r="F13" s="495">
        <f>-(1000+11215.16)</f>
        <v>-12215.16</v>
      </c>
      <c r="G13" s="466">
        <v>0</v>
      </c>
      <c r="H13" s="467">
        <v>0</v>
      </c>
      <c r="I13" s="462">
        <f t="shared" si="0"/>
        <v>12725.470000000001</v>
      </c>
    </row>
    <row r="14" spans="2:9" ht="15" thickBot="1" x14ac:dyDescent="0.35">
      <c r="B14" s="463">
        <v>46022</v>
      </c>
      <c r="C14" s="464">
        <v>0</v>
      </c>
      <c r="D14" s="464">
        <v>0</v>
      </c>
      <c r="E14" s="465">
        <v>0</v>
      </c>
      <c r="F14" s="434">
        <v>-8066.43</v>
      </c>
      <c r="G14" s="466">
        <v>0</v>
      </c>
      <c r="H14" s="467">
        <v>0</v>
      </c>
      <c r="I14" s="462">
        <f t="shared" si="0"/>
        <v>4659.0400000000009</v>
      </c>
    </row>
    <row r="15" spans="2:9" ht="15" thickBot="1" x14ac:dyDescent="0.35">
      <c r="B15" s="469" t="s">
        <v>79</v>
      </c>
      <c r="C15" s="470">
        <f>SUM(C6:C14)</f>
        <v>64131.240000000005</v>
      </c>
      <c r="D15" s="470"/>
      <c r="E15" s="471">
        <f>SUM(E6:E14)</f>
        <v>0</v>
      </c>
      <c r="F15" s="472">
        <f>SUM(F6:F14)</f>
        <v>-80428.799999999988</v>
      </c>
      <c r="G15" s="472">
        <f>SUM(G6:G14)</f>
        <v>0</v>
      </c>
      <c r="H15" s="471">
        <f>SUM(H6:H14)</f>
        <v>0</v>
      </c>
      <c r="I15" s="473"/>
    </row>
  </sheetData>
  <mergeCells count="2">
    <mergeCell ref="B2:B3"/>
    <mergeCell ref="C4:H4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A7A1-78B1-450B-BF9C-D99F0D314FE8}">
  <sheetPr>
    <tabColor rgb="FFFFFF00"/>
  </sheetPr>
  <dimension ref="B3:G30"/>
  <sheetViews>
    <sheetView showGridLines="0" topLeftCell="A4" workbookViewId="0">
      <selection activeCell="H4" sqref="H4"/>
    </sheetView>
  </sheetViews>
  <sheetFormatPr defaultRowHeight="13.2" x14ac:dyDescent="0.25"/>
  <cols>
    <col min="2" max="2" width="15.109375" customWidth="1"/>
    <col min="3" max="3" width="45.21875" bestFit="1" customWidth="1"/>
    <col min="4" max="4" width="26.88671875" customWidth="1"/>
    <col min="5" max="5" width="40.109375" bestFit="1" customWidth="1"/>
    <col min="6" max="6" width="19.77734375" customWidth="1"/>
    <col min="7" max="7" width="14.6640625" bestFit="1" customWidth="1"/>
  </cols>
  <sheetData>
    <row r="3" spans="2:7" x14ac:dyDescent="0.25">
      <c r="B3" s="524" t="s">
        <v>744</v>
      </c>
      <c r="C3" s="524"/>
      <c r="D3" s="524"/>
      <c r="E3" s="524"/>
      <c r="F3" s="524"/>
      <c r="G3" s="524"/>
    </row>
    <row r="5" spans="2:7" x14ac:dyDescent="0.25">
      <c r="B5" s="497" t="s">
        <v>2</v>
      </c>
      <c r="C5" s="497" t="s">
        <v>745</v>
      </c>
      <c r="D5" s="497" t="s">
        <v>746</v>
      </c>
      <c r="E5" s="497" t="s">
        <v>747</v>
      </c>
      <c r="F5" s="497" t="s">
        <v>751</v>
      </c>
      <c r="G5" s="497" t="s">
        <v>752</v>
      </c>
    </row>
    <row r="7" spans="2:7" x14ac:dyDescent="0.25">
      <c r="B7" s="498">
        <v>46023</v>
      </c>
      <c r="C7" t="s">
        <v>748</v>
      </c>
      <c r="D7" s="474" t="s">
        <v>768</v>
      </c>
      <c r="E7" t="s">
        <v>769</v>
      </c>
      <c r="F7" s="499">
        <v>0</v>
      </c>
      <c r="G7" s="499">
        <v>0</v>
      </c>
    </row>
    <row r="8" spans="2:7" x14ac:dyDescent="0.25">
      <c r="B8" s="498">
        <v>46023</v>
      </c>
      <c r="C8" t="s">
        <v>759</v>
      </c>
      <c r="D8" s="474" t="s">
        <v>768</v>
      </c>
      <c r="E8" t="s">
        <v>772</v>
      </c>
      <c r="F8" s="499">
        <v>0</v>
      </c>
      <c r="G8" s="499">
        <v>0</v>
      </c>
    </row>
    <row r="9" spans="2:7" x14ac:dyDescent="0.25">
      <c r="B9" s="498">
        <v>46023</v>
      </c>
      <c r="C9" t="s">
        <v>749</v>
      </c>
      <c r="D9" s="474" t="s">
        <v>768</v>
      </c>
      <c r="E9" t="s">
        <v>770</v>
      </c>
      <c r="F9" s="499">
        <v>0</v>
      </c>
      <c r="G9" s="499">
        <v>0</v>
      </c>
    </row>
    <row r="10" spans="2:7" x14ac:dyDescent="0.25">
      <c r="B10" s="498">
        <v>46023</v>
      </c>
      <c r="C10" t="s">
        <v>750</v>
      </c>
      <c r="D10" s="474" t="s">
        <v>768</v>
      </c>
      <c r="E10" t="s">
        <v>771</v>
      </c>
      <c r="F10" s="499">
        <v>0</v>
      </c>
      <c r="G10" s="499">
        <v>0</v>
      </c>
    </row>
    <row r="11" spans="2:7" x14ac:dyDescent="0.25">
      <c r="B11" s="498">
        <v>46023</v>
      </c>
      <c r="C11" t="s">
        <v>753</v>
      </c>
      <c r="D11" s="474" t="s">
        <v>758</v>
      </c>
      <c r="F11" s="499">
        <v>0</v>
      </c>
      <c r="G11" s="499">
        <v>0</v>
      </c>
    </row>
    <row r="12" spans="2:7" x14ac:dyDescent="0.25">
      <c r="B12" s="498">
        <v>46023</v>
      </c>
      <c r="C12" t="s">
        <v>754</v>
      </c>
      <c r="D12" s="474" t="s">
        <v>758</v>
      </c>
      <c r="F12" s="499">
        <f>180+230+900+150</f>
        <v>1460</v>
      </c>
      <c r="G12" s="499">
        <v>0</v>
      </c>
    </row>
    <row r="13" spans="2:7" x14ac:dyDescent="0.25">
      <c r="B13" s="498">
        <v>46023</v>
      </c>
      <c r="C13" t="s">
        <v>755</v>
      </c>
      <c r="D13" s="474" t="s">
        <v>758</v>
      </c>
      <c r="F13" s="499">
        <v>0</v>
      </c>
      <c r="G13" s="499">
        <v>0</v>
      </c>
    </row>
    <row r="14" spans="2:7" x14ac:dyDescent="0.25">
      <c r="B14" s="498">
        <v>46023</v>
      </c>
      <c r="C14" t="s">
        <v>756</v>
      </c>
      <c r="D14" s="474" t="s">
        <v>758</v>
      </c>
      <c r="F14" s="499">
        <v>0</v>
      </c>
      <c r="G14" s="499">
        <v>0</v>
      </c>
    </row>
    <row r="15" spans="2:7" x14ac:dyDescent="0.25">
      <c r="B15" s="498">
        <v>46023</v>
      </c>
      <c r="C15" t="s">
        <v>757</v>
      </c>
      <c r="D15" s="474" t="s">
        <v>758</v>
      </c>
      <c r="E15" t="s">
        <v>773</v>
      </c>
      <c r="F15" s="499">
        <v>0</v>
      </c>
      <c r="G15" s="499">
        <v>0</v>
      </c>
    </row>
    <row r="16" spans="2:7" x14ac:dyDescent="0.25">
      <c r="B16" s="498">
        <v>46023</v>
      </c>
      <c r="C16" t="s">
        <v>760</v>
      </c>
      <c r="D16" s="474" t="s">
        <v>758</v>
      </c>
      <c r="E16" s="501"/>
      <c r="F16" s="499">
        <v>0</v>
      </c>
      <c r="G16" s="499">
        <v>0</v>
      </c>
    </row>
    <row r="17" spans="2:7" x14ac:dyDescent="0.25">
      <c r="B17" s="498">
        <v>46023</v>
      </c>
      <c r="C17" t="s">
        <v>763</v>
      </c>
      <c r="D17" s="474" t="s">
        <v>758</v>
      </c>
      <c r="F17" s="499">
        <v>0</v>
      </c>
      <c r="G17" s="499">
        <v>0</v>
      </c>
    </row>
    <row r="18" spans="2:7" x14ac:dyDescent="0.25">
      <c r="B18" s="498">
        <v>46054</v>
      </c>
      <c r="C18" t="s">
        <v>767</v>
      </c>
      <c r="D18" s="474" t="s">
        <v>758</v>
      </c>
      <c r="E18" s="501"/>
      <c r="F18" s="499">
        <v>250</v>
      </c>
      <c r="G18" s="499">
        <v>0</v>
      </c>
    </row>
    <row r="19" spans="2:7" x14ac:dyDescent="0.25">
      <c r="B19" s="500"/>
      <c r="C19" s="500"/>
      <c r="D19" s="500"/>
      <c r="E19" s="500"/>
      <c r="F19" s="451">
        <f>SUM(F7:F18)</f>
        <v>1710</v>
      </c>
      <c r="G19" s="451">
        <f>SUM(G7:G18)</f>
        <v>0</v>
      </c>
    </row>
    <row r="21" spans="2:7" x14ac:dyDescent="0.25">
      <c r="B21" s="498">
        <v>46054</v>
      </c>
      <c r="C21" t="s">
        <v>761</v>
      </c>
      <c r="D21" s="474" t="s">
        <v>758</v>
      </c>
      <c r="F21" s="499">
        <v>0</v>
      </c>
      <c r="G21" s="499">
        <v>0</v>
      </c>
    </row>
    <row r="22" spans="2:7" x14ac:dyDescent="0.25">
      <c r="B22" s="498">
        <v>46054</v>
      </c>
      <c r="C22" t="s">
        <v>762</v>
      </c>
      <c r="D22" s="474" t="s">
        <v>758</v>
      </c>
      <c r="F22" s="499">
        <v>0</v>
      </c>
      <c r="G22" s="499">
        <v>0</v>
      </c>
    </row>
    <row r="23" spans="2:7" x14ac:dyDescent="0.25">
      <c r="B23" s="498">
        <v>46054</v>
      </c>
      <c r="C23" t="s">
        <v>764</v>
      </c>
      <c r="D23" s="474" t="s">
        <v>758</v>
      </c>
      <c r="F23" s="499">
        <v>0</v>
      </c>
      <c r="G23" s="499">
        <v>0</v>
      </c>
    </row>
    <row r="24" spans="2:7" x14ac:dyDescent="0.25">
      <c r="B24" s="498">
        <v>46054</v>
      </c>
      <c r="C24" t="s">
        <v>765</v>
      </c>
      <c r="D24" s="474" t="s">
        <v>758</v>
      </c>
      <c r="F24" s="499">
        <v>0</v>
      </c>
      <c r="G24" s="499">
        <v>0</v>
      </c>
    </row>
    <row r="25" spans="2:7" x14ac:dyDescent="0.25">
      <c r="B25" s="498">
        <v>46054</v>
      </c>
      <c r="C25" t="s">
        <v>766</v>
      </c>
      <c r="D25" s="474" t="s">
        <v>758</v>
      </c>
      <c r="F25" s="499">
        <v>0</v>
      </c>
      <c r="G25" s="499">
        <v>0</v>
      </c>
    </row>
    <row r="26" spans="2:7" x14ac:dyDescent="0.25">
      <c r="B26" s="498"/>
      <c r="D26" s="474"/>
      <c r="F26" s="499"/>
      <c r="G26" s="499"/>
    </row>
    <row r="27" spans="2:7" x14ac:dyDescent="0.25">
      <c r="B27" s="498"/>
      <c r="D27" s="474"/>
      <c r="F27" s="499"/>
      <c r="G27" s="499"/>
    </row>
    <row r="28" spans="2:7" x14ac:dyDescent="0.25">
      <c r="B28" s="498"/>
      <c r="D28" s="474"/>
      <c r="F28" s="499"/>
      <c r="G28" s="499"/>
    </row>
    <row r="29" spans="2:7" x14ac:dyDescent="0.25">
      <c r="B29" s="498"/>
      <c r="D29" s="474"/>
    </row>
    <row r="30" spans="2:7" x14ac:dyDescent="0.25">
      <c r="B30" s="500"/>
      <c r="C30" s="500"/>
      <c r="D30" s="500"/>
      <c r="E30" s="500"/>
      <c r="F30" s="451">
        <f>SUM(F21:F29)</f>
        <v>0</v>
      </c>
      <c r="G30" s="451">
        <f>SUM(G21:G29)</f>
        <v>0</v>
      </c>
    </row>
  </sheetData>
  <mergeCells count="1">
    <mergeCell ref="B3:G3"/>
  </mergeCells>
  <conditionalFormatting sqref="B7:G18">
    <cfRule type="expression" dxfId="2" priority="4">
      <formula>MOD(ROW(),2)=0</formula>
    </cfRule>
    <cfRule type="expression" priority="5">
      <formula>MOD(ROW(),2)=0</formula>
    </cfRule>
  </conditionalFormatting>
  <conditionalFormatting sqref="B21:G29">
    <cfRule type="expression" dxfId="1" priority="2">
      <formula>MOD(ROW(),2)=0</formula>
    </cfRule>
    <cfRule type="expression" priority="3">
      <formula>MOD(ROW(),2)=0</formula>
    </cfRule>
  </conditionalFormatting>
  <conditionalFormatting sqref="D7:D18">
    <cfRule type="containsText" dxfId="0" priority="1" operator="containsText" text="Finalizado ">
      <formula>NOT(ISERROR(SEARCH("Finalizado ",D7)))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14ED-3B72-443A-8552-0ED1AF3059EC}">
  <dimension ref="B2:P19"/>
  <sheetViews>
    <sheetView tabSelected="1" workbookViewId="0">
      <selection activeCell="O30" sqref="O30"/>
    </sheetView>
  </sheetViews>
  <sheetFormatPr defaultRowHeight="13.2" x14ac:dyDescent="0.25"/>
  <cols>
    <col min="2" max="2" width="7" bestFit="1" customWidth="1"/>
    <col min="3" max="3" width="19.33203125" bestFit="1" customWidth="1"/>
    <col min="6" max="6" width="7" bestFit="1" customWidth="1"/>
    <col min="7" max="7" width="12" bestFit="1" customWidth="1"/>
    <col min="12" max="12" width="12" bestFit="1" customWidth="1"/>
    <col min="16" max="16" width="11" bestFit="1" customWidth="1"/>
  </cols>
  <sheetData>
    <row r="2" spans="2:16" x14ac:dyDescent="0.25">
      <c r="B2" s="532" t="s">
        <v>778</v>
      </c>
      <c r="C2" s="532"/>
      <c r="D2" s="532"/>
      <c r="E2" s="532"/>
      <c r="F2" s="532"/>
      <c r="G2" s="532"/>
      <c r="K2" s="514" t="s">
        <v>779</v>
      </c>
      <c r="L2" s="514"/>
      <c r="M2" s="514"/>
      <c r="N2" s="514"/>
      <c r="O2" s="514"/>
      <c r="P2" s="514"/>
    </row>
    <row r="4" spans="2:16" x14ac:dyDescent="0.25">
      <c r="B4" s="507" t="s">
        <v>777</v>
      </c>
      <c r="C4" s="507"/>
      <c r="F4" s="507" t="s">
        <v>651</v>
      </c>
      <c r="G4" s="507"/>
      <c r="K4" s="507" t="s">
        <v>777</v>
      </c>
      <c r="L4" s="507"/>
      <c r="O4" s="507" t="s">
        <v>651</v>
      </c>
      <c r="P4" s="507"/>
    </row>
    <row r="5" spans="2:16" x14ac:dyDescent="0.25">
      <c r="B5" s="410"/>
      <c r="C5" s="410"/>
      <c r="F5" s="410"/>
      <c r="G5" s="410"/>
      <c r="K5" s="410"/>
      <c r="L5" s="410"/>
      <c r="O5" s="410"/>
      <c r="P5" s="410"/>
    </row>
    <row r="6" spans="2:16" x14ac:dyDescent="0.25">
      <c r="B6" s="504" t="s">
        <v>2</v>
      </c>
      <c r="C6" s="504" t="s">
        <v>774</v>
      </c>
      <c r="F6" s="504" t="s">
        <v>2</v>
      </c>
      <c r="G6" s="504" t="s">
        <v>774</v>
      </c>
      <c r="K6" s="504" t="s">
        <v>2</v>
      </c>
      <c r="L6" s="504" t="s">
        <v>774</v>
      </c>
      <c r="O6" s="504" t="s">
        <v>2</v>
      </c>
      <c r="P6" s="504" t="s">
        <v>774</v>
      </c>
    </row>
    <row r="7" spans="2:16" x14ac:dyDescent="0.25">
      <c r="B7" s="503">
        <v>46023</v>
      </c>
      <c r="C7" s="432">
        <v>252772.95</v>
      </c>
      <c r="F7" s="503">
        <v>46023</v>
      </c>
      <c r="G7" s="432">
        <v>0</v>
      </c>
      <c r="K7" s="503">
        <v>46023</v>
      </c>
      <c r="L7" s="432">
        <v>0</v>
      </c>
      <c r="O7" s="503">
        <v>46023</v>
      </c>
      <c r="P7" s="432">
        <v>0</v>
      </c>
    </row>
    <row r="8" spans="2:16" x14ac:dyDescent="0.25">
      <c r="B8" s="503">
        <v>46054</v>
      </c>
      <c r="C8" s="432">
        <v>228525.11</v>
      </c>
      <c r="F8" s="503">
        <v>46054</v>
      </c>
      <c r="G8" s="432">
        <v>3059</v>
      </c>
      <c r="K8" s="503">
        <v>46054</v>
      </c>
      <c r="L8" s="432">
        <v>0</v>
      </c>
      <c r="O8" s="503">
        <v>46054</v>
      </c>
      <c r="P8" s="432">
        <v>0</v>
      </c>
    </row>
    <row r="9" spans="2:16" x14ac:dyDescent="0.25">
      <c r="B9" s="503">
        <v>46082</v>
      </c>
      <c r="C9" s="432">
        <v>268703.5</v>
      </c>
      <c r="F9" s="503">
        <v>46082</v>
      </c>
      <c r="G9" s="432">
        <v>10570.07</v>
      </c>
      <c r="K9" s="503">
        <v>46082</v>
      </c>
      <c r="L9" s="432">
        <v>0</v>
      </c>
      <c r="O9" s="503">
        <v>46082</v>
      </c>
      <c r="P9" s="432">
        <v>1116.6300000000001</v>
      </c>
    </row>
    <row r="10" spans="2:16" x14ac:dyDescent="0.25">
      <c r="B10" s="503">
        <v>46113</v>
      </c>
      <c r="C10" s="432">
        <v>223982.07</v>
      </c>
      <c r="F10" s="503">
        <v>46113</v>
      </c>
      <c r="G10" s="432">
        <v>30495.45</v>
      </c>
      <c r="K10" s="503">
        <v>46113</v>
      </c>
      <c r="L10" s="432">
        <v>0</v>
      </c>
      <c r="O10" s="503">
        <v>46113</v>
      </c>
      <c r="P10" s="432">
        <v>0</v>
      </c>
    </row>
    <row r="11" spans="2:16" x14ac:dyDescent="0.25">
      <c r="B11" s="503">
        <v>46143</v>
      </c>
      <c r="C11" s="432">
        <v>319945.38</v>
      </c>
      <c r="F11" s="503">
        <v>46143</v>
      </c>
      <c r="G11" s="432">
        <v>52752.71</v>
      </c>
      <c r="K11" s="503">
        <v>46143</v>
      </c>
      <c r="L11" s="432">
        <v>0</v>
      </c>
      <c r="O11" s="503">
        <v>46143</v>
      </c>
      <c r="P11" s="432">
        <v>0</v>
      </c>
    </row>
    <row r="12" spans="2:16" x14ac:dyDescent="0.25">
      <c r="B12" s="503">
        <v>46174</v>
      </c>
      <c r="C12" s="432">
        <v>71959.33</v>
      </c>
      <c r="F12" s="503">
        <v>46174</v>
      </c>
      <c r="G12" s="432">
        <v>4702.05</v>
      </c>
      <c r="K12" s="503">
        <v>46174</v>
      </c>
      <c r="L12" s="432">
        <v>242737.6</v>
      </c>
      <c r="O12" s="503">
        <v>46174</v>
      </c>
      <c r="P12" s="432">
        <v>34120.22</v>
      </c>
    </row>
    <row r="13" spans="2:16" x14ac:dyDescent="0.25">
      <c r="B13" s="503">
        <v>46204</v>
      </c>
      <c r="C13" s="432">
        <v>0</v>
      </c>
      <c r="F13" s="503">
        <v>46204</v>
      </c>
      <c r="G13" s="432">
        <v>0</v>
      </c>
      <c r="K13" s="503">
        <v>46204</v>
      </c>
      <c r="L13" s="432">
        <v>279660.90000000002</v>
      </c>
      <c r="O13" s="503">
        <v>46204</v>
      </c>
      <c r="P13" s="432">
        <v>26388.28</v>
      </c>
    </row>
    <row r="14" spans="2:16" x14ac:dyDescent="0.25">
      <c r="B14" s="503">
        <v>46235</v>
      </c>
      <c r="C14" s="432">
        <v>0</v>
      </c>
      <c r="F14" s="503">
        <v>46235</v>
      </c>
      <c r="G14" s="432">
        <v>0</v>
      </c>
      <c r="K14" s="503">
        <v>46235</v>
      </c>
      <c r="L14" s="432">
        <v>193891.55</v>
      </c>
      <c r="O14" s="503">
        <v>46235</v>
      </c>
      <c r="P14" s="432">
        <v>0</v>
      </c>
    </row>
    <row r="15" spans="2:16" x14ac:dyDescent="0.25">
      <c r="B15" s="503">
        <v>46266</v>
      </c>
      <c r="C15" s="432">
        <v>0</v>
      </c>
      <c r="F15" s="503">
        <v>46266</v>
      </c>
      <c r="G15" s="432">
        <v>0</v>
      </c>
      <c r="K15" s="503">
        <v>46266</v>
      </c>
      <c r="L15" s="432">
        <v>112354.99</v>
      </c>
      <c r="O15" s="503">
        <v>46266</v>
      </c>
      <c r="P15" s="432">
        <v>0</v>
      </c>
    </row>
    <row r="16" spans="2:16" x14ac:dyDescent="0.25">
      <c r="B16" s="503">
        <v>46296</v>
      </c>
      <c r="C16" s="432">
        <v>0</v>
      </c>
      <c r="F16" s="503">
        <v>46296</v>
      </c>
      <c r="G16" s="432">
        <v>0</v>
      </c>
      <c r="K16" s="503">
        <v>46296</v>
      </c>
      <c r="L16" s="432">
        <v>50055.49</v>
      </c>
      <c r="O16" s="503">
        <v>46296</v>
      </c>
      <c r="P16" s="432">
        <v>0</v>
      </c>
    </row>
    <row r="17" spans="2:16" x14ac:dyDescent="0.25">
      <c r="B17" s="503">
        <v>46327</v>
      </c>
      <c r="C17" s="432">
        <v>0</v>
      </c>
      <c r="F17" s="503">
        <v>46327</v>
      </c>
      <c r="G17" s="432">
        <v>0</v>
      </c>
      <c r="K17" s="503">
        <v>46327</v>
      </c>
      <c r="L17" s="432">
        <v>18763.439999999999</v>
      </c>
      <c r="O17" s="503">
        <v>46327</v>
      </c>
      <c r="P17" s="432">
        <v>0</v>
      </c>
    </row>
    <row r="18" spans="2:16" x14ac:dyDescent="0.25">
      <c r="B18" s="503">
        <v>46357</v>
      </c>
      <c r="C18" s="432">
        <v>0</v>
      </c>
      <c r="F18" s="503">
        <v>46357</v>
      </c>
      <c r="G18" s="432">
        <v>0</v>
      </c>
      <c r="K18" s="503">
        <v>46357</v>
      </c>
      <c r="L18" s="432">
        <v>0</v>
      </c>
      <c r="O18" s="503">
        <v>46357</v>
      </c>
      <c r="P18" s="432">
        <v>0</v>
      </c>
    </row>
    <row r="19" spans="2:16" x14ac:dyDescent="0.25">
      <c r="B19" s="505" t="s">
        <v>775</v>
      </c>
      <c r="C19" s="506">
        <f>SUM(C7:C18)</f>
        <v>1365888.3400000003</v>
      </c>
      <c r="F19" s="505" t="s">
        <v>775</v>
      </c>
      <c r="G19" s="506">
        <f>SUM(G7:G18)</f>
        <v>101579.28000000001</v>
      </c>
      <c r="K19" s="505" t="s">
        <v>775</v>
      </c>
      <c r="L19" s="506">
        <f>SUM(L7:L18)</f>
        <v>897463.97</v>
      </c>
      <c r="O19" s="505" t="s">
        <v>775</v>
      </c>
      <c r="P19" s="506">
        <f>SUM(P7:P18)</f>
        <v>61625.13</v>
      </c>
    </row>
  </sheetData>
  <mergeCells count="6">
    <mergeCell ref="K2:P2"/>
    <mergeCell ref="K4:L4"/>
    <mergeCell ref="O4:P4"/>
    <mergeCell ref="B4:C4"/>
    <mergeCell ref="F4:G4"/>
    <mergeCell ref="B2:G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7">
    <tabColor rgb="FF002060"/>
    <outlinePr summaryBelow="0"/>
  </sheetPr>
  <dimension ref="A1:S252"/>
  <sheetViews>
    <sheetView showGridLines="0" zoomScale="90" zoomScaleNormal="90" workbookViewId="0">
      <selection activeCell="J12" sqref="J12"/>
    </sheetView>
  </sheetViews>
  <sheetFormatPr defaultColWidth="13.88671875" defaultRowHeight="12" outlineLevelRow="1" x14ac:dyDescent="0.25"/>
  <cols>
    <col min="1" max="1" width="9.109375" style="1" bestFit="1" customWidth="1"/>
    <col min="2" max="2" width="50.109375" style="1" bestFit="1" customWidth="1"/>
    <col min="3" max="3" width="6.109375" style="1" bestFit="1" customWidth="1"/>
    <col min="4" max="4" width="14" style="4" customWidth="1"/>
    <col min="5" max="5" width="4.88671875" style="1" bestFit="1" customWidth="1"/>
    <col min="6" max="6" width="9" style="1" bestFit="1" customWidth="1"/>
    <col min="7" max="7" width="5" style="1" bestFit="1" customWidth="1"/>
    <col min="8" max="8" width="4.88671875" style="1" bestFit="1" customWidth="1"/>
    <col min="9" max="9" width="7.44140625" style="2" bestFit="1" customWidth="1"/>
    <col min="10" max="11" width="7.44140625" style="1" bestFit="1" customWidth="1"/>
    <col min="12" max="12" width="7.5546875" style="1" bestFit="1" customWidth="1"/>
    <col min="13" max="15" width="7.44140625" style="1" bestFit="1" customWidth="1"/>
    <col min="16" max="16" width="8.6640625" style="1" bestFit="1" customWidth="1"/>
    <col min="17" max="17" width="9.33203125" style="1" bestFit="1" customWidth="1"/>
    <col min="18" max="18" width="1" style="1" customWidth="1"/>
    <col min="19" max="19" width="14.44140625" style="1" customWidth="1"/>
    <col min="20" max="16384" width="13.88671875" style="1"/>
  </cols>
  <sheetData>
    <row r="1" spans="1:19" x14ac:dyDescent="0.25">
      <c r="B1" s="3"/>
      <c r="C1" s="3"/>
    </row>
    <row r="2" spans="1:19" x14ac:dyDescent="0.25">
      <c r="B2" s="3"/>
      <c r="C2" s="3"/>
    </row>
    <row r="3" spans="1:19" ht="13.5" customHeight="1" x14ac:dyDescent="0.25">
      <c r="A3" s="280"/>
      <c r="B3" s="525" t="s">
        <v>548</v>
      </c>
      <c r="C3" s="281"/>
      <c r="D3" s="527" t="s">
        <v>549</v>
      </c>
      <c r="E3" s="282">
        <v>2018</v>
      </c>
      <c r="F3" s="282">
        <v>2018</v>
      </c>
      <c r="G3" s="282">
        <v>2018</v>
      </c>
      <c r="H3" s="282">
        <v>2018</v>
      </c>
      <c r="I3" s="282">
        <v>2018</v>
      </c>
      <c r="J3" s="282">
        <v>2018</v>
      </c>
      <c r="K3" s="282">
        <v>2018</v>
      </c>
      <c r="L3" s="282">
        <v>2018</v>
      </c>
      <c r="M3" s="282">
        <v>2018</v>
      </c>
      <c r="N3" s="282">
        <v>2018</v>
      </c>
      <c r="O3" s="282">
        <v>2018</v>
      </c>
      <c r="P3" s="282">
        <v>2018</v>
      </c>
      <c r="Q3" s="283">
        <v>2018</v>
      </c>
      <c r="S3" s="529" t="s">
        <v>66</v>
      </c>
    </row>
    <row r="4" spans="1:19" x14ac:dyDescent="0.25">
      <c r="A4" s="175"/>
      <c r="B4" s="526"/>
      <c r="C4" s="5"/>
      <c r="D4" s="528"/>
      <c r="E4" s="176" t="s">
        <v>67</v>
      </c>
      <c r="F4" s="176" t="s">
        <v>68</v>
      </c>
      <c r="G4" s="176" t="s">
        <v>69</v>
      </c>
      <c r="H4" s="176" t="s">
        <v>70</v>
      </c>
      <c r="I4" s="176" t="s">
        <v>71</v>
      </c>
      <c r="J4" s="176" t="s">
        <v>72</v>
      </c>
      <c r="K4" s="176" t="s">
        <v>73</v>
      </c>
      <c r="L4" s="176" t="s">
        <v>74</v>
      </c>
      <c r="M4" s="176" t="s">
        <v>75</v>
      </c>
      <c r="N4" s="176" t="s">
        <v>76</v>
      </c>
      <c r="O4" s="176" t="s">
        <v>77</v>
      </c>
      <c r="P4" s="176" t="s">
        <v>78</v>
      </c>
      <c r="Q4" s="177" t="s">
        <v>79</v>
      </c>
      <c r="S4" s="530"/>
    </row>
    <row r="5" spans="1:19" x14ac:dyDescent="0.25">
      <c r="A5" s="284"/>
      <c r="B5" s="285" t="s">
        <v>80</v>
      </c>
      <c r="C5" s="285"/>
      <c r="D5" s="286"/>
      <c r="E5" s="239"/>
      <c r="F5" s="239"/>
      <c r="G5" s="239"/>
      <c r="H5" s="239"/>
      <c r="I5" s="239"/>
      <c r="J5" s="287"/>
      <c r="K5" s="287"/>
      <c r="L5" s="239"/>
      <c r="M5" s="287"/>
      <c r="N5" s="287"/>
      <c r="O5" s="239"/>
      <c r="P5" s="239"/>
      <c r="Q5" s="288"/>
      <c r="S5" s="178"/>
    </row>
    <row r="6" spans="1:19" outlineLevel="1" x14ac:dyDescent="0.25">
      <c r="A6" s="284"/>
      <c r="B6" s="289" t="s">
        <v>550</v>
      </c>
      <c r="C6" s="290"/>
      <c r="D6" s="291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92">
        <f>SUM(E6:P6)</f>
        <v>0</v>
      </c>
      <c r="S6" s="293">
        <f t="shared" ref="S6:S13" si="0">D6+Q6</f>
        <v>0</v>
      </c>
    </row>
    <row r="7" spans="1:19" outlineLevel="1" x14ac:dyDescent="0.25">
      <c r="A7" s="284"/>
      <c r="B7" s="289" t="s">
        <v>551</v>
      </c>
      <c r="C7" s="290"/>
      <c r="D7" s="291"/>
      <c r="E7" s="294"/>
      <c r="F7" s="239"/>
      <c r="G7" s="239"/>
      <c r="H7" s="294"/>
      <c r="I7" s="239"/>
      <c r="J7" s="239"/>
      <c r="K7" s="294"/>
      <c r="L7" s="239"/>
      <c r="M7" s="239"/>
      <c r="N7" s="294"/>
      <c r="O7" s="239"/>
      <c r="P7" s="239"/>
      <c r="Q7" s="292">
        <f>SUM(E7:P7)</f>
        <v>0</v>
      </c>
      <c r="S7" s="293">
        <f t="shared" si="0"/>
        <v>0</v>
      </c>
    </row>
    <row r="8" spans="1:19" outlineLevel="1" x14ac:dyDescent="0.25">
      <c r="A8" s="284"/>
      <c r="B8" s="289" t="s">
        <v>552</v>
      </c>
      <c r="C8" s="290"/>
      <c r="D8" s="291"/>
      <c r="E8" s="294"/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92">
        <f>SUM(E8:P8)</f>
        <v>0</v>
      </c>
      <c r="S8" s="293">
        <f t="shared" si="0"/>
        <v>0</v>
      </c>
    </row>
    <row r="9" spans="1:19" outlineLevel="1" x14ac:dyDescent="0.25">
      <c r="A9" s="284"/>
      <c r="B9" s="289" t="s">
        <v>553</v>
      </c>
      <c r="C9" s="290"/>
      <c r="D9" s="291"/>
      <c r="E9" s="239"/>
      <c r="F9" s="239"/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92">
        <f>SUM(E9:P9)</f>
        <v>0</v>
      </c>
      <c r="S9" s="293">
        <f t="shared" si="0"/>
        <v>0</v>
      </c>
    </row>
    <row r="10" spans="1:19" outlineLevel="1" x14ac:dyDescent="0.25">
      <c r="A10" s="284"/>
      <c r="B10" s="289" t="s">
        <v>554</v>
      </c>
      <c r="C10" s="290"/>
      <c r="D10" s="291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92">
        <f>SUM(E10:P10)</f>
        <v>0</v>
      </c>
      <c r="S10" s="293">
        <f t="shared" si="0"/>
        <v>0</v>
      </c>
    </row>
    <row r="11" spans="1:19" outlineLevel="1" x14ac:dyDescent="0.25">
      <c r="A11" s="284"/>
      <c r="B11" s="289" t="s">
        <v>555</v>
      </c>
      <c r="C11" s="289"/>
      <c r="D11" s="291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92"/>
      <c r="S11" s="295"/>
    </row>
    <row r="12" spans="1:19" outlineLevel="1" x14ac:dyDescent="0.25">
      <c r="A12" s="284"/>
      <c r="B12" s="289" t="s">
        <v>556</v>
      </c>
      <c r="C12" s="289"/>
      <c r="D12" s="291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92"/>
      <c r="S12" s="295"/>
    </row>
    <row r="13" spans="1:19" collapsed="1" x14ac:dyDescent="0.25">
      <c r="A13" s="296"/>
      <c r="B13" s="297" t="s">
        <v>82</v>
      </c>
      <c r="C13" s="297"/>
      <c r="D13" s="298">
        <f>SUM(D6:D10)</f>
        <v>0</v>
      </c>
      <c r="E13" s="299">
        <f>SUM(E6:E10)</f>
        <v>0</v>
      </c>
      <c r="F13" s="299">
        <f>SUM(F6:F10)</f>
        <v>0</v>
      </c>
      <c r="G13" s="299">
        <f>SUM(G6:G10)</f>
        <v>0</v>
      </c>
      <c r="H13" s="299">
        <f>SUM(H6:H10)</f>
        <v>0</v>
      </c>
      <c r="I13" s="299">
        <f t="shared" ref="I13:P13" si="1">SUM(I6:I10)</f>
        <v>0</v>
      </c>
      <c r="J13" s="299">
        <f t="shared" si="1"/>
        <v>0</v>
      </c>
      <c r="K13" s="299">
        <f t="shared" si="1"/>
        <v>0</v>
      </c>
      <c r="L13" s="299">
        <f t="shared" si="1"/>
        <v>0</v>
      </c>
      <c r="M13" s="299">
        <f t="shared" si="1"/>
        <v>0</v>
      </c>
      <c r="N13" s="299">
        <f t="shared" si="1"/>
        <v>0</v>
      </c>
      <c r="O13" s="299">
        <f t="shared" si="1"/>
        <v>0</v>
      </c>
      <c r="P13" s="299">
        <f t="shared" si="1"/>
        <v>0</v>
      </c>
      <c r="Q13" s="300">
        <f>SUM(Q5:Q10)</f>
        <v>0</v>
      </c>
      <c r="S13" s="301">
        <f t="shared" si="0"/>
        <v>0</v>
      </c>
    </row>
    <row r="14" spans="1:19" x14ac:dyDescent="0.25">
      <c r="A14" s="248"/>
      <c r="B14" s="248"/>
      <c r="C14" s="248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S14" s="302"/>
    </row>
    <row r="15" spans="1:19" x14ac:dyDescent="0.25">
      <c r="A15" s="303" t="s">
        <v>95</v>
      </c>
      <c r="B15" s="304" t="s">
        <v>96</v>
      </c>
      <c r="C15" s="305"/>
      <c r="D15" s="306">
        <f t="shared" ref="D15:Q15" si="2">SUM(D16,D27,D34,D39,D50)</f>
        <v>0</v>
      </c>
      <c r="E15" s="307">
        <f t="shared" si="2"/>
        <v>0</v>
      </c>
      <c r="F15" s="307">
        <f t="shared" si="2"/>
        <v>0</v>
      </c>
      <c r="G15" s="307">
        <f t="shared" si="2"/>
        <v>0</v>
      </c>
      <c r="H15" s="307">
        <f t="shared" si="2"/>
        <v>0</v>
      </c>
      <c r="I15" s="307">
        <f t="shared" si="2"/>
        <v>0</v>
      </c>
      <c r="J15" s="307">
        <f t="shared" si="2"/>
        <v>0</v>
      </c>
      <c r="K15" s="307">
        <f t="shared" si="2"/>
        <v>0</v>
      </c>
      <c r="L15" s="307">
        <f t="shared" si="2"/>
        <v>0</v>
      </c>
      <c r="M15" s="307">
        <f t="shared" si="2"/>
        <v>0</v>
      </c>
      <c r="N15" s="307">
        <f t="shared" si="2"/>
        <v>0</v>
      </c>
      <c r="O15" s="307">
        <f t="shared" si="2"/>
        <v>0</v>
      </c>
      <c r="P15" s="307">
        <f t="shared" si="2"/>
        <v>0</v>
      </c>
      <c r="Q15" s="308">
        <f t="shared" si="2"/>
        <v>0</v>
      </c>
      <c r="S15" s="307">
        <f>SUM(S16,S27,S34,S39,S50)</f>
        <v>0</v>
      </c>
    </row>
    <row r="16" spans="1:19" outlineLevel="1" x14ac:dyDescent="0.25">
      <c r="A16" s="309" t="s">
        <v>97</v>
      </c>
      <c r="B16" s="310" t="s">
        <v>98</v>
      </c>
      <c r="C16" s="311"/>
      <c r="D16" s="312">
        <f>SUM(D17:D26)</f>
        <v>0</v>
      </c>
      <c r="E16" s="313">
        <f t="shared" ref="E16:P16" si="3">SUM(E17:E26)</f>
        <v>0</v>
      </c>
      <c r="F16" s="313">
        <f t="shared" si="3"/>
        <v>0</v>
      </c>
      <c r="G16" s="313">
        <f t="shared" si="3"/>
        <v>0</v>
      </c>
      <c r="H16" s="313">
        <f t="shared" si="3"/>
        <v>0</v>
      </c>
      <c r="I16" s="313">
        <f t="shared" si="3"/>
        <v>0</v>
      </c>
      <c r="J16" s="313">
        <f t="shared" si="3"/>
        <v>0</v>
      </c>
      <c r="K16" s="313">
        <f t="shared" si="3"/>
        <v>0</v>
      </c>
      <c r="L16" s="313">
        <f t="shared" si="3"/>
        <v>0</v>
      </c>
      <c r="M16" s="313">
        <f t="shared" si="3"/>
        <v>0</v>
      </c>
      <c r="N16" s="313">
        <f t="shared" si="3"/>
        <v>0</v>
      </c>
      <c r="O16" s="313">
        <f t="shared" si="3"/>
        <v>0</v>
      </c>
      <c r="P16" s="313">
        <f t="shared" si="3"/>
        <v>0</v>
      </c>
      <c r="Q16" s="308">
        <f>SUM(Q17:Q25)</f>
        <v>0</v>
      </c>
      <c r="S16" s="313">
        <f>SUM(S17:S25)</f>
        <v>0</v>
      </c>
    </row>
    <row r="17" spans="1:19" outlineLevel="1" x14ac:dyDescent="0.25">
      <c r="A17" s="314" t="s">
        <v>99</v>
      </c>
      <c r="B17" s="284" t="s">
        <v>98</v>
      </c>
      <c r="C17" s="284"/>
      <c r="D17" s="308"/>
      <c r="E17" s="239"/>
      <c r="F17" s="259"/>
      <c r="G17" s="259"/>
      <c r="H17" s="259"/>
      <c r="I17" s="259"/>
      <c r="J17" s="259"/>
      <c r="K17" s="259"/>
      <c r="L17" s="315"/>
      <c r="M17" s="259"/>
      <c r="N17" s="259"/>
      <c r="O17" s="259"/>
      <c r="P17" s="259"/>
      <c r="Q17" s="308">
        <f t="shared" ref="Q17:Q25" si="4">SUM(E17:P17)</f>
        <v>0</v>
      </c>
      <c r="S17" s="293">
        <f t="shared" ref="S17:S25" si="5">D17+Q17</f>
        <v>0</v>
      </c>
    </row>
    <row r="18" spans="1:19" outlineLevel="1" x14ac:dyDescent="0.25">
      <c r="A18" s="314" t="s">
        <v>100</v>
      </c>
      <c r="B18" s="284" t="s">
        <v>101</v>
      </c>
      <c r="C18" s="284"/>
      <c r="D18" s="308"/>
      <c r="E18" s="239"/>
      <c r="F18" s="259"/>
      <c r="G18" s="259"/>
      <c r="H18" s="259"/>
      <c r="I18" s="259"/>
      <c r="J18" s="259"/>
      <c r="K18" s="259"/>
      <c r="L18" s="315"/>
      <c r="M18" s="259"/>
      <c r="N18" s="259"/>
      <c r="O18" s="259"/>
      <c r="P18" s="259"/>
      <c r="Q18" s="308">
        <f t="shared" si="4"/>
        <v>0</v>
      </c>
      <c r="S18" s="293">
        <f t="shared" si="5"/>
        <v>0</v>
      </c>
    </row>
    <row r="19" spans="1:19" outlineLevel="1" x14ac:dyDescent="0.25">
      <c r="A19" s="314" t="s">
        <v>102</v>
      </c>
      <c r="B19" s="284" t="s">
        <v>103</v>
      </c>
      <c r="C19" s="284"/>
      <c r="D19" s="308"/>
      <c r="E19" s="23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308">
        <f t="shared" si="4"/>
        <v>0</v>
      </c>
      <c r="S19" s="293">
        <f t="shared" si="5"/>
        <v>0</v>
      </c>
    </row>
    <row r="20" spans="1:19" outlineLevel="1" x14ac:dyDescent="0.25">
      <c r="A20" s="314" t="s">
        <v>104</v>
      </c>
      <c r="B20" s="284" t="s">
        <v>105</v>
      </c>
      <c r="C20" s="284"/>
      <c r="D20" s="308"/>
      <c r="E20" s="23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308">
        <f t="shared" si="4"/>
        <v>0</v>
      </c>
      <c r="S20" s="293">
        <f t="shared" si="5"/>
        <v>0</v>
      </c>
    </row>
    <row r="21" spans="1:19" outlineLevel="1" x14ac:dyDescent="0.25">
      <c r="A21" s="314" t="s">
        <v>106</v>
      </c>
      <c r="B21" s="284" t="s">
        <v>107</v>
      </c>
      <c r="C21" s="284"/>
      <c r="D21" s="308"/>
      <c r="E21" s="23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308">
        <f t="shared" si="4"/>
        <v>0</v>
      </c>
      <c r="S21" s="293">
        <f t="shared" si="5"/>
        <v>0</v>
      </c>
    </row>
    <row r="22" spans="1:19" outlineLevel="1" x14ac:dyDescent="0.25">
      <c r="A22" s="314" t="s">
        <v>108</v>
      </c>
      <c r="B22" s="284" t="s">
        <v>109</v>
      </c>
      <c r="C22" s="284"/>
      <c r="D22" s="308"/>
      <c r="E22" s="23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308">
        <f t="shared" si="4"/>
        <v>0</v>
      </c>
      <c r="S22" s="293">
        <f t="shared" si="5"/>
        <v>0</v>
      </c>
    </row>
    <row r="23" spans="1:19" outlineLevel="1" x14ac:dyDescent="0.25">
      <c r="A23" s="314" t="s">
        <v>110</v>
      </c>
      <c r="B23" s="284" t="s">
        <v>111</v>
      </c>
      <c r="C23" s="284"/>
      <c r="D23" s="308"/>
      <c r="E23" s="23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308">
        <f t="shared" si="4"/>
        <v>0</v>
      </c>
      <c r="S23" s="293">
        <f t="shared" si="5"/>
        <v>0</v>
      </c>
    </row>
    <row r="24" spans="1:19" outlineLevel="1" x14ac:dyDescent="0.25">
      <c r="A24" s="314" t="s">
        <v>112</v>
      </c>
      <c r="B24" s="284" t="s">
        <v>113</v>
      </c>
      <c r="C24" s="284"/>
      <c r="D24" s="308"/>
      <c r="E24" s="23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308">
        <f t="shared" si="4"/>
        <v>0</v>
      </c>
      <c r="S24" s="293">
        <f t="shared" si="5"/>
        <v>0</v>
      </c>
    </row>
    <row r="25" spans="1:19" outlineLevel="1" x14ac:dyDescent="0.25">
      <c r="A25" s="314" t="s">
        <v>114</v>
      </c>
      <c r="B25" s="284" t="s">
        <v>115</v>
      </c>
      <c r="C25" s="284"/>
      <c r="D25" s="308"/>
      <c r="E25" s="23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308">
        <f t="shared" si="4"/>
        <v>0</v>
      </c>
      <c r="S25" s="293">
        <f t="shared" si="5"/>
        <v>0</v>
      </c>
    </row>
    <row r="26" spans="1:19" outlineLevel="1" x14ac:dyDescent="0.25">
      <c r="A26" s="314" t="s">
        <v>116</v>
      </c>
      <c r="B26" s="284" t="s">
        <v>117</v>
      </c>
      <c r="C26" s="284"/>
      <c r="D26" s="308"/>
      <c r="E26" s="23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308"/>
      <c r="S26" s="293"/>
    </row>
    <row r="27" spans="1:19" outlineLevel="1" x14ac:dyDescent="0.25">
      <c r="A27" s="309" t="s">
        <v>118</v>
      </c>
      <c r="B27" s="310" t="s">
        <v>119</v>
      </c>
      <c r="C27" s="311"/>
      <c r="D27" s="312">
        <f t="shared" ref="D27:Q27" si="6">SUM(D28:D33)</f>
        <v>0</v>
      </c>
      <c r="E27" s="313">
        <f t="shared" si="6"/>
        <v>0</v>
      </c>
      <c r="F27" s="313">
        <f t="shared" si="6"/>
        <v>0</v>
      </c>
      <c r="G27" s="313">
        <f t="shared" si="6"/>
        <v>0</v>
      </c>
      <c r="H27" s="313">
        <f t="shared" si="6"/>
        <v>0</v>
      </c>
      <c r="I27" s="313">
        <f t="shared" si="6"/>
        <v>0</v>
      </c>
      <c r="J27" s="313">
        <f t="shared" si="6"/>
        <v>0</v>
      </c>
      <c r="K27" s="313">
        <f t="shared" si="6"/>
        <v>0</v>
      </c>
      <c r="L27" s="313">
        <f t="shared" si="6"/>
        <v>0</v>
      </c>
      <c r="M27" s="313">
        <f t="shared" si="6"/>
        <v>0</v>
      </c>
      <c r="N27" s="313">
        <f t="shared" si="6"/>
        <v>0</v>
      </c>
      <c r="O27" s="313">
        <f t="shared" si="6"/>
        <v>0</v>
      </c>
      <c r="P27" s="313">
        <f t="shared" si="6"/>
        <v>0</v>
      </c>
      <c r="Q27" s="308">
        <f t="shared" si="6"/>
        <v>0</v>
      </c>
      <c r="S27" s="313">
        <f>SUM(S28:S33)</f>
        <v>0</v>
      </c>
    </row>
    <row r="28" spans="1:19" outlineLevel="1" x14ac:dyDescent="0.25">
      <c r="A28" s="314" t="s">
        <v>120</v>
      </c>
      <c r="B28" s="284" t="s">
        <v>121</v>
      </c>
      <c r="C28" s="284"/>
      <c r="D28" s="308"/>
      <c r="E28" s="239"/>
      <c r="F28" s="259"/>
      <c r="G28" s="259"/>
      <c r="H28" s="259"/>
      <c r="I28" s="259"/>
      <c r="J28" s="259"/>
      <c r="K28" s="259"/>
      <c r="L28" s="315"/>
      <c r="M28" s="259"/>
      <c r="N28" s="259"/>
      <c r="O28" s="259"/>
      <c r="P28" s="259"/>
      <c r="Q28" s="308">
        <f t="shared" ref="Q28:Q33" si="7">SUM(E28:P28)</f>
        <v>0</v>
      </c>
      <c r="S28" s="293">
        <f t="shared" ref="S28:S33" si="8">D28+Q28</f>
        <v>0</v>
      </c>
    </row>
    <row r="29" spans="1:19" outlineLevel="1" x14ac:dyDescent="0.25">
      <c r="A29" s="314" t="s">
        <v>122</v>
      </c>
      <c r="B29" s="284" t="s">
        <v>123</v>
      </c>
      <c r="C29" s="284"/>
      <c r="D29" s="308"/>
      <c r="E29" s="239"/>
      <c r="F29" s="259"/>
      <c r="G29" s="259"/>
      <c r="H29" s="259"/>
      <c r="I29" s="259"/>
      <c r="J29" s="259"/>
      <c r="K29" s="259"/>
      <c r="L29" s="315"/>
      <c r="M29" s="259"/>
      <c r="N29" s="259"/>
      <c r="O29" s="259"/>
      <c r="P29" s="259"/>
      <c r="Q29" s="308">
        <f t="shared" si="7"/>
        <v>0</v>
      </c>
      <c r="S29" s="293">
        <f t="shared" si="8"/>
        <v>0</v>
      </c>
    </row>
    <row r="30" spans="1:19" outlineLevel="1" x14ac:dyDescent="0.25">
      <c r="A30" s="314" t="s">
        <v>124</v>
      </c>
      <c r="B30" s="284" t="s">
        <v>125</v>
      </c>
      <c r="C30" s="284"/>
      <c r="D30" s="308"/>
      <c r="E30" s="239"/>
      <c r="F30" s="259"/>
      <c r="G30" s="259"/>
      <c r="H30" s="259"/>
      <c r="I30" s="259"/>
      <c r="J30" s="259"/>
      <c r="K30" s="259"/>
      <c r="L30" s="315"/>
      <c r="M30" s="259"/>
      <c r="N30" s="259"/>
      <c r="O30" s="259"/>
      <c r="P30" s="259"/>
      <c r="Q30" s="308">
        <f t="shared" si="7"/>
        <v>0</v>
      </c>
      <c r="S30" s="293">
        <f t="shared" si="8"/>
        <v>0</v>
      </c>
    </row>
    <row r="31" spans="1:19" outlineLevel="1" x14ac:dyDescent="0.25">
      <c r="A31" s="314" t="s">
        <v>126</v>
      </c>
      <c r="B31" s="284" t="s">
        <v>127</v>
      </c>
      <c r="C31" s="284"/>
      <c r="D31" s="308"/>
      <c r="E31" s="239"/>
      <c r="F31" s="259"/>
      <c r="G31" s="259"/>
      <c r="H31" s="259"/>
      <c r="I31" s="259"/>
      <c r="J31" s="259"/>
      <c r="K31" s="259"/>
      <c r="L31" s="315"/>
      <c r="M31" s="259"/>
      <c r="N31" s="259"/>
      <c r="O31" s="259"/>
      <c r="P31" s="259"/>
      <c r="Q31" s="308">
        <f t="shared" si="7"/>
        <v>0</v>
      </c>
      <c r="S31" s="293">
        <f t="shared" si="8"/>
        <v>0</v>
      </c>
    </row>
    <row r="32" spans="1:19" outlineLevel="1" x14ac:dyDescent="0.25">
      <c r="A32" s="314" t="s">
        <v>128</v>
      </c>
      <c r="B32" s="284" t="s">
        <v>129</v>
      </c>
      <c r="C32" s="284"/>
      <c r="D32" s="308"/>
      <c r="E32" s="239"/>
      <c r="F32" s="259"/>
      <c r="G32" s="259"/>
      <c r="H32" s="259"/>
      <c r="I32" s="259"/>
      <c r="J32" s="259"/>
      <c r="K32" s="259"/>
      <c r="L32" s="315"/>
      <c r="M32" s="259"/>
      <c r="N32" s="259"/>
      <c r="O32" s="259"/>
      <c r="P32" s="259"/>
      <c r="Q32" s="308">
        <f t="shared" si="7"/>
        <v>0</v>
      </c>
      <c r="S32" s="293">
        <f t="shared" si="8"/>
        <v>0</v>
      </c>
    </row>
    <row r="33" spans="1:19" outlineLevel="1" x14ac:dyDescent="0.25">
      <c r="A33" s="314" t="s">
        <v>130</v>
      </c>
      <c r="B33" s="284" t="s">
        <v>131</v>
      </c>
      <c r="C33" s="284"/>
      <c r="D33" s="308"/>
      <c r="E33" s="239"/>
      <c r="F33" s="259"/>
      <c r="G33" s="259"/>
      <c r="H33" s="259"/>
      <c r="I33" s="259"/>
      <c r="J33" s="259"/>
      <c r="K33" s="259"/>
      <c r="L33" s="315"/>
      <c r="M33" s="259"/>
      <c r="N33" s="259"/>
      <c r="O33" s="259"/>
      <c r="P33" s="259"/>
      <c r="Q33" s="308">
        <f t="shared" si="7"/>
        <v>0</v>
      </c>
      <c r="S33" s="293">
        <f t="shared" si="8"/>
        <v>0</v>
      </c>
    </row>
    <row r="34" spans="1:19" outlineLevel="1" x14ac:dyDescent="0.25">
      <c r="A34" s="309" t="s">
        <v>132</v>
      </c>
      <c r="B34" s="310" t="s">
        <v>133</v>
      </c>
      <c r="C34" s="311"/>
      <c r="D34" s="312">
        <f>SUM(D35:D38)</f>
        <v>0</v>
      </c>
      <c r="E34" s="313">
        <f t="shared" ref="E34:P34" si="9">SUM(E35:E38)</f>
        <v>0</v>
      </c>
      <c r="F34" s="313">
        <f t="shared" si="9"/>
        <v>0</v>
      </c>
      <c r="G34" s="313">
        <f t="shared" si="9"/>
        <v>0</v>
      </c>
      <c r="H34" s="313">
        <f t="shared" si="9"/>
        <v>0</v>
      </c>
      <c r="I34" s="313">
        <f t="shared" si="9"/>
        <v>0</v>
      </c>
      <c r="J34" s="313">
        <f t="shared" si="9"/>
        <v>0</v>
      </c>
      <c r="K34" s="313">
        <f t="shared" si="9"/>
        <v>0</v>
      </c>
      <c r="L34" s="313">
        <f t="shared" si="9"/>
        <v>0</v>
      </c>
      <c r="M34" s="313">
        <f t="shared" si="9"/>
        <v>0</v>
      </c>
      <c r="N34" s="313">
        <f t="shared" si="9"/>
        <v>0</v>
      </c>
      <c r="O34" s="313">
        <f t="shared" si="9"/>
        <v>0</v>
      </c>
      <c r="P34" s="313">
        <f t="shared" si="9"/>
        <v>0</v>
      </c>
      <c r="Q34" s="308">
        <f>SUM(Q35:Q37)</f>
        <v>0</v>
      </c>
      <c r="S34" s="313">
        <f>SUM(S35:S37)</f>
        <v>0</v>
      </c>
    </row>
    <row r="35" spans="1:19" outlineLevel="1" x14ac:dyDescent="0.25">
      <c r="A35" s="314" t="s">
        <v>134</v>
      </c>
      <c r="B35" s="284" t="s">
        <v>135</v>
      </c>
      <c r="C35" s="284"/>
      <c r="D35" s="308"/>
      <c r="E35" s="23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308">
        <f>SUM(E35:P35)</f>
        <v>0</v>
      </c>
      <c r="S35" s="293">
        <f>D35+Q35</f>
        <v>0</v>
      </c>
    </row>
    <row r="36" spans="1:19" outlineLevel="1" x14ac:dyDescent="0.25">
      <c r="A36" s="314" t="s">
        <v>136</v>
      </c>
      <c r="B36" s="284" t="s">
        <v>137</v>
      </c>
      <c r="C36" s="284"/>
      <c r="D36" s="308"/>
      <c r="E36" s="23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308">
        <f>SUM(E36:P36)</f>
        <v>0</v>
      </c>
      <c r="S36" s="293">
        <f>D36+Q36</f>
        <v>0</v>
      </c>
    </row>
    <row r="37" spans="1:19" outlineLevel="1" x14ac:dyDescent="0.25">
      <c r="A37" s="314" t="s">
        <v>138</v>
      </c>
      <c r="B37" s="284" t="s">
        <v>139</v>
      </c>
      <c r="C37" s="284"/>
      <c r="D37" s="308"/>
      <c r="E37" s="23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308">
        <f>SUM(E37:P37)</f>
        <v>0</v>
      </c>
      <c r="S37" s="293">
        <f>D37+Q37</f>
        <v>0</v>
      </c>
    </row>
    <row r="38" spans="1:19" outlineLevel="1" x14ac:dyDescent="0.25">
      <c r="A38" s="314" t="s">
        <v>140</v>
      </c>
      <c r="B38" s="284" t="s">
        <v>141</v>
      </c>
      <c r="C38" s="284"/>
      <c r="D38" s="308"/>
      <c r="E38" s="23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308"/>
      <c r="S38" s="293"/>
    </row>
    <row r="39" spans="1:19" outlineLevel="1" x14ac:dyDescent="0.25">
      <c r="A39" s="309" t="s">
        <v>142</v>
      </c>
      <c r="B39" s="310" t="s">
        <v>143</v>
      </c>
      <c r="C39" s="311"/>
      <c r="D39" s="312">
        <f t="shared" ref="D39:Q39" si="10">SUM(D40:D49)</f>
        <v>0</v>
      </c>
      <c r="E39" s="313">
        <f t="shared" si="10"/>
        <v>0</v>
      </c>
      <c r="F39" s="313">
        <f t="shared" si="10"/>
        <v>0</v>
      </c>
      <c r="G39" s="313">
        <f t="shared" si="10"/>
        <v>0</v>
      </c>
      <c r="H39" s="313">
        <f t="shared" si="10"/>
        <v>0</v>
      </c>
      <c r="I39" s="313">
        <f t="shared" si="10"/>
        <v>0</v>
      </c>
      <c r="J39" s="313">
        <f t="shared" si="10"/>
        <v>0</v>
      </c>
      <c r="K39" s="313">
        <f t="shared" si="10"/>
        <v>0</v>
      </c>
      <c r="L39" s="313">
        <f t="shared" si="10"/>
        <v>0</v>
      </c>
      <c r="M39" s="313">
        <f t="shared" si="10"/>
        <v>0</v>
      </c>
      <c r="N39" s="313">
        <f t="shared" si="10"/>
        <v>0</v>
      </c>
      <c r="O39" s="313">
        <f t="shared" si="10"/>
        <v>0</v>
      </c>
      <c r="P39" s="313">
        <f t="shared" si="10"/>
        <v>0</v>
      </c>
      <c r="Q39" s="308">
        <f t="shared" si="10"/>
        <v>0</v>
      </c>
      <c r="S39" s="313">
        <f>SUM(S40:S49)</f>
        <v>0</v>
      </c>
    </row>
    <row r="40" spans="1:19" outlineLevel="1" x14ac:dyDescent="0.25">
      <c r="A40" s="314" t="s">
        <v>144</v>
      </c>
      <c r="B40" s="284" t="s">
        <v>145</v>
      </c>
      <c r="C40" s="284"/>
      <c r="D40" s="308"/>
      <c r="E40" s="239"/>
      <c r="F40" s="259"/>
      <c r="G40" s="259"/>
      <c r="H40" s="259"/>
      <c r="I40" s="259"/>
      <c r="J40" s="259"/>
      <c r="K40" s="259"/>
      <c r="L40" s="315"/>
      <c r="M40" s="259"/>
      <c r="N40" s="259"/>
      <c r="O40" s="259"/>
      <c r="P40" s="259"/>
      <c r="Q40" s="308">
        <f t="shared" ref="Q40:Q49" si="11">SUM(E40:P40)</f>
        <v>0</v>
      </c>
      <c r="S40" s="293">
        <f t="shared" ref="S40:S49" si="12">D40+Q40</f>
        <v>0</v>
      </c>
    </row>
    <row r="41" spans="1:19" outlineLevel="1" x14ac:dyDescent="0.25">
      <c r="A41" s="314" t="s">
        <v>146</v>
      </c>
      <c r="B41" s="284" t="s">
        <v>147</v>
      </c>
      <c r="C41" s="284"/>
      <c r="D41" s="308"/>
      <c r="E41" s="239"/>
      <c r="F41" s="259"/>
      <c r="G41" s="259"/>
      <c r="H41" s="259"/>
      <c r="I41" s="259"/>
      <c r="J41" s="259"/>
      <c r="K41" s="259"/>
      <c r="L41" s="315"/>
      <c r="M41" s="259"/>
      <c r="N41" s="259"/>
      <c r="O41" s="259"/>
      <c r="P41" s="259"/>
      <c r="Q41" s="308">
        <f t="shared" si="11"/>
        <v>0</v>
      </c>
      <c r="S41" s="293">
        <f t="shared" si="12"/>
        <v>0</v>
      </c>
    </row>
    <row r="42" spans="1:19" outlineLevel="1" x14ac:dyDescent="0.25">
      <c r="A42" s="314" t="s">
        <v>148</v>
      </c>
      <c r="B42" s="284" t="s">
        <v>149</v>
      </c>
      <c r="C42" s="284"/>
      <c r="D42" s="308"/>
      <c r="E42" s="239"/>
      <c r="F42" s="259"/>
      <c r="G42" s="259"/>
      <c r="H42" s="259"/>
      <c r="I42" s="259"/>
      <c r="J42" s="259"/>
      <c r="K42" s="259"/>
      <c r="L42" s="315"/>
      <c r="M42" s="259"/>
      <c r="N42" s="259"/>
      <c r="O42" s="259"/>
      <c r="P42" s="259"/>
      <c r="Q42" s="308">
        <f t="shared" si="11"/>
        <v>0</v>
      </c>
      <c r="S42" s="293">
        <f t="shared" si="12"/>
        <v>0</v>
      </c>
    </row>
    <row r="43" spans="1:19" outlineLevel="1" x14ac:dyDescent="0.25">
      <c r="A43" s="314" t="s">
        <v>150</v>
      </c>
      <c r="B43" s="284" t="s">
        <v>151</v>
      </c>
      <c r="C43" s="284"/>
      <c r="D43" s="308"/>
      <c r="E43" s="239"/>
      <c r="F43" s="259"/>
      <c r="G43" s="259"/>
      <c r="H43" s="259"/>
      <c r="I43" s="259"/>
      <c r="J43" s="259"/>
      <c r="K43" s="259"/>
      <c r="L43" s="315"/>
      <c r="M43" s="259"/>
      <c r="N43" s="259"/>
      <c r="O43" s="259"/>
      <c r="P43" s="259"/>
      <c r="Q43" s="308">
        <f t="shared" si="11"/>
        <v>0</v>
      </c>
      <c r="S43" s="293">
        <f t="shared" si="12"/>
        <v>0</v>
      </c>
    </row>
    <row r="44" spans="1:19" outlineLevel="1" x14ac:dyDescent="0.25">
      <c r="A44" s="314" t="s">
        <v>152</v>
      </c>
      <c r="B44" s="284" t="s">
        <v>153</v>
      </c>
      <c r="C44" s="284"/>
      <c r="D44" s="308"/>
      <c r="E44" s="239"/>
      <c r="F44" s="259"/>
      <c r="G44" s="259"/>
      <c r="H44" s="259"/>
      <c r="I44" s="259"/>
      <c r="J44" s="259"/>
      <c r="K44" s="259"/>
      <c r="L44" s="315"/>
      <c r="M44" s="259"/>
      <c r="N44" s="259"/>
      <c r="O44" s="259"/>
      <c r="P44" s="259"/>
      <c r="Q44" s="308">
        <f t="shared" si="11"/>
        <v>0</v>
      </c>
      <c r="S44" s="293">
        <f t="shared" si="12"/>
        <v>0</v>
      </c>
    </row>
    <row r="45" spans="1:19" outlineLevel="1" x14ac:dyDescent="0.25">
      <c r="A45" s="314" t="s">
        <v>154</v>
      </c>
      <c r="B45" s="284" t="s">
        <v>155</v>
      </c>
      <c r="C45" s="284"/>
      <c r="D45" s="308"/>
      <c r="E45" s="239"/>
      <c r="F45" s="259"/>
      <c r="G45" s="259"/>
      <c r="H45" s="259"/>
      <c r="I45" s="259"/>
      <c r="J45" s="259"/>
      <c r="K45" s="259"/>
      <c r="L45" s="315"/>
      <c r="M45" s="259"/>
      <c r="N45" s="259"/>
      <c r="O45" s="259"/>
      <c r="P45" s="259"/>
      <c r="Q45" s="308">
        <f t="shared" si="11"/>
        <v>0</v>
      </c>
      <c r="S45" s="293">
        <f t="shared" si="12"/>
        <v>0</v>
      </c>
    </row>
    <row r="46" spans="1:19" outlineLevel="1" x14ac:dyDescent="0.25">
      <c r="A46" s="314" t="s">
        <v>156</v>
      </c>
      <c r="B46" s="284" t="s">
        <v>157</v>
      </c>
      <c r="C46" s="284"/>
      <c r="D46" s="308"/>
      <c r="E46" s="239"/>
      <c r="F46" s="259"/>
      <c r="G46" s="259"/>
      <c r="H46" s="259"/>
      <c r="I46" s="259"/>
      <c r="J46" s="259"/>
      <c r="K46" s="259"/>
      <c r="L46" s="315"/>
      <c r="M46" s="259"/>
      <c r="N46" s="259"/>
      <c r="O46" s="259"/>
      <c r="P46" s="259"/>
      <c r="Q46" s="308">
        <f t="shared" si="11"/>
        <v>0</v>
      </c>
      <c r="S46" s="293">
        <f t="shared" si="12"/>
        <v>0</v>
      </c>
    </row>
    <row r="47" spans="1:19" outlineLevel="1" x14ac:dyDescent="0.25">
      <c r="A47" s="314" t="s">
        <v>158</v>
      </c>
      <c r="B47" s="284" t="s">
        <v>159</v>
      </c>
      <c r="C47" s="284"/>
      <c r="D47" s="308"/>
      <c r="E47" s="239"/>
      <c r="F47" s="259"/>
      <c r="G47" s="259"/>
      <c r="H47" s="259"/>
      <c r="I47" s="259"/>
      <c r="J47" s="259"/>
      <c r="K47" s="259"/>
      <c r="L47" s="315"/>
      <c r="M47" s="259"/>
      <c r="N47" s="259"/>
      <c r="O47" s="259"/>
      <c r="P47" s="259"/>
      <c r="Q47" s="308">
        <f t="shared" si="11"/>
        <v>0</v>
      </c>
      <c r="S47" s="293">
        <f t="shared" si="12"/>
        <v>0</v>
      </c>
    </row>
    <row r="48" spans="1:19" outlineLevel="1" x14ac:dyDescent="0.25">
      <c r="A48" s="314" t="s">
        <v>160</v>
      </c>
      <c r="B48" s="284" t="s">
        <v>161</v>
      </c>
      <c r="C48" s="284"/>
      <c r="D48" s="308"/>
      <c r="E48" s="239"/>
      <c r="F48" s="259"/>
      <c r="G48" s="259"/>
      <c r="H48" s="259"/>
      <c r="I48" s="259"/>
      <c r="J48" s="259"/>
      <c r="K48" s="259"/>
      <c r="L48" s="315"/>
      <c r="M48" s="259"/>
      <c r="N48" s="259"/>
      <c r="O48" s="259"/>
      <c r="P48" s="259"/>
      <c r="Q48" s="308">
        <f t="shared" si="11"/>
        <v>0</v>
      </c>
      <c r="S48" s="293">
        <f t="shared" si="12"/>
        <v>0</v>
      </c>
    </row>
    <row r="49" spans="1:19" outlineLevel="1" x14ac:dyDescent="0.25">
      <c r="A49" s="314" t="s">
        <v>162</v>
      </c>
      <c r="B49" s="284" t="s">
        <v>163</v>
      </c>
      <c r="C49" s="284"/>
      <c r="D49" s="308"/>
      <c r="E49" s="239"/>
      <c r="F49" s="259"/>
      <c r="G49" s="259"/>
      <c r="H49" s="259"/>
      <c r="I49" s="259"/>
      <c r="J49" s="259"/>
      <c r="K49" s="259"/>
      <c r="L49" s="315"/>
      <c r="M49" s="259"/>
      <c r="N49" s="259"/>
      <c r="O49" s="259"/>
      <c r="P49" s="259"/>
      <c r="Q49" s="308">
        <f t="shared" si="11"/>
        <v>0</v>
      </c>
      <c r="S49" s="293">
        <f t="shared" si="12"/>
        <v>0</v>
      </c>
    </row>
    <row r="50" spans="1:19" outlineLevel="1" x14ac:dyDescent="0.25">
      <c r="A50" s="309" t="s">
        <v>180</v>
      </c>
      <c r="B50" s="310" t="s">
        <v>181</v>
      </c>
      <c r="C50" s="311"/>
      <c r="D50" s="312">
        <f t="shared" ref="D50:Q50" si="13">SUM(D51:D58)</f>
        <v>0</v>
      </c>
      <c r="E50" s="313">
        <f t="shared" si="13"/>
        <v>0</v>
      </c>
      <c r="F50" s="313">
        <f t="shared" si="13"/>
        <v>0</v>
      </c>
      <c r="G50" s="313">
        <f t="shared" si="13"/>
        <v>0</v>
      </c>
      <c r="H50" s="313">
        <f t="shared" si="13"/>
        <v>0</v>
      </c>
      <c r="I50" s="313">
        <f t="shared" si="13"/>
        <v>0</v>
      </c>
      <c r="J50" s="313">
        <f t="shared" si="13"/>
        <v>0</v>
      </c>
      <c r="K50" s="313">
        <f t="shared" si="13"/>
        <v>0</v>
      </c>
      <c r="L50" s="313">
        <f t="shared" si="13"/>
        <v>0</v>
      </c>
      <c r="M50" s="313">
        <f t="shared" si="13"/>
        <v>0</v>
      </c>
      <c r="N50" s="313">
        <f t="shared" si="13"/>
        <v>0</v>
      </c>
      <c r="O50" s="313">
        <f t="shared" si="13"/>
        <v>0</v>
      </c>
      <c r="P50" s="313">
        <f t="shared" si="13"/>
        <v>0</v>
      </c>
      <c r="Q50" s="308">
        <f t="shared" si="13"/>
        <v>0</v>
      </c>
      <c r="S50" s="313">
        <f>SUM(S51:S58)</f>
        <v>0</v>
      </c>
    </row>
    <row r="51" spans="1:19" outlineLevel="1" x14ac:dyDescent="0.25">
      <c r="A51" s="314" t="s">
        <v>182</v>
      </c>
      <c r="B51" s="284" t="s">
        <v>183</v>
      </c>
      <c r="C51" s="284"/>
      <c r="D51" s="308"/>
      <c r="E51" s="23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308">
        <f t="shared" ref="Q51:Q58" si="14">SUM(E51:P51)</f>
        <v>0</v>
      </c>
      <c r="S51" s="293">
        <f t="shared" ref="S51:S58" si="15">D51+Q51</f>
        <v>0</v>
      </c>
    </row>
    <row r="52" spans="1:19" outlineLevel="1" x14ac:dyDescent="0.25">
      <c r="A52" s="314" t="s">
        <v>184</v>
      </c>
      <c r="B52" s="284" t="s">
        <v>185</v>
      </c>
      <c r="C52" s="284"/>
      <c r="D52" s="308"/>
      <c r="E52" s="23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308">
        <f t="shared" si="14"/>
        <v>0</v>
      </c>
      <c r="S52" s="293">
        <f t="shared" si="15"/>
        <v>0</v>
      </c>
    </row>
    <row r="53" spans="1:19" outlineLevel="1" x14ac:dyDescent="0.25">
      <c r="A53" s="314" t="s">
        <v>186</v>
      </c>
      <c r="B53" s="284" t="s">
        <v>187</v>
      </c>
      <c r="C53" s="284"/>
      <c r="D53" s="308"/>
      <c r="E53" s="23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308">
        <f t="shared" si="14"/>
        <v>0</v>
      </c>
      <c r="S53" s="293">
        <f t="shared" si="15"/>
        <v>0</v>
      </c>
    </row>
    <row r="54" spans="1:19" outlineLevel="1" x14ac:dyDescent="0.25">
      <c r="A54" s="314" t="s">
        <v>188</v>
      </c>
      <c r="B54" s="284" t="s">
        <v>189</v>
      </c>
      <c r="C54" s="284"/>
      <c r="D54" s="308"/>
      <c r="E54" s="23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308">
        <f t="shared" si="14"/>
        <v>0</v>
      </c>
      <c r="S54" s="293">
        <f t="shared" si="15"/>
        <v>0</v>
      </c>
    </row>
    <row r="55" spans="1:19" outlineLevel="1" x14ac:dyDescent="0.25">
      <c r="A55" s="314" t="s">
        <v>190</v>
      </c>
      <c r="B55" s="284" t="s">
        <v>191</v>
      </c>
      <c r="C55" s="284"/>
      <c r="D55" s="308"/>
      <c r="E55" s="23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308">
        <f t="shared" si="14"/>
        <v>0</v>
      </c>
      <c r="S55" s="293">
        <f t="shared" si="15"/>
        <v>0</v>
      </c>
    </row>
    <row r="56" spans="1:19" outlineLevel="1" x14ac:dyDescent="0.25">
      <c r="A56" s="314" t="s">
        <v>192</v>
      </c>
      <c r="B56" s="284" t="s">
        <v>193</v>
      </c>
      <c r="C56" s="284"/>
      <c r="D56" s="308"/>
      <c r="E56" s="23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308">
        <f t="shared" si="14"/>
        <v>0</v>
      </c>
      <c r="S56" s="293">
        <f t="shared" si="15"/>
        <v>0</v>
      </c>
    </row>
    <row r="57" spans="1:19" outlineLevel="1" x14ac:dyDescent="0.25">
      <c r="A57" s="314" t="s">
        <v>194</v>
      </c>
      <c r="B57" s="284" t="s">
        <v>195</v>
      </c>
      <c r="C57" s="284"/>
      <c r="D57" s="308"/>
      <c r="E57" s="23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308">
        <f t="shared" si="14"/>
        <v>0</v>
      </c>
      <c r="S57" s="293">
        <f t="shared" si="15"/>
        <v>0</v>
      </c>
    </row>
    <row r="58" spans="1:19" outlineLevel="1" x14ac:dyDescent="0.25">
      <c r="A58" s="314" t="s">
        <v>196</v>
      </c>
      <c r="B58" s="284" t="s">
        <v>197</v>
      </c>
      <c r="C58" s="284"/>
      <c r="D58" s="308"/>
      <c r="E58" s="23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308">
        <f t="shared" si="14"/>
        <v>0</v>
      </c>
      <c r="S58" s="293">
        <f t="shared" si="15"/>
        <v>0</v>
      </c>
    </row>
    <row r="59" spans="1:19" x14ac:dyDescent="0.25">
      <c r="A59" s="303" t="s">
        <v>198</v>
      </c>
      <c r="B59" s="304" t="s">
        <v>199</v>
      </c>
      <c r="C59" s="305"/>
      <c r="D59" s="306">
        <f>SUM(D60,D63,D66,D70,D73,D75)</f>
        <v>0</v>
      </c>
      <c r="E59" s="307">
        <f>SUM(E60,E63,E66,E70,E73,E75)</f>
        <v>0</v>
      </c>
      <c r="F59" s="307">
        <f t="shared" ref="F59:P59" si="16">SUM(F60,F63,F66,F70,F73,F75)</f>
        <v>0</v>
      </c>
      <c r="G59" s="307">
        <f t="shared" si="16"/>
        <v>0</v>
      </c>
      <c r="H59" s="307">
        <f t="shared" si="16"/>
        <v>0</v>
      </c>
      <c r="I59" s="307">
        <f t="shared" si="16"/>
        <v>0</v>
      </c>
      <c r="J59" s="307">
        <f t="shared" si="16"/>
        <v>0</v>
      </c>
      <c r="K59" s="307">
        <f t="shared" si="16"/>
        <v>0</v>
      </c>
      <c r="L59" s="307">
        <f t="shared" si="16"/>
        <v>0</v>
      </c>
      <c r="M59" s="307">
        <f t="shared" si="16"/>
        <v>0</v>
      </c>
      <c r="N59" s="307">
        <f t="shared" si="16"/>
        <v>0</v>
      </c>
      <c r="O59" s="307">
        <f t="shared" si="16"/>
        <v>0</v>
      </c>
      <c r="P59" s="307">
        <f t="shared" si="16"/>
        <v>0</v>
      </c>
      <c r="Q59" s="308">
        <f>SUM(Q60,Q66,Q70,Q73)</f>
        <v>0</v>
      </c>
      <c r="S59" s="307">
        <f>SUM(S60,S66,S70,S73)</f>
        <v>0</v>
      </c>
    </row>
    <row r="60" spans="1:19" outlineLevel="1" x14ac:dyDescent="0.25">
      <c r="A60" s="309" t="s">
        <v>170</v>
      </c>
      <c r="B60" s="310" t="s">
        <v>171</v>
      </c>
      <c r="C60" s="311"/>
      <c r="D60" s="312">
        <f>SUM(D61:D62)</f>
        <v>0</v>
      </c>
      <c r="E60" s="313">
        <f>SUM(E61:E62)</f>
        <v>0</v>
      </c>
      <c r="F60" s="313">
        <f t="shared" ref="F60:P60" si="17">SUM(F61:F62)</f>
        <v>0</v>
      </c>
      <c r="G60" s="313">
        <f t="shared" si="17"/>
        <v>0</v>
      </c>
      <c r="H60" s="313">
        <f t="shared" si="17"/>
        <v>0</v>
      </c>
      <c r="I60" s="313">
        <f t="shared" si="17"/>
        <v>0</v>
      </c>
      <c r="J60" s="313">
        <f t="shared" si="17"/>
        <v>0</v>
      </c>
      <c r="K60" s="313">
        <f t="shared" si="17"/>
        <v>0</v>
      </c>
      <c r="L60" s="313">
        <f t="shared" si="17"/>
        <v>0</v>
      </c>
      <c r="M60" s="313">
        <f t="shared" si="17"/>
        <v>0</v>
      </c>
      <c r="N60" s="313">
        <f t="shared" si="17"/>
        <v>0</v>
      </c>
      <c r="O60" s="313">
        <f t="shared" si="17"/>
        <v>0</v>
      </c>
      <c r="P60" s="313">
        <f t="shared" si="17"/>
        <v>0</v>
      </c>
      <c r="Q60" s="308">
        <f>SUM(Q61:Q62)</f>
        <v>0</v>
      </c>
      <c r="S60" s="313">
        <f>SUM(S61:S62)</f>
        <v>0</v>
      </c>
    </row>
    <row r="61" spans="1:19" outlineLevel="1" x14ac:dyDescent="0.25">
      <c r="A61" s="314" t="s">
        <v>172</v>
      </c>
      <c r="B61" s="284" t="s">
        <v>557</v>
      </c>
      <c r="C61" s="284"/>
      <c r="D61" s="308"/>
      <c r="E61" s="239"/>
      <c r="F61" s="259"/>
      <c r="G61" s="259"/>
      <c r="H61" s="259"/>
      <c r="I61" s="259"/>
      <c r="J61" s="259"/>
      <c r="K61" s="259"/>
      <c r="L61" s="315"/>
      <c r="M61" s="259"/>
      <c r="N61" s="259"/>
      <c r="O61" s="259"/>
      <c r="P61" s="259"/>
      <c r="Q61" s="308">
        <f t="shared" ref="Q61:Q69" si="18">SUM(E61:P61)</f>
        <v>0</v>
      </c>
      <c r="S61" s="293">
        <f t="shared" ref="S61:S69" si="19">D61+Q61</f>
        <v>0</v>
      </c>
    </row>
    <row r="62" spans="1:19" outlineLevel="1" x14ac:dyDescent="0.25">
      <c r="A62" s="314" t="s">
        <v>178</v>
      </c>
      <c r="B62" s="284" t="s">
        <v>179</v>
      </c>
      <c r="C62" s="284"/>
      <c r="D62" s="308"/>
      <c r="E62" s="23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308">
        <f t="shared" si="18"/>
        <v>0</v>
      </c>
      <c r="S62" s="293">
        <f t="shared" si="19"/>
        <v>0</v>
      </c>
    </row>
    <row r="63" spans="1:19" outlineLevel="1" x14ac:dyDescent="0.25">
      <c r="A63" s="316" t="s">
        <v>200</v>
      </c>
      <c r="B63" s="317" t="s">
        <v>201</v>
      </c>
      <c r="C63" s="317"/>
      <c r="D63" s="312">
        <f>SUM(D64:D65)</f>
        <v>0</v>
      </c>
      <c r="E63" s="318">
        <f>SUM(E64:E65)</f>
        <v>0</v>
      </c>
      <c r="F63" s="318">
        <f t="shared" ref="F63:P63" si="20">SUM(F64:F65)</f>
        <v>0</v>
      </c>
      <c r="G63" s="318">
        <f t="shared" si="20"/>
        <v>0</v>
      </c>
      <c r="H63" s="318">
        <f t="shared" si="20"/>
        <v>0</v>
      </c>
      <c r="I63" s="318">
        <f t="shared" si="20"/>
        <v>0</v>
      </c>
      <c r="J63" s="318">
        <f t="shared" si="20"/>
        <v>0</v>
      </c>
      <c r="K63" s="318">
        <f t="shared" si="20"/>
        <v>0</v>
      </c>
      <c r="L63" s="318">
        <f t="shared" si="20"/>
        <v>0</v>
      </c>
      <c r="M63" s="318">
        <f t="shared" si="20"/>
        <v>0</v>
      </c>
      <c r="N63" s="318">
        <f t="shared" si="20"/>
        <v>0</v>
      </c>
      <c r="O63" s="318">
        <f t="shared" si="20"/>
        <v>0</v>
      </c>
      <c r="P63" s="318">
        <f t="shared" si="20"/>
        <v>0</v>
      </c>
      <c r="Q63" s="308">
        <f t="shared" si="18"/>
        <v>0</v>
      </c>
      <c r="S63" s="293">
        <f t="shared" si="19"/>
        <v>0</v>
      </c>
    </row>
    <row r="64" spans="1:19" outlineLevel="1" x14ac:dyDescent="0.25">
      <c r="A64" s="314" t="s">
        <v>202</v>
      </c>
      <c r="B64" s="284" t="s">
        <v>203</v>
      </c>
      <c r="C64" s="284"/>
      <c r="D64" s="308"/>
      <c r="E64" s="23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308">
        <f t="shared" si="18"/>
        <v>0</v>
      </c>
      <c r="S64" s="293">
        <f t="shared" si="19"/>
        <v>0</v>
      </c>
    </row>
    <row r="65" spans="1:19" outlineLevel="1" x14ac:dyDescent="0.25">
      <c r="A65" s="314" t="s">
        <v>204</v>
      </c>
      <c r="B65" s="284" t="s">
        <v>205</v>
      </c>
      <c r="C65" s="284"/>
      <c r="D65" s="308"/>
      <c r="E65" s="23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308">
        <f t="shared" si="18"/>
        <v>0</v>
      </c>
      <c r="S65" s="293">
        <f t="shared" si="19"/>
        <v>0</v>
      </c>
    </row>
    <row r="66" spans="1:19" outlineLevel="1" x14ac:dyDescent="0.25">
      <c r="A66" s="309" t="s">
        <v>208</v>
      </c>
      <c r="B66" s="310" t="s">
        <v>209</v>
      </c>
      <c r="C66" s="311"/>
      <c r="D66" s="312">
        <f t="shared" ref="D66:P66" si="21">SUM(D67:D69)</f>
        <v>0</v>
      </c>
      <c r="E66" s="313">
        <f t="shared" si="21"/>
        <v>0</v>
      </c>
      <c r="F66" s="313">
        <f t="shared" si="21"/>
        <v>0</v>
      </c>
      <c r="G66" s="313">
        <f t="shared" si="21"/>
        <v>0</v>
      </c>
      <c r="H66" s="313">
        <f t="shared" si="21"/>
        <v>0</v>
      </c>
      <c r="I66" s="313">
        <f t="shared" si="21"/>
        <v>0</v>
      </c>
      <c r="J66" s="313">
        <f t="shared" si="21"/>
        <v>0</v>
      </c>
      <c r="K66" s="313">
        <f t="shared" si="21"/>
        <v>0</v>
      </c>
      <c r="L66" s="313">
        <f t="shared" si="21"/>
        <v>0</v>
      </c>
      <c r="M66" s="313">
        <f t="shared" si="21"/>
        <v>0</v>
      </c>
      <c r="N66" s="313">
        <f t="shared" si="21"/>
        <v>0</v>
      </c>
      <c r="O66" s="313">
        <f t="shared" si="21"/>
        <v>0</v>
      </c>
      <c r="P66" s="313">
        <f t="shared" si="21"/>
        <v>0</v>
      </c>
      <c r="Q66" s="308">
        <f t="shared" si="18"/>
        <v>0</v>
      </c>
      <c r="S66" s="293">
        <f t="shared" si="19"/>
        <v>0</v>
      </c>
    </row>
    <row r="67" spans="1:19" outlineLevel="1" x14ac:dyDescent="0.25">
      <c r="A67" s="314" t="s">
        <v>210</v>
      </c>
      <c r="B67" s="284" t="s">
        <v>211</v>
      </c>
      <c r="C67" s="284"/>
      <c r="D67" s="308"/>
      <c r="E67" s="23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308">
        <f t="shared" si="18"/>
        <v>0</v>
      </c>
      <c r="S67" s="293">
        <f t="shared" si="19"/>
        <v>0</v>
      </c>
    </row>
    <row r="68" spans="1:19" outlineLevel="1" x14ac:dyDescent="0.25">
      <c r="A68" s="314" t="s">
        <v>212</v>
      </c>
      <c r="B68" s="284" t="s">
        <v>213</v>
      </c>
      <c r="C68" s="284"/>
      <c r="D68" s="308"/>
      <c r="E68" s="23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308">
        <f t="shared" si="18"/>
        <v>0</v>
      </c>
      <c r="S68" s="293">
        <f t="shared" si="19"/>
        <v>0</v>
      </c>
    </row>
    <row r="69" spans="1:19" outlineLevel="1" x14ac:dyDescent="0.25">
      <c r="A69" s="314" t="s">
        <v>214</v>
      </c>
      <c r="B69" s="284" t="s">
        <v>215</v>
      </c>
      <c r="C69" s="284"/>
      <c r="D69" s="308"/>
      <c r="E69" s="23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308">
        <f t="shared" si="18"/>
        <v>0</v>
      </c>
      <c r="S69" s="293">
        <f t="shared" si="19"/>
        <v>0</v>
      </c>
    </row>
    <row r="70" spans="1:19" outlineLevel="1" x14ac:dyDescent="0.25">
      <c r="A70" s="309" t="s">
        <v>164</v>
      </c>
      <c r="B70" s="310" t="s">
        <v>543</v>
      </c>
      <c r="C70" s="311"/>
      <c r="D70" s="312">
        <f t="shared" ref="D70:Q70" si="22">SUM(D71:D72)</f>
        <v>0</v>
      </c>
      <c r="E70" s="313">
        <f t="shared" si="22"/>
        <v>0</v>
      </c>
      <c r="F70" s="313">
        <f t="shared" si="22"/>
        <v>0</v>
      </c>
      <c r="G70" s="313">
        <f t="shared" si="22"/>
        <v>0</v>
      </c>
      <c r="H70" s="313">
        <f t="shared" si="22"/>
        <v>0</v>
      </c>
      <c r="I70" s="313">
        <f t="shared" si="22"/>
        <v>0</v>
      </c>
      <c r="J70" s="313">
        <f t="shared" si="22"/>
        <v>0</v>
      </c>
      <c r="K70" s="313">
        <f t="shared" si="22"/>
        <v>0</v>
      </c>
      <c r="L70" s="313">
        <f t="shared" si="22"/>
        <v>0</v>
      </c>
      <c r="M70" s="313">
        <f t="shared" si="22"/>
        <v>0</v>
      </c>
      <c r="N70" s="313">
        <f t="shared" si="22"/>
        <v>0</v>
      </c>
      <c r="O70" s="313">
        <f t="shared" si="22"/>
        <v>0</v>
      </c>
      <c r="P70" s="313">
        <f t="shared" si="22"/>
        <v>0</v>
      </c>
      <c r="Q70" s="308">
        <f t="shared" si="22"/>
        <v>0</v>
      </c>
      <c r="S70" s="313">
        <f>SUM(S71:S72)</f>
        <v>0</v>
      </c>
    </row>
    <row r="71" spans="1:19" outlineLevel="1" x14ac:dyDescent="0.25">
      <c r="A71" s="314" t="s">
        <v>166</v>
      </c>
      <c r="B71" s="284" t="s">
        <v>167</v>
      </c>
      <c r="C71" s="284"/>
      <c r="D71" s="308"/>
      <c r="E71" s="239">
        <v>0</v>
      </c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308">
        <f>SUM(E71:P71)</f>
        <v>0</v>
      </c>
      <c r="S71" s="293">
        <f>D71+Q71</f>
        <v>0</v>
      </c>
    </row>
    <row r="72" spans="1:19" outlineLevel="1" x14ac:dyDescent="0.25">
      <c r="A72" s="314" t="s">
        <v>168</v>
      </c>
      <c r="B72" s="284" t="s">
        <v>169</v>
      </c>
      <c r="C72" s="284"/>
      <c r="D72" s="308"/>
      <c r="E72" s="239">
        <v>0</v>
      </c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308">
        <f>SUM(E72:P72)</f>
        <v>0</v>
      </c>
      <c r="S72" s="293">
        <f>D72+Q72</f>
        <v>0</v>
      </c>
    </row>
    <row r="73" spans="1:19" outlineLevel="1" x14ac:dyDescent="0.25">
      <c r="A73" s="319" t="s">
        <v>216</v>
      </c>
      <c r="B73" s="310" t="s">
        <v>217</v>
      </c>
      <c r="C73" s="311"/>
      <c r="D73" s="312">
        <f t="shared" ref="D73:Q73" si="23">SUM(D74)</f>
        <v>0</v>
      </c>
      <c r="E73" s="313">
        <f t="shared" si="23"/>
        <v>0</v>
      </c>
      <c r="F73" s="313">
        <f t="shared" si="23"/>
        <v>0</v>
      </c>
      <c r="G73" s="313">
        <f t="shared" si="23"/>
        <v>0</v>
      </c>
      <c r="H73" s="313">
        <f t="shared" si="23"/>
        <v>0</v>
      </c>
      <c r="I73" s="313">
        <f t="shared" si="23"/>
        <v>0</v>
      </c>
      <c r="J73" s="313">
        <f t="shared" si="23"/>
        <v>0</v>
      </c>
      <c r="K73" s="313">
        <f t="shared" si="23"/>
        <v>0</v>
      </c>
      <c r="L73" s="313">
        <f t="shared" si="23"/>
        <v>0</v>
      </c>
      <c r="M73" s="313">
        <f t="shared" si="23"/>
        <v>0</v>
      </c>
      <c r="N73" s="313">
        <f t="shared" si="23"/>
        <v>0</v>
      </c>
      <c r="O73" s="313">
        <f t="shared" si="23"/>
        <v>0</v>
      </c>
      <c r="P73" s="313">
        <f t="shared" si="23"/>
        <v>0</v>
      </c>
      <c r="Q73" s="308">
        <f t="shared" si="23"/>
        <v>0</v>
      </c>
      <c r="S73" s="313">
        <f>SUM(S74)</f>
        <v>0</v>
      </c>
    </row>
    <row r="74" spans="1:19" outlineLevel="1" x14ac:dyDescent="0.25">
      <c r="A74" s="314" t="s">
        <v>218</v>
      </c>
      <c r="B74" s="284" t="s">
        <v>217</v>
      </c>
      <c r="C74" s="284"/>
      <c r="D74" s="308"/>
      <c r="E74" s="239">
        <v>0</v>
      </c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308">
        <f>SUM(E74:P74)</f>
        <v>0</v>
      </c>
      <c r="S74" s="293">
        <f>D74+Q74</f>
        <v>0</v>
      </c>
    </row>
    <row r="75" spans="1:19" outlineLevel="1" x14ac:dyDescent="0.25">
      <c r="A75" s="316" t="s">
        <v>219</v>
      </c>
      <c r="B75" s="320" t="s">
        <v>220</v>
      </c>
      <c r="C75" s="317"/>
      <c r="D75" s="312">
        <f>SUM(D76:D80)</f>
        <v>0</v>
      </c>
      <c r="E75" s="318">
        <f t="shared" ref="E75:P75" si="24">SUM(E76:E80)</f>
        <v>0</v>
      </c>
      <c r="F75" s="321">
        <f t="shared" si="24"/>
        <v>0</v>
      </c>
      <c r="G75" s="321">
        <f t="shared" si="24"/>
        <v>0</v>
      </c>
      <c r="H75" s="321">
        <f t="shared" si="24"/>
        <v>0</v>
      </c>
      <c r="I75" s="321">
        <f t="shared" si="24"/>
        <v>0</v>
      </c>
      <c r="J75" s="321">
        <f t="shared" si="24"/>
        <v>0</v>
      </c>
      <c r="K75" s="321">
        <f t="shared" si="24"/>
        <v>0</v>
      </c>
      <c r="L75" s="321">
        <f t="shared" si="24"/>
        <v>0</v>
      </c>
      <c r="M75" s="321">
        <f t="shared" si="24"/>
        <v>0</v>
      </c>
      <c r="N75" s="321">
        <f t="shared" si="24"/>
        <v>0</v>
      </c>
      <c r="O75" s="321">
        <f t="shared" si="24"/>
        <v>0</v>
      </c>
      <c r="P75" s="321">
        <f t="shared" si="24"/>
        <v>0</v>
      </c>
      <c r="Q75" s="308">
        <f>SUM(Q76,Q79,Q83,Q86)</f>
        <v>0</v>
      </c>
      <c r="S75" s="307">
        <f>SUM(S76,S79,S83,S86)</f>
        <v>0</v>
      </c>
    </row>
    <row r="76" spans="1:19" outlineLevel="1" x14ac:dyDescent="0.25">
      <c r="A76" s="314" t="s">
        <v>221</v>
      </c>
      <c r="B76" s="284" t="s">
        <v>222</v>
      </c>
      <c r="C76" s="322"/>
      <c r="D76" s="308"/>
      <c r="E76" s="23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308">
        <f>SUM(E76:P76)</f>
        <v>0</v>
      </c>
      <c r="S76" s="293">
        <f>D76+Q76</f>
        <v>0</v>
      </c>
    </row>
    <row r="77" spans="1:19" outlineLevel="1" x14ac:dyDescent="0.25">
      <c r="A77" s="314" t="s">
        <v>223</v>
      </c>
      <c r="B77" s="284" t="s">
        <v>224</v>
      </c>
      <c r="C77" s="322"/>
      <c r="D77" s="308"/>
      <c r="E77" s="23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308">
        <f>SUM(E77:P77)</f>
        <v>0</v>
      </c>
      <c r="S77" s="293">
        <f>D77+Q77</f>
        <v>0</v>
      </c>
    </row>
    <row r="78" spans="1:19" outlineLevel="1" x14ac:dyDescent="0.25">
      <c r="A78" s="314" t="s">
        <v>225</v>
      </c>
      <c r="B78" s="284" t="s">
        <v>226</v>
      </c>
      <c r="C78" s="322"/>
      <c r="D78" s="308"/>
      <c r="E78" s="23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308">
        <f>SUM(E78:P78)</f>
        <v>0</v>
      </c>
      <c r="S78" s="293">
        <f>D78+Q78</f>
        <v>0</v>
      </c>
    </row>
    <row r="79" spans="1:19" outlineLevel="1" x14ac:dyDescent="0.25">
      <c r="A79" s="314" t="s">
        <v>227</v>
      </c>
      <c r="B79" s="284" t="s">
        <v>228</v>
      </c>
      <c r="C79" s="322"/>
      <c r="D79" s="308"/>
      <c r="E79" s="23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308">
        <f>SUM(E79:P79)</f>
        <v>0</v>
      </c>
      <c r="S79" s="293">
        <f>D79+Q79</f>
        <v>0</v>
      </c>
    </row>
    <row r="80" spans="1:19" outlineLevel="1" x14ac:dyDescent="0.25">
      <c r="A80" s="314" t="s">
        <v>229</v>
      </c>
      <c r="B80" s="284" t="s">
        <v>230</v>
      </c>
      <c r="C80" s="322"/>
      <c r="D80" s="308"/>
      <c r="E80" s="23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308">
        <f>SUM(E80:P80)</f>
        <v>0</v>
      </c>
      <c r="S80" s="293">
        <f>D80+Q80</f>
        <v>0</v>
      </c>
    </row>
    <row r="81" spans="1:19" x14ac:dyDescent="0.25">
      <c r="A81" s="303" t="s">
        <v>231</v>
      </c>
      <c r="B81" s="179" t="s">
        <v>232</v>
      </c>
      <c r="C81" s="305"/>
      <c r="D81" s="306">
        <f t="shared" ref="D81:Q81" si="25">SUM(D82,D93,D98,D100,D104,D107,D111,D113,D121)</f>
        <v>0</v>
      </c>
      <c r="E81" s="307">
        <f t="shared" si="25"/>
        <v>0</v>
      </c>
      <c r="F81" s="307">
        <f t="shared" si="25"/>
        <v>0</v>
      </c>
      <c r="G81" s="307">
        <f t="shared" si="25"/>
        <v>0</v>
      </c>
      <c r="H81" s="307">
        <f t="shared" si="25"/>
        <v>0</v>
      </c>
      <c r="I81" s="307">
        <f t="shared" si="25"/>
        <v>0</v>
      </c>
      <c r="J81" s="307">
        <f t="shared" si="25"/>
        <v>0</v>
      </c>
      <c r="K81" s="307">
        <f t="shared" si="25"/>
        <v>0</v>
      </c>
      <c r="L81" s="307">
        <f t="shared" si="25"/>
        <v>0</v>
      </c>
      <c r="M81" s="307">
        <f t="shared" si="25"/>
        <v>0</v>
      </c>
      <c r="N81" s="307">
        <f t="shared" si="25"/>
        <v>0</v>
      </c>
      <c r="O81" s="307">
        <f t="shared" si="25"/>
        <v>0</v>
      </c>
      <c r="P81" s="307">
        <f t="shared" si="25"/>
        <v>0</v>
      </c>
      <c r="Q81" s="308">
        <f t="shared" si="25"/>
        <v>0</v>
      </c>
      <c r="S81" s="307">
        <f>SUM(S82,S93,S98,S100,S104,S107,S111,S113,S121)</f>
        <v>0</v>
      </c>
    </row>
    <row r="82" spans="1:19" outlineLevel="1" x14ac:dyDescent="0.25">
      <c r="A82" s="309" t="s">
        <v>233</v>
      </c>
      <c r="B82" s="310" t="s">
        <v>234</v>
      </c>
      <c r="C82" s="311"/>
      <c r="D82" s="312">
        <f t="shared" ref="D82:Q82" si="26">SUM(D83:D92)</f>
        <v>0</v>
      </c>
      <c r="E82" s="313">
        <f t="shared" si="26"/>
        <v>0</v>
      </c>
      <c r="F82" s="313">
        <f t="shared" si="26"/>
        <v>0</v>
      </c>
      <c r="G82" s="313">
        <f t="shared" si="26"/>
        <v>0</v>
      </c>
      <c r="H82" s="313">
        <f t="shared" si="26"/>
        <v>0</v>
      </c>
      <c r="I82" s="313">
        <f t="shared" si="26"/>
        <v>0</v>
      </c>
      <c r="J82" s="313">
        <f t="shared" si="26"/>
        <v>0</v>
      </c>
      <c r="K82" s="313">
        <f t="shared" si="26"/>
        <v>0</v>
      </c>
      <c r="L82" s="313">
        <f t="shared" si="26"/>
        <v>0</v>
      </c>
      <c r="M82" s="313">
        <f t="shared" si="26"/>
        <v>0</v>
      </c>
      <c r="N82" s="313">
        <f t="shared" si="26"/>
        <v>0</v>
      </c>
      <c r="O82" s="313">
        <f t="shared" si="26"/>
        <v>0</v>
      </c>
      <c r="P82" s="313">
        <f t="shared" si="26"/>
        <v>0</v>
      </c>
      <c r="Q82" s="308">
        <f t="shared" si="26"/>
        <v>0</v>
      </c>
      <c r="S82" s="313">
        <f>SUM(S83:S92)</f>
        <v>0</v>
      </c>
    </row>
    <row r="83" spans="1:19" outlineLevel="1" x14ac:dyDescent="0.25">
      <c r="A83" s="314" t="s">
        <v>235</v>
      </c>
      <c r="B83" s="284" t="s">
        <v>236</v>
      </c>
      <c r="C83" s="284"/>
      <c r="D83" s="308"/>
      <c r="E83" s="239"/>
      <c r="F83" s="259"/>
      <c r="G83" s="259"/>
      <c r="H83" s="259"/>
      <c r="I83" s="259"/>
      <c r="J83" s="259"/>
      <c r="K83" s="259"/>
      <c r="L83" s="315"/>
      <c r="M83" s="259"/>
      <c r="N83" s="259"/>
      <c r="O83" s="259"/>
      <c r="P83" s="259"/>
      <c r="Q83" s="308">
        <f t="shared" ref="Q83:Q92" si="27">SUM(E83:P83)</f>
        <v>0</v>
      </c>
      <c r="S83" s="293">
        <f t="shared" ref="S83:S92" si="28">D83+Q83</f>
        <v>0</v>
      </c>
    </row>
    <row r="84" spans="1:19" outlineLevel="1" x14ac:dyDescent="0.25">
      <c r="A84" s="314" t="s">
        <v>237</v>
      </c>
      <c r="B84" s="284" t="s">
        <v>238</v>
      </c>
      <c r="C84" s="284"/>
      <c r="D84" s="308"/>
      <c r="E84" s="239"/>
      <c r="F84" s="259"/>
      <c r="G84" s="259"/>
      <c r="H84" s="259"/>
      <c r="I84" s="259"/>
      <c r="J84" s="259"/>
      <c r="K84" s="259"/>
      <c r="L84" s="315"/>
      <c r="M84" s="259"/>
      <c r="N84" s="259"/>
      <c r="O84" s="259"/>
      <c r="P84" s="259"/>
      <c r="Q84" s="308">
        <f t="shared" si="27"/>
        <v>0</v>
      </c>
      <c r="S84" s="293">
        <f t="shared" si="28"/>
        <v>0</v>
      </c>
    </row>
    <row r="85" spans="1:19" outlineLevel="1" x14ac:dyDescent="0.25">
      <c r="A85" s="314" t="s">
        <v>239</v>
      </c>
      <c r="B85" s="284" t="s">
        <v>558</v>
      </c>
      <c r="C85" s="284"/>
      <c r="D85" s="308"/>
      <c r="E85" s="239"/>
      <c r="F85" s="259"/>
      <c r="G85" s="259"/>
      <c r="H85" s="259"/>
      <c r="I85" s="259"/>
      <c r="J85" s="259"/>
      <c r="K85" s="259"/>
      <c r="L85" s="315"/>
      <c r="M85" s="259"/>
      <c r="N85" s="259"/>
      <c r="O85" s="259"/>
      <c r="P85" s="259"/>
      <c r="Q85" s="308">
        <f t="shared" si="27"/>
        <v>0</v>
      </c>
      <c r="S85" s="293">
        <f t="shared" si="28"/>
        <v>0</v>
      </c>
    </row>
    <row r="86" spans="1:19" outlineLevel="1" x14ac:dyDescent="0.25">
      <c r="A86" s="314" t="s">
        <v>240</v>
      </c>
      <c r="B86" s="284" t="s">
        <v>241</v>
      </c>
      <c r="C86" s="284"/>
      <c r="D86" s="308"/>
      <c r="E86" s="239"/>
      <c r="F86" s="259"/>
      <c r="G86" s="259"/>
      <c r="H86" s="259"/>
      <c r="I86" s="259"/>
      <c r="J86" s="259"/>
      <c r="K86" s="259"/>
      <c r="L86" s="315"/>
      <c r="M86" s="259"/>
      <c r="N86" s="259"/>
      <c r="O86" s="259"/>
      <c r="P86" s="259"/>
      <c r="Q86" s="308">
        <f t="shared" si="27"/>
        <v>0</v>
      </c>
      <c r="S86" s="293">
        <f t="shared" si="28"/>
        <v>0</v>
      </c>
    </row>
    <row r="87" spans="1:19" outlineLevel="1" x14ac:dyDescent="0.25">
      <c r="A87" s="314" t="s">
        <v>242</v>
      </c>
      <c r="B87" s="284" t="s">
        <v>243</v>
      </c>
      <c r="C87" s="284"/>
      <c r="D87" s="308"/>
      <c r="E87" s="239"/>
      <c r="F87" s="259"/>
      <c r="G87" s="259"/>
      <c r="H87" s="259"/>
      <c r="I87" s="259"/>
      <c r="J87" s="259"/>
      <c r="K87" s="259"/>
      <c r="L87" s="315"/>
      <c r="M87" s="259"/>
      <c r="N87" s="259"/>
      <c r="O87" s="259"/>
      <c r="P87" s="259"/>
      <c r="Q87" s="308">
        <f t="shared" si="27"/>
        <v>0</v>
      </c>
      <c r="S87" s="293">
        <f t="shared" si="28"/>
        <v>0</v>
      </c>
    </row>
    <row r="88" spans="1:19" outlineLevel="1" x14ac:dyDescent="0.25">
      <c r="A88" s="314" t="s">
        <v>244</v>
      </c>
      <c r="B88" s="284" t="s">
        <v>245</v>
      </c>
      <c r="C88" s="284"/>
      <c r="D88" s="308"/>
      <c r="E88" s="239"/>
      <c r="F88" s="259"/>
      <c r="G88" s="259"/>
      <c r="H88" s="259"/>
      <c r="I88" s="259"/>
      <c r="J88" s="259"/>
      <c r="K88" s="259"/>
      <c r="L88" s="315"/>
      <c r="M88" s="259"/>
      <c r="N88" s="259"/>
      <c r="O88" s="259"/>
      <c r="P88" s="259"/>
      <c r="Q88" s="308">
        <f t="shared" si="27"/>
        <v>0</v>
      </c>
      <c r="S88" s="293">
        <f t="shared" si="28"/>
        <v>0</v>
      </c>
    </row>
    <row r="89" spans="1:19" outlineLevel="1" x14ac:dyDescent="0.25">
      <c r="A89" s="314" t="s">
        <v>246</v>
      </c>
      <c r="B89" s="284" t="s">
        <v>247</v>
      </c>
      <c r="C89" s="284"/>
      <c r="D89" s="308"/>
      <c r="E89" s="239"/>
      <c r="F89" s="259"/>
      <c r="G89" s="259"/>
      <c r="H89" s="259"/>
      <c r="I89" s="259"/>
      <c r="J89" s="259"/>
      <c r="K89" s="259"/>
      <c r="L89" s="315"/>
      <c r="M89" s="259"/>
      <c r="N89" s="259"/>
      <c r="O89" s="259"/>
      <c r="P89" s="259"/>
      <c r="Q89" s="308">
        <f t="shared" si="27"/>
        <v>0</v>
      </c>
      <c r="S89" s="293">
        <f t="shared" si="28"/>
        <v>0</v>
      </c>
    </row>
    <row r="90" spans="1:19" outlineLevel="1" x14ac:dyDescent="0.25">
      <c r="A90" s="314" t="s">
        <v>248</v>
      </c>
      <c r="B90" s="284" t="s">
        <v>249</v>
      </c>
      <c r="C90" s="284"/>
      <c r="D90" s="308"/>
      <c r="E90" s="239"/>
      <c r="F90" s="259"/>
      <c r="G90" s="259"/>
      <c r="H90" s="259"/>
      <c r="I90" s="259"/>
      <c r="J90" s="259"/>
      <c r="K90" s="259"/>
      <c r="L90" s="315"/>
      <c r="M90" s="259"/>
      <c r="N90" s="259"/>
      <c r="O90" s="259"/>
      <c r="P90" s="259"/>
      <c r="Q90" s="308">
        <f t="shared" si="27"/>
        <v>0</v>
      </c>
      <c r="S90" s="293">
        <f t="shared" si="28"/>
        <v>0</v>
      </c>
    </row>
    <row r="91" spans="1:19" outlineLevel="1" x14ac:dyDescent="0.25">
      <c r="A91" s="314" t="s">
        <v>250</v>
      </c>
      <c r="B91" s="284" t="s">
        <v>559</v>
      </c>
      <c r="C91" s="284"/>
      <c r="D91" s="308"/>
      <c r="E91" s="239"/>
      <c r="F91" s="259"/>
      <c r="G91" s="259"/>
      <c r="H91" s="259"/>
      <c r="I91" s="259"/>
      <c r="J91" s="259"/>
      <c r="K91" s="259"/>
      <c r="L91" s="315"/>
      <c r="M91" s="259"/>
      <c r="N91" s="259"/>
      <c r="O91" s="259"/>
      <c r="P91" s="259"/>
      <c r="Q91" s="308">
        <f t="shared" si="27"/>
        <v>0</v>
      </c>
      <c r="S91" s="293">
        <f t="shared" si="28"/>
        <v>0</v>
      </c>
    </row>
    <row r="92" spans="1:19" outlineLevel="1" x14ac:dyDescent="0.25">
      <c r="A92" s="314" t="s">
        <v>252</v>
      </c>
      <c r="B92" s="284" t="s">
        <v>253</v>
      </c>
      <c r="C92" s="284"/>
      <c r="D92" s="308"/>
      <c r="E92" s="239"/>
      <c r="F92" s="259"/>
      <c r="G92" s="259"/>
      <c r="H92" s="259"/>
      <c r="I92" s="259"/>
      <c r="J92" s="259"/>
      <c r="K92" s="259"/>
      <c r="L92" s="315"/>
      <c r="M92" s="259"/>
      <c r="N92" s="259"/>
      <c r="O92" s="259"/>
      <c r="P92" s="259"/>
      <c r="Q92" s="308">
        <f t="shared" si="27"/>
        <v>0</v>
      </c>
      <c r="S92" s="293">
        <f t="shared" si="28"/>
        <v>0</v>
      </c>
    </row>
    <row r="93" spans="1:19" outlineLevel="1" x14ac:dyDescent="0.25">
      <c r="A93" s="309" t="s">
        <v>254</v>
      </c>
      <c r="B93" s="310" t="s">
        <v>255</v>
      </c>
      <c r="C93" s="311"/>
      <c r="D93" s="312">
        <f t="shared" ref="D93:Q93" si="29">SUM(D94:D97)</f>
        <v>0</v>
      </c>
      <c r="E93" s="313">
        <f t="shared" si="29"/>
        <v>0</v>
      </c>
      <c r="F93" s="313">
        <f t="shared" si="29"/>
        <v>0</v>
      </c>
      <c r="G93" s="313">
        <f t="shared" si="29"/>
        <v>0</v>
      </c>
      <c r="H93" s="313">
        <f t="shared" si="29"/>
        <v>0</v>
      </c>
      <c r="I93" s="313">
        <f t="shared" si="29"/>
        <v>0</v>
      </c>
      <c r="J93" s="313">
        <f t="shared" si="29"/>
        <v>0</v>
      </c>
      <c r="K93" s="313">
        <f t="shared" si="29"/>
        <v>0</v>
      </c>
      <c r="L93" s="313">
        <f t="shared" si="29"/>
        <v>0</v>
      </c>
      <c r="M93" s="313">
        <f t="shared" si="29"/>
        <v>0</v>
      </c>
      <c r="N93" s="313">
        <f t="shared" si="29"/>
        <v>0</v>
      </c>
      <c r="O93" s="313">
        <f t="shared" si="29"/>
        <v>0</v>
      </c>
      <c r="P93" s="313">
        <f t="shared" si="29"/>
        <v>0</v>
      </c>
      <c r="Q93" s="308">
        <f t="shared" si="29"/>
        <v>0</v>
      </c>
      <c r="S93" s="313">
        <f>SUM(S94:S97)</f>
        <v>0</v>
      </c>
    </row>
    <row r="94" spans="1:19" outlineLevel="1" x14ac:dyDescent="0.25">
      <c r="A94" s="314" t="s">
        <v>256</v>
      </c>
      <c r="B94" s="284" t="s">
        <v>257</v>
      </c>
      <c r="C94" s="284"/>
      <c r="D94" s="308"/>
      <c r="E94" s="239"/>
      <c r="F94" s="259"/>
      <c r="G94" s="259"/>
      <c r="H94" s="259"/>
      <c r="I94" s="259"/>
      <c r="J94" s="259"/>
      <c r="K94" s="259"/>
      <c r="L94" s="315"/>
      <c r="M94" s="259"/>
      <c r="N94" s="259"/>
      <c r="O94" s="259"/>
      <c r="P94" s="259"/>
      <c r="Q94" s="308">
        <f>SUM(E94:P94)</f>
        <v>0</v>
      </c>
      <c r="S94" s="293">
        <f>D94+Q94</f>
        <v>0</v>
      </c>
    </row>
    <row r="95" spans="1:19" outlineLevel="1" x14ac:dyDescent="0.25">
      <c r="A95" s="314" t="s">
        <v>258</v>
      </c>
      <c r="B95" s="284" t="s">
        <v>259</v>
      </c>
      <c r="C95" s="284"/>
      <c r="D95" s="308"/>
      <c r="E95" s="239"/>
      <c r="F95" s="259"/>
      <c r="G95" s="259"/>
      <c r="H95" s="259"/>
      <c r="I95" s="259"/>
      <c r="J95" s="259"/>
      <c r="K95" s="259"/>
      <c r="L95" s="315"/>
      <c r="M95" s="259"/>
      <c r="N95" s="259"/>
      <c r="O95" s="259"/>
      <c r="P95" s="259"/>
      <c r="Q95" s="308">
        <f>SUM(E95:P95)</f>
        <v>0</v>
      </c>
      <c r="S95" s="293">
        <f>D95+Q95</f>
        <v>0</v>
      </c>
    </row>
    <row r="96" spans="1:19" outlineLevel="1" x14ac:dyDescent="0.25">
      <c r="A96" s="314" t="s">
        <v>260</v>
      </c>
      <c r="B96" s="284" t="s">
        <v>261</v>
      </c>
      <c r="C96" s="284"/>
      <c r="D96" s="308"/>
      <c r="E96" s="239"/>
      <c r="F96" s="259"/>
      <c r="G96" s="259"/>
      <c r="H96" s="259"/>
      <c r="I96" s="259"/>
      <c r="J96" s="259"/>
      <c r="K96" s="259"/>
      <c r="L96" s="315"/>
      <c r="M96" s="259"/>
      <c r="N96" s="259"/>
      <c r="O96" s="259"/>
      <c r="P96" s="259"/>
      <c r="Q96" s="308">
        <f>SUM(E96:P96)</f>
        <v>0</v>
      </c>
      <c r="S96" s="293">
        <f>D96+Q96</f>
        <v>0</v>
      </c>
    </row>
    <row r="97" spans="1:19" outlineLevel="1" x14ac:dyDescent="0.25">
      <c r="A97" s="314" t="s">
        <v>262</v>
      </c>
      <c r="B97" s="284" t="s">
        <v>263</v>
      </c>
      <c r="C97" s="284"/>
      <c r="D97" s="308"/>
      <c r="E97" s="239"/>
      <c r="F97" s="259"/>
      <c r="G97" s="259"/>
      <c r="H97" s="259"/>
      <c r="I97" s="259"/>
      <c r="J97" s="259"/>
      <c r="K97" s="259"/>
      <c r="L97" s="315"/>
      <c r="M97" s="259"/>
      <c r="N97" s="259"/>
      <c r="O97" s="259"/>
      <c r="P97" s="259"/>
      <c r="Q97" s="308">
        <f>SUM(E97:P97)</f>
        <v>0</v>
      </c>
      <c r="S97" s="293">
        <f>D97+Q97</f>
        <v>0</v>
      </c>
    </row>
    <row r="98" spans="1:19" outlineLevel="1" x14ac:dyDescent="0.25">
      <c r="A98" s="309" t="s">
        <v>264</v>
      </c>
      <c r="B98" s="310" t="s">
        <v>265</v>
      </c>
      <c r="C98" s="311"/>
      <c r="D98" s="312">
        <f t="shared" ref="D98:Q98" si="30">SUM(D99)</f>
        <v>0</v>
      </c>
      <c r="E98" s="313">
        <f t="shared" si="30"/>
        <v>0</v>
      </c>
      <c r="F98" s="313">
        <f t="shared" si="30"/>
        <v>0</v>
      </c>
      <c r="G98" s="313">
        <f t="shared" si="30"/>
        <v>0</v>
      </c>
      <c r="H98" s="313">
        <f t="shared" si="30"/>
        <v>0</v>
      </c>
      <c r="I98" s="313">
        <f t="shared" si="30"/>
        <v>0</v>
      </c>
      <c r="J98" s="313">
        <f t="shared" si="30"/>
        <v>0</v>
      </c>
      <c r="K98" s="313">
        <f t="shared" si="30"/>
        <v>0</v>
      </c>
      <c r="L98" s="313">
        <f t="shared" si="30"/>
        <v>0</v>
      </c>
      <c r="M98" s="313">
        <f t="shared" si="30"/>
        <v>0</v>
      </c>
      <c r="N98" s="313">
        <f t="shared" si="30"/>
        <v>0</v>
      </c>
      <c r="O98" s="313">
        <f t="shared" si="30"/>
        <v>0</v>
      </c>
      <c r="P98" s="313">
        <f t="shared" si="30"/>
        <v>0</v>
      </c>
      <c r="Q98" s="308">
        <f t="shared" si="30"/>
        <v>0</v>
      </c>
      <c r="S98" s="313">
        <f>SUM(S99)</f>
        <v>0</v>
      </c>
    </row>
    <row r="99" spans="1:19" outlineLevel="1" x14ac:dyDescent="0.25">
      <c r="A99" s="314" t="s">
        <v>266</v>
      </c>
      <c r="B99" s="284" t="s">
        <v>265</v>
      </c>
      <c r="C99" s="284"/>
      <c r="D99" s="308"/>
      <c r="E99" s="23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308">
        <f>SUM(E99:P99)</f>
        <v>0</v>
      </c>
      <c r="S99" s="293">
        <f>D99+Q99</f>
        <v>0</v>
      </c>
    </row>
    <row r="100" spans="1:19" outlineLevel="1" x14ac:dyDescent="0.25">
      <c r="A100" s="309" t="s">
        <v>267</v>
      </c>
      <c r="B100" s="310" t="s">
        <v>268</v>
      </c>
      <c r="C100" s="311"/>
      <c r="D100" s="312">
        <f t="shared" ref="D100:Q100" si="31">SUM(D101:D103)</f>
        <v>0</v>
      </c>
      <c r="E100" s="313">
        <f t="shared" si="31"/>
        <v>0</v>
      </c>
      <c r="F100" s="313">
        <f t="shared" si="31"/>
        <v>0</v>
      </c>
      <c r="G100" s="313">
        <f t="shared" si="31"/>
        <v>0</v>
      </c>
      <c r="H100" s="313">
        <f t="shared" si="31"/>
        <v>0</v>
      </c>
      <c r="I100" s="313">
        <f t="shared" si="31"/>
        <v>0</v>
      </c>
      <c r="J100" s="313">
        <f t="shared" si="31"/>
        <v>0</v>
      </c>
      <c r="K100" s="313">
        <f t="shared" si="31"/>
        <v>0</v>
      </c>
      <c r="L100" s="313">
        <f t="shared" si="31"/>
        <v>0</v>
      </c>
      <c r="M100" s="313">
        <f t="shared" si="31"/>
        <v>0</v>
      </c>
      <c r="N100" s="313">
        <f t="shared" si="31"/>
        <v>0</v>
      </c>
      <c r="O100" s="313">
        <f t="shared" si="31"/>
        <v>0</v>
      </c>
      <c r="P100" s="313">
        <f t="shared" si="31"/>
        <v>0</v>
      </c>
      <c r="Q100" s="308">
        <f t="shared" si="31"/>
        <v>0</v>
      </c>
      <c r="S100" s="313">
        <f>SUM(S101:S103)</f>
        <v>0</v>
      </c>
    </row>
    <row r="101" spans="1:19" outlineLevel="1" x14ac:dyDescent="0.25">
      <c r="A101" s="314" t="s">
        <v>269</v>
      </c>
      <c r="B101" s="284" t="s">
        <v>270</v>
      </c>
      <c r="C101" s="284"/>
      <c r="D101" s="308"/>
      <c r="E101" s="23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308">
        <f>SUM(E101:P101)</f>
        <v>0</v>
      </c>
      <c r="S101" s="293">
        <f>D101+Q101</f>
        <v>0</v>
      </c>
    </row>
    <row r="102" spans="1:19" outlineLevel="1" x14ac:dyDescent="0.25">
      <c r="A102" s="314" t="s">
        <v>271</v>
      </c>
      <c r="B102" s="284" t="s">
        <v>272</v>
      </c>
      <c r="C102" s="284"/>
      <c r="D102" s="308"/>
      <c r="E102" s="23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308">
        <f>SUM(E102:P102)</f>
        <v>0</v>
      </c>
      <c r="S102" s="293">
        <f>D102+Q102</f>
        <v>0</v>
      </c>
    </row>
    <row r="103" spans="1:19" outlineLevel="1" x14ac:dyDescent="0.25">
      <c r="A103" s="314" t="s">
        <v>273</v>
      </c>
      <c r="B103" s="284" t="s">
        <v>274</v>
      </c>
      <c r="C103" s="284"/>
      <c r="D103" s="308"/>
      <c r="E103" s="23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308">
        <f>SUM(E103:P103)</f>
        <v>0</v>
      </c>
      <c r="S103" s="293">
        <f>D103+Q103</f>
        <v>0</v>
      </c>
    </row>
    <row r="104" spans="1:19" outlineLevel="1" x14ac:dyDescent="0.25">
      <c r="A104" s="309" t="s">
        <v>275</v>
      </c>
      <c r="B104" s="310" t="s">
        <v>276</v>
      </c>
      <c r="C104" s="311"/>
      <c r="D104" s="312">
        <f t="shared" ref="D104:Q104" si="32">SUM(D105:D106)</f>
        <v>0</v>
      </c>
      <c r="E104" s="313">
        <f t="shared" si="32"/>
        <v>0</v>
      </c>
      <c r="F104" s="313">
        <f t="shared" si="32"/>
        <v>0</v>
      </c>
      <c r="G104" s="313">
        <f t="shared" si="32"/>
        <v>0</v>
      </c>
      <c r="H104" s="313">
        <f t="shared" si="32"/>
        <v>0</v>
      </c>
      <c r="I104" s="313">
        <f t="shared" si="32"/>
        <v>0</v>
      </c>
      <c r="J104" s="313">
        <f t="shared" si="32"/>
        <v>0</v>
      </c>
      <c r="K104" s="313">
        <f t="shared" si="32"/>
        <v>0</v>
      </c>
      <c r="L104" s="313">
        <f t="shared" si="32"/>
        <v>0</v>
      </c>
      <c r="M104" s="313">
        <f t="shared" si="32"/>
        <v>0</v>
      </c>
      <c r="N104" s="313">
        <f t="shared" si="32"/>
        <v>0</v>
      </c>
      <c r="O104" s="313">
        <f t="shared" si="32"/>
        <v>0</v>
      </c>
      <c r="P104" s="313">
        <f t="shared" si="32"/>
        <v>0</v>
      </c>
      <c r="Q104" s="308">
        <f t="shared" si="32"/>
        <v>0</v>
      </c>
      <c r="S104" s="313">
        <f>SUM(S105:S106)</f>
        <v>0</v>
      </c>
    </row>
    <row r="105" spans="1:19" outlineLevel="1" x14ac:dyDescent="0.25">
      <c r="A105" s="314" t="s">
        <v>277</v>
      </c>
      <c r="B105" s="284" t="s">
        <v>278</v>
      </c>
      <c r="C105" s="284"/>
      <c r="D105" s="308"/>
      <c r="E105" s="23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308">
        <f>SUM(E105:P105)</f>
        <v>0</v>
      </c>
      <c r="S105" s="293">
        <f>D105+Q105</f>
        <v>0</v>
      </c>
    </row>
    <row r="106" spans="1:19" outlineLevel="1" x14ac:dyDescent="0.25">
      <c r="A106" s="314" t="s">
        <v>279</v>
      </c>
      <c r="B106" s="284" t="s">
        <v>280</v>
      </c>
      <c r="C106" s="284"/>
      <c r="D106" s="308"/>
      <c r="E106" s="23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308">
        <f>SUM(E106:P106)</f>
        <v>0</v>
      </c>
      <c r="S106" s="293">
        <f>D106+Q106</f>
        <v>0</v>
      </c>
    </row>
    <row r="107" spans="1:19" outlineLevel="1" x14ac:dyDescent="0.25">
      <c r="A107" s="309" t="s">
        <v>281</v>
      </c>
      <c r="B107" s="310" t="s">
        <v>282</v>
      </c>
      <c r="C107" s="311"/>
      <c r="D107" s="312">
        <f t="shared" ref="D107:Q107" si="33">SUM(D108:D110)</f>
        <v>0</v>
      </c>
      <c r="E107" s="313">
        <f t="shared" si="33"/>
        <v>0</v>
      </c>
      <c r="F107" s="313">
        <f t="shared" si="33"/>
        <v>0</v>
      </c>
      <c r="G107" s="313">
        <f t="shared" si="33"/>
        <v>0</v>
      </c>
      <c r="H107" s="313">
        <f t="shared" si="33"/>
        <v>0</v>
      </c>
      <c r="I107" s="313">
        <f t="shared" si="33"/>
        <v>0</v>
      </c>
      <c r="J107" s="313">
        <f t="shared" si="33"/>
        <v>0</v>
      </c>
      <c r="K107" s="313">
        <f t="shared" si="33"/>
        <v>0</v>
      </c>
      <c r="L107" s="313">
        <f t="shared" si="33"/>
        <v>0</v>
      </c>
      <c r="M107" s="313">
        <f t="shared" si="33"/>
        <v>0</v>
      </c>
      <c r="N107" s="313">
        <f t="shared" si="33"/>
        <v>0</v>
      </c>
      <c r="O107" s="313">
        <f t="shared" si="33"/>
        <v>0</v>
      </c>
      <c r="P107" s="313">
        <f t="shared" si="33"/>
        <v>0</v>
      </c>
      <c r="Q107" s="308">
        <f t="shared" si="33"/>
        <v>0</v>
      </c>
      <c r="S107" s="313">
        <f>SUM(S108:S110)</f>
        <v>0</v>
      </c>
    </row>
    <row r="108" spans="1:19" outlineLevel="1" x14ac:dyDescent="0.25">
      <c r="A108" s="314" t="s">
        <v>283</v>
      </c>
      <c r="B108" s="284" t="s">
        <v>282</v>
      </c>
      <c r="C108" s="284"/>
      <c r="D108" s="308"/>
      <c r="E108" s="323"/>
      <c r="F108" s="260"/>
      <c r="G108" s="260"/>
      <c r="H108" s="260"/>
      <c r="I108" s="260"/>
      <c r="J108" s="261"/>
      <c r="K108" s="261"/>
      <c r="L108" s="261"/>
      <c r="M108" s="260"/>
      <c r="N108" s="260"/>
      <c r="O108" s="260"/>
      <c r="P108" s="260"/>
      <c r="Q108" s="308">
        <f>SUM(E108:P108)</f>
        <v>0</v>
      </c>
      <c r="S108" s="293">
        <f>D108+Q108</f>
        <v>0</v>
      </c>
    </row>
    <row r="109" spans="1:19" outlineLevel="1" x14ac:dyDescent="0.25">
      <c r="A109" s="314" t="s">
        <v>284</v>
      </c>
      <c r="B109" s="284" t="s">
        <v>285</v>
      </c>
      <c r="C109" s="284"/>
      <c r="D109" s="308"/>
      <c r="E109" s="323"/>
      <c r="F109" s="260"/>
      <c r="G109" s="260"/>
      <c r="H109" s="260"/>
      <c r="I109" s="260"/>
      <c r="J109" s="261"/>
      <c r="K109" s="260"/>
      <c r="L109" s="260"/>
      <c r="M109" s="260"/>
      <c r="N109" s="260"/>
      <c r="O109" s="260"/>
      <c r="P109" s="260"/>
      <c r="Q109" s="308">
        <f>SUM(E109:P109)</f>
        <v>0</v>
      </c>
      <c r="S109" s="293">
        <f>D109+Q109</f>
        <v>0</v>
      </c>
    </row>
    <row r="110" spans="1:19" outlineLevel="1" x14ac:dyDescent="0.25">
      <c r="A110" s="314" t="s">
        <v>286</v>
      </c>
      <c r="B110" s="284" t="s">
        <v>287</v>
      </c>
      <c r="C110" s="284"/>
      <c r="D110" s="308"/>
      <c r="E110" s="323"/>
      <c r="F110" s="260"/>
      <c r="G110" s="260"/>
      <c r="H110" s="260"/>
      <c r="I110" s="260"/>
      <c r="J110" s="261"/>
      <c r="K110" s="261"/>
      <c r="L110" s="261"/>
      <c r="M110" s="260"/>
      <c r="N110" s="260"/>
      <c r="O110" s="260"/>
      <c r="P110" s="260"/>
      <c r="Q110" s="308">
        <f>SUM(E110:P110)</f>
        <v>0</v>
      </c>
      <c r="S110" s="293">
        <f>D110+Q110</f>
        <v>0</v>
      </c>
    </row>
    <row r="111" spans="1:19" outlineLevel="1" x14ac:dyDescent="0.25">
      <c r="A111" s="309" t="s">
        <v>336</v>
      </c>
      <c r="B111" s="310" t="s">
        <v>337</v>
      </c>
      <c r="C111" s="311"/>
      <c r="D111" s="312">
        <f t="shared" ref="D111:Q111" si="34">SUM(D112)</f>
        <v>0</v>
      </c>
      <c r="E111" s="313">
        <f t="shared" si="34"/>
        <v>0</v>
      </c>
      <c r="F111" s="313">
        <f t="shared" si="34"/>
        <v>0</v>
      </c>
      <c r="G111" s="313">
        <f t="shared" si="34"/>
        <v>0</v>
      </c>
      <c r="H111" s="313">
        <f t="shared" si="34"/>
        <v>0</v>
      </c>
      <c r="I111" s="313">
        <f t="shared" si="34"/>
        <v>0</v>
      </c>
      <c r="J111" s="313">
        <f t="shared" si="34"/>
        <v>0</v>
      </c>
      <c r="K111" s="313">
        <f t="shared" si="34"/>
        <v>0</v>
      </c>
      <c r="L111" s="313">
        <f t="shared" si="34"/>
        <v>0</v>
      </c>
      <c r="M111" s="313">
        <f t="shared" si="34"/>
        <v>0</v>
      </c>
      <c r="N111" s="313">
        <f t="shared" si="34"/>
        <v>0</v>
      </c>
      <c r="O111" s="313">
        <f t="shared" si="34"/>
        <v>0</v>
      </c>
      <c r="P111" s="313">
        <f t="shared" si="34"/>
        <v>0</v>
      </c>
      <c r="Q111" s="308">
        <f t="shared" si="34"/>
        <v>0</v>
      </c>
      <c r="S111" s="313">
        <f>SUM(S112)</f>
        <v>0</v>
      </c>
    </row>
    <row r="112" spans="1:19" outlineLevel="1" x14ac:dyDescent="0.25">
      <c r="A112" s="314" t="s">
        <v>338</v>
      </c>
      <c r="B112" s="284" t="s">
        <v>560</v>
      </c>
      <c r="C112" s="284"/>
      <c r="D112" s="308"/>
      <c r="E112" s="23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308">
        <f>SUM(E112:P112)</f>
        <v>0</v>
      </c>
      <c r="S112" s="293">
        <f>D112+Q112</f>
        <v>0</v>
      </c>
    </row>
    <row r="113" spans="1:19" outlineLevel="1" x14ac:dyDescent="0.25">
      <c r="A113" s="309" t="s">
        <v>288</v>
      </c>
      <c r="B113" s="310" t="s">
        <v>289</v>
      </c>
      <c r="C113" s="311"/>
      <c r="D113" s="312">
        <f t="shared" ref="D113:Q113" si="35">SUM(D114:D120)</f>
        <v>0</v>
      </c>
      <c r="E113" s="313">
        <f t="shared" si="35"/>
        <v>0</v>
      </c>
      <c r="F113" s="313">
        <f t="shared" si="35"/>
        <v>0</v>
      </c>
      <c r="G113" s="313">
        <f t="shared" si="35"/>
        <v>0</v>
      </c>
      <c r="H113" s="313">
        <f t="shared" si="35"/>
        <v>0</v>
      </c>
      <c r="I113" s="313">
        <f t="shared" si="35"/>
        <v>0</v>
      </c>
      <c r="J113" s="313">
        <f t="shared" si="35"/>
        <v>0</v>
      </c>
      <c r="K113" s="313">
        <f t="shared" si="35"/>
        <v>0</v>
      </c>
      <c r="L113" s="313">
        <f t="shared" si="35"/>
        <v>0</v>
      </c>
      <c r="M113" s="313">
        <f t="shared" si="35"/>
        <v>0</v>
      </c>
      <c r="N113" s="313">
        <f t="shared" si="35"/>
        <v>0</v>
      </c>
      <c r="O113" s="313">
        <f t="shared" si="35"/>
        <v>0</v>
      </c>
      <c r="P113" s="313">
        <f t="shared" si="35"/>
        <v>0</v>
      </c>
      <c r="Q113" s="308">
        <f t="shared" si="35"/>
        <v>0</v>
      </c>
      <c r="S113" s="313">
        <f>SUM(S114:S120)</f>
        <v>0</v>
      </c>
    </row>
    <row r="114" spans="1:19" outlineLevel="1" x14ac:dyDescent="0.25">
      <c r="A114" s="314" t="s">
        <v>290</v>
      </c>
      <c r="B114" s="284" t="s">
        <v>291</v>
      </c>
      <c r="C114" s="284"/>
      <c r="D114" s="308"/>
      <c r="E114" s="23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308">
        <f t="shared" ref="Q114:Q120" si="36">SUM(E114:P114)</f>
        <v>0</v>
      </c>
      <c r="S114" s="293">
        <f t="shared" ref="S114:S120" si="37">D114+Q114</f>
        <v>0</v>
      </c>
    </row>
    <row r="115" spans="1:19" outlineLevel="1" x14ac:dyDescent="0.25">
      <c r="A115" s="314" t="s">
        <v>292</v>
      </c>
      <c r="B115" s="284" t="s">
        <v>293</v>
      </c>
      <c r="C115" s="284"/>
      <c r="D115" s="308"/>
      <c r="E115" s="23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308">
        <f t="shared" si="36"/>
        <v>0</v>
      </c>
      <c r="S115" s="293">
        <f t="shared" si="37"/>
        <v>0</v>
      </c>
    </row>
    <row r="116" spans="1:19" outlineLevel="1" x14ac:dyDescent="0.25">
      <c r="A116" s="314" t="s">
        <v>294</v>
      </c>
      <c r="B116" s="284" t="s">
        <v>295</v>
      </c>
      <c r="C116" s="284"/>
      <c r="D116" s="308"/>
      <c r="E116" s="23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308">
        <f t="shared" si="36"/>
        <v>0</v>
      </c>
      <c r="S116" s="293">
        <f t="shared" si="37"/>
        <v>0</v>
      </c>
    </row>
    <row r="117" spans="1:19" outlineLevel="1" x14ac:dyDescent="0.25">
      <c r="A117" s="314" t="s">
        <v>296</v>
      </c>
      <c r="B117" s="284" t="s">
        <v>309</v>
      </c>
      <c r="C117" s="284"/>
      <c r="D117" s="308"/>
      <c r="E117" s="23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308">
        <f t="shared" si="36"/>
        <v>0</v>
      </c>
      <c r="S117" s="293">
        <f t="shared" si="37"/>
        <v>0</v>
      </c>
    </row>
    <row r="118" spans="1:19" outlineLevel="1" x14ac:dyDescent="0.25">
      <c r="A118" s="314" t="s">
        <v>298</v>
      </c>
      <c r="B118" s="284" t="s">
        <v>299</v>
      </c>
      <c r="C118" s="284"/>
      <c r="D118" s="308"/>
      <c r="E118" s="23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308">
        <f t="shared" si="36"/>
        <v>0</v>
      </c>
      <c r="S118" s="293">
        <f t="shared" si="37"/>
        <v>0</v>
      </c>
    </row>
    <row r="119" spans="1:19" outlineLevel="1" x14ac:dyDescent="0.25">
      <c r="A119" s="314" t="s">
        <v>300</v>
      </c>
      <c r="B119" s="284" t="s">
        <v>301</v>
      </c>
      <c r="C119" s="284"/>
      <c r="D119" s="308"/>
      <c r="E119" s="23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308">
        <f t="shared" si="36"/>
        <v>0</v>
      </c>
      <c r="S119" s="293">
        <f t="shared" si="37"/>
        <v>0</v>
      </c>
    </row>
    <row r="120" spans="1:19" outlineLevel="1" x14ac:dyDescent="0.25">
      <c r="A120" s="314" t="s">
        <v>302</v>
      </c>
      <c r="B120" s="284" t="s">
        <v>303</v>
      </c>
      <c r="C120" s="284"/>
      <c r="D120" s="308"/>
      <c r="E120" s="23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308">
        <f t="shared" si="36"/>
        <v>0</v>
      </c>
      <c r="S120" s="293">
        <f t="shared" si="37"/>
        <v>0</v>
      </c>
    </row>
    <row r="121" spans="1:19" outlineLevel="1" x14ac:dyDescent="0.25">
      <c r="A121" s="309" t="s">
        <v>304</v>
      </c>
      <c r="B121" s="310" t="s">
        <v>305</v>
      </c>
      <c r="C121" s="311"/>
      <c r="D121" s="312">
        <f t="shared" ref="D121:Q121" si="38">SUM(D122:D127)</f>
        <v>0</v>
      </c>
      <c r="E121" s="313">
        <f t="shared" si="38"/>
        <v>0</v>
      </c>
      <c r="F121" s="313">
        <f t="shared" si="38"/>
        <v>0</v>
      </c>
      <c r="G121" s="313">
        <f t="shared" si="38"/>
        <v>0</v>
      </c>
      <c r="H121" s="313">
        <f t="shared" si="38"/>
        <v>0</v>
      </c>
      <c r="I121" s="313">
        <f t="shared" si="38"/>
        <v>0</v>
      </c>
      <c r="J121" s="313">
        <f t="shared" si="38"/>
        <v>0</v>
      </c>
      <c r="K121" s="313">
        <f t="shared" si="38"/>
        <v>0</v>
      </c>
      <c r="L121" s="313">
        <f t="shared" si="38"/>
        <v>0</v>
      </c>
      <c r="M121" s="313">
        <f t="shared" si="38"/>
        <v>0</v>
      </c>
      <c r="N121" s="313">
        <f t="shared" si="38"/>
        <v>0</v>
      </c>
      <c r="O121" s="313">
        <f t="shared" si="38"/>
        <v>0</v>
      </c>
      <c r="P121" s="313">
        <f t="shared" si="38"/>
        <v>0</v>
      </c>
      <c r="Q121" s="308">
        <f t="shared" si="38"/>
        <v>0</v>
      </c>
      <c r="S121" s="313">
        <f>SUM(S122:S127)</f>
        <v>0</v>
      </c>
    </row>
    <row r="122" spans="1:19" outlineLevel="1" x14ac:dyDescent="0.25">
      <c r="A122" s="314" t="s">
        <v>306</v>
      </c>
      <c r="B122" s="284" t="s">
        <v>307</v>
      </c>
      <c r="C122" s="284"/>
      <c r="D122" s="308"/>
      <c r="E122" s="23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308">
        <f t="shared" ref="Q122:Q127" si="39">SUM(E122:P122)</f>
        <v>0</v>
      </c>
      <c r="S122" s="293">
        <f t="shared" ref="S122:S127" si="40">D122+Q122</f>
        <v>0</v>
      </c>
    </row>
    <row r="123" spans="1:19" outlineLevel="1" x14ac:dyDescent="0.25">
      <c r="A123" s="314" t="s">
        <v>308</v>
      </c>
      <c r="B123" s="284" t="s">
        <v>309</v>
      </c>
      <c r="C123" s="284"/>
      <c r="D123" s="308"/>
      <c r="E123" s="23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308">
        <f t="shared" si="39"/>
        <v>0</v>
      </c>
      <c r="S123" s="293">
        <f t="shared" si="40"/>
        <v>0</v>
      </c>
    </row>
    <row r="124" spans="1:19" outlineLevel="1" x14ac:dyDescent="0.25">
      <c r="A124" s="314" t="s">
        <v>310</v>
      </c>
      <c r="B124" s="284" t="s">
        <v>293</v>
      </c>
      <c r="C124" s="284"/>
      <c r="D124" s="308"/>
      <c r="E124" s="23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308">
        <f t="shared" si="39"/>
        <v>0</v>
      </c>
      <c r="S124" s="293">
        <f t="shared" si="40"/>
        <v>0</v>
      </c>
    </row>
    <row r="125" spans="1:19" outlineLevel="1" x14ac:dyDescent="0.25">
      <c r="A125" s="314" t="s">
        <v>311</v>
      </c>
      <c r="B125" s="284" t="s">
        <v>312</v>
      </c>
      <c r="C125" s="284"/>
      <c r="D125" s="308"/>
      <c r="E125" s="23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308">
        <f t="shared" si="39"/>
        <v>0</v>
      </c>
      <c r="S125" s="293">
        <f t="shared" si="40"/>
        <v>0</v>
      </c>
    </row>
    <row r="126" spans="1:19" outlineLevel="1" x14ac:dyDescent="0.25">
      <c r="A126" s="314" t="s">
        <v>313</v>
      </c>
      <c r="B126" s="284" t="s">
        <v>314</v>
      </c>
      <c r="C126" s="284"/>
      <c r="D126" s="308"/>
      <c r="E126" s="23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308">
        <f t="shared" si="39"/>
        <v>0</v>
      </c>
      <c r="S126" s="293">
        <f t="shared" si="40"/>
        <v>0</v>
      </c>
    </row>
    <row r="127" spans="1:19" outlineLevel="1" x14ac:dyDescent="0.25">
      <c r="A127" s="314" t="s">
        <v>315</v>
      </c>
      <c r="B127" s="284" t="s">
        <v>316</v>
      </c>
      <c r="C127" s="284"/>
      <c r="D127" s="308"/>
      <c r="E127" s="23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308">
        <f t="shared" si="39"/>
        <v>0</v>
      </c>
      <c r="S127" s="293">
        <f t="shared" si="40"/>
        <v>0</v>
      </c>
    </row>
    <row r="128" spans="1:19" x14ac:dyDescent="0.25">
      <c r="A128" s="303" t="s">
        <v>334</v>
      </c>
      <c r="B128" s="304" t="s">
        <v>349</v>
      </c>
      <c r="C128" s="305"/>
      <c r="D128" s="306">
        <f t="shared" ref="D128:Q128" si="41">SUM(D129)</f>
        <v>0</v>
      </c>
      <c r="E128" s="307">
        <f t="shared" si="41"/>
        <v>0</v>
      </c>
      <c r="F128" s="307">
        <f t="shared" si="41"/>
        <v>0</v>
      </c>
      <c r="G128" s="307">
        <f t="shared" si="41"/>
        <v>0</v>
      </c>
      <c r="H128" s="307">
        <f t="shared" si="41"/>
        <v>0</v>
      </c>
      <c r="I128" s="307">
        <f t="shared" si="41"/>
        <v>0</v>
      </c>
      <c r="J128" s="307">
        <f t="shared" si="41"/>
        <v>0</v>
      </c>
      <c r="K128" s="307">
        <f t="shared" si="41"/>
        <v>0</v>
      </c>
      <c r="L128" s="307">
        <f t="shared" si="41"/>
        <v>0</v>
      </c>
      <c r="M128" s="307">
        <f t="shared" si="41"/>
        <v>0</v>
      </c>
      <c r="N128" s="307">
        <f t="shared" si="41"/>
        <v>0</v>
      </c>
      <c r="O128" s="307">
        <f t="shared" si="41"/>
        <v>0</v>
      </c>
      <c r="P128" s="307">
        <f t="shared" si="41"/>
        <v>0</v>
      </c>
      <c r="Q128" s="308">
        <f t="shared" si="41"/>
        <v>0</v>
      </c>
      <c r="S128" s="307">
        <f>SUM(S129)</f>
        <v>0</v>
      </c>
    </row>
    <row r="129" spans="1:19" outlineLevel="1" x14ac:dyDescent="0.25">
      <c r="A129" s="324" t="s">
        <v>350</v>
      </c>
      <c r="B129" s="325" t="s">
        <v>351</v>
      </c>
      <c r="C129" s="326"/>
      <c r="D129" s="327">
        <f t="shared" ref="D129:Q129" si="42">SUM(D130:D135)</f>
        <v>0</v>
      </c>
      <c r="E129" s="328">
        <f t="shared" si="42"/>
        <v>0</v>
      </c>
      <c r="F129" s="328">
        <f t="shared" si="42"/>
        <v>0</v>
      </c>
      <c r="G129" s="328">
        <f t="shared" si="42"/>
        <v>0</v>
      </c>
      <c r="H129" s="328">
        <f t="shared" si="42"/>
        <v>0</v>
      </c>
      <c r="I129" s="328">
        <f t="shared" si="42"/>
        <v>0</v>
      </c>
      <c r="J129" s="328">
        <f t="shared" si="42"/>
        <v>0</v>
      </c>
      <c r="K129" s="328">
        <f t="shared" si="42"/>
        <v>0</v>
      </c>
      <c r="L129" s="328">
        <f t="shared" si="42"/>
        <v>0</v>
      </c>
      <c r="M129" s="328">
        <f t="shared" si="42"/>
        <v>0</v>
      </c>
      <c r="N129" s="328">
        <f t="shared" si="42"/>
        <v>0</v>
      </c>
      <c r="O129" s="328">
        <f t="shared" si="42"/>
        <v>0</v>
      </c>
      <c r="P129" s="328">
        <f t="shared" si="42"/>
        <v>0</v>
      </c>
      <c r="Q129" s="329">
        <f t="shared" si="42"/>
        <v>0</v>
      </c>
      <c r="S129" s="328">
        <f>SUM(S130:S135)</f>
        <v>0</v>
      </c>
    </row>
    <row r="130" spans="1:19" outlineLevel="1" x14ac:dyDescent="0.25">
      <c r="A130" s="314" t="s">
        <v>352</v>
      </c>
      <c r="B130" s="284" t="s">
        <v>353</v>
      </c>
      <c r="C130" s="284"/>
      <c r="D130" s="308"/>
      <c r="E130" s="23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308">
        <f t="shared" ref="Q130:Q135" si="43">SUM(E130:P130)</f>
        <v>0</v>
      </c>
      <c r="S130" s="293">
        <f t="shared" ref="S130:S135" si="44">D130+Q130</f>
        <v>0</v>
      </c>
    </row>
    <row r="131" spans="1:19" outlineLevel="1" x14ac:dyDescent="0.25">
      <c r="A131" s="314" t="s">
        <v>354</v>
      </c>
      <c r="B131" s="284" t="s">
        <v>355</v>
      </c>
      <c r="C131" s="284"/>
      <c r="D131" s="308"/>
      <c r="E131" s="23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308">
        <f t="shared" si="43"/>
        <v>0</v>
      </c>
      <c r="S131" s="293">
        <f t="shared" si="44"/>
        <v>0</v>
      </c>
    </row>
    <row r="132" spans="1:19" outlineLevel="1" x14ac:dyDescent="0.25">
      <c r="A132" s="314" t="s">
        <v>356</v>
      </c>
      <c r="B132" s="284" t="s">
        <v>357</v>
      </c>
      <c r="C132" s="284"/>
      <c r="D132" s="308"/>
      <c r="E132" s="23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308">
        <f t="shared" si="43"/>
        <v>0</v>
      </c>
      <c r="S132" s="293">
        <f t="shared" si="44"/>
        <v>0</v>
      </c>
    </row>
    <row r="133" spans="1:19" outlineLevel="1" x14ac:dyDescent="0.25">
      <c r="A133" s="314" t="s">
        <v>358</v>
      </c>
      <c r="B133" s="284" t="s">
        <v>359</v>
      </c>
      <c r="C133" s="284"/>
      <c r="D133" s="308"/>
      <c r="E133" s="23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308">
        <f t="shared" si="43"/>
        <v>0</v>
      </c>
      <c r="S133" s="293">
        <f t="shared" si="44"/>
        <v>0</v>
      </c>
    </row>
    <row r="134" spans="1:19" outlineLevel="1" x14ac:dyDescent="0.25">
      <c r="A134" s="314" t="s">
        <v>360</v>
      </c>
      <c r="B134" s="284" t="s">
        <v>361</v>
      </c>
      <c r="C134" s="284"/>
      <c r="D134" s="308"/>
      <c r="E134" s="23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308">
        <f t="shared" si="43"/>
        <v>0</v>
      </c>
      <c r="S134" s="293">
        <f t="shared" si="44"/>
        <v>0</v>
      </c>
    </row>
    <row r="135" spans="1:19" outlineLevel="1" x14ac:dyDescent="0.25">
      <c r="A135" s="314" t="s">
        <v>364</v>
      </c>
      <c r="B135" s="284" t="s">
        <v>365</v>
      </c>
      <c r="C135" s="284"/>
      <c r="D135" s="308"/>
      <c r="E135" s="239"/>
      <c r="F135" s="239"/>
      <c r="G135" s="259"/>
      <c r="H135" s="259"/>
      <c r="I135" s="239"/>
      <c r="J135" s="259"/>
      <c r="K135" s="259"/>
      <c r="L135" s="259"/>
      <c r="M135" s="259"/>
      <c r="N135" s="259"/>
      <c r="O135" s="259"/>
      <c r="P135" s="259"/>
      <c r="Q135" s="308">
        <f t="shared" si="43"/>
        <v>0</v>
      </c>
      <c r="S135" s="293">
        <f t="shared" si="44"/>
        <v>0</v>
      </c>
    </row>
    <row r="136" spans="1:19" x14ac:dyDescent="0.25">
      <c r="A136" s="303" t="s">
        <v>561</v>
      </c>
      <c r="B136" s="304" t="s">
        <v>562</v>
      </c>
      <c r="C136" s="305"/>
      <c r="D136" s="306">
        <f t="shared" ref="D136:Q136" si="45">SUM(D137,D143)</f>
        <v>0</v>
      </c>
      <c r="E136" s="307">
        <f t="shared" si="45"/>
        <v>0</v>
      </c>
      <c r="F136" s="307">
        <f t="shared" si="45"/>
        <v>0</v>
      </c>
      <c r="G136" s="307">
        <f t="shared" si="45"/>
        <v>0</v>
      </c>
      <c r="H136" s="307">
        <f t="shared" si="45"/>
        <v>0</v>
      </c>
      <c r="I136" s="307">
        <f t="shared" si="45"/>
        <v>0</v>
      </c>
      <c r="J136" s="307">
        <f t="shared" si="45"/>
        <v>0</v>
      </c>
      <c r="K136" s="307">
        <f t="shared" si="45"/>
        <v>0</v>
      </c>
      <c r="L136" s="307">
        <f t="shared" si="45"/>
        <v>0</v>
      </c>
      <c r="M136" s="307">
        <f t="shared" si="45"/>
        <v>0</v>
      </c>
      <c r="N136" s="307">
        <f t="shared" si="45"/>
        <v>0</v>
      </c>
      <c r="O136" s="307">
        <f t="shared" si="45"/>
        <v>0</v>
      </c>
      <c r="P136" s="307">
        <f t="shared" si="45"/>
        <v>0</v>
      </c>
      <c r="Q136" s="308">
        <f t="shared" si="45"/>
        <v>0</v>
      </c>
      <c r="S136" s="307">
        <f>SUM(S137,S143)</f>
        <v>0</v>
      </c>
    </row>
    <row r="137" spans="1:19" outlineLevel="1" x14ac:dyDescent="0.25">
      <c r="A137" s="324" t="s">
        <v>366</v>
      </c>
      <c r="B137" s="325" t="s">
        <v>367</v>
      </c>
      <c r="C137" s="326"/>
      <c r="D137" s="327">
        <f>SUM(D138:D142)</f>
        <v>0</v>
      </c>
      <c r="E137" s="328">
        <f t="shared" ref="E137:P137" si="46">SUM(E138:E142)</f>
        <v>0</v>
      </c>
      <c r="F137" s="328">
        <f t="shared" si="46"/>
        <v>0</v>
      </c>
      <c r="G137" s="328">
        <f t="shared" si="46"/>
        <v>0</v>
      </c>
      <c r="H137" s="328">
        <f t="shared" si="46"/>
        <v>0</v>
      </c>
      <c r="I137" s="328">
        <f t="shared" si="46"/>
        <v>0</v>
      </c>
      <c r="J137" s="328">
        <f t="shared" si="46"/>
        <v>0</v>
      </c>
      <c r="K137" s="328">
        <f t="shared" si="46"/>
        <v>0</v>
      </c>
      <c r="L137" s="328">
        <f t="shared" si="46"/>
        <v>0</v>
      </c>
      <c r="M137" s="328">
        <f t="shared" si="46"/>
        <v>0</v>
      </c>
      <c r="N137" s="328">
        <f t="shared" si="46"/>
        <v>0</v>
      </c>
      <c r="O137" s="328">
        <f t="shared" si="46"/>
        <v>0</v>
      </c>
      <c r="P137" s="328">
        <f t="shared" si="46"/>
        <v>0</v>
      </c>
      <c r="Q137" s="329">
        <f>SUM(Q138:Q141)</f>
        <v>0</v>
      </c>
      <c r="S137" s="328">
        <f>SUM(S138:S141)</f>
        <v>0</v>
      </c>
    </row>
    <row r="138" spans="1:19" outlineLevel="1" x14ac:dyDescent="0.25">
      <c r="A138" s="314" t="s">
        <v>368</v>
      </c>
      <c r="B138" s="284" t="s">
        <v>369</v>
      </c>
      <c r="C138" s="284"/>
      <c r="D138" s="308"/>
      <c r="E138" s="239"/>
      <c r="F138" s="259"/>
      <c r="G138" s="259"/>
      <c r="H138" s="259"/>
      <c r="I138" s="259"/>
      <c r="J138" s="259"/>
      <c r="K138" s="259"/>
      <c r="L138" s="315"/>
      <c r="M138" s="259"/>
      <c r="N138" s="259"/>
      <c r="O138" s="259"/>
      <c r="P138" s="259"/>
      <c r="Q138" s="308">
        <f>SUM(E138:P138)</f>
        <v>0</v>
      </c>
      <c r="S138" s="293">
        <f>D138+Q138</f>
        <v>0</v>
      </c>
    </row>
    <row r="139" spans="1:19" outlineLevel="1" x14ac:dyDescent="0.25">
      <c r="A139" s="314" t="s">
        <v>370</v>
      </c>
      <c r="B139" s="284" t="s">
        <v>371</v>
      </c>
      <c r="C139" s="284"/>
      <c r="D139" s="308"/>
      <c r="E139" s="239"/>
      <c r="F139" s="259"/>
      <c r="G139" s="259"/>
      <c r="H139" s="259"/>
      <c r="I139" s="259"/>
      <c r="J139" s="259"/>
      <c r="K139" s="259"/>
      <c r="L139" s="315"/>
      <c r="M139" s="259"/>
      <c r="N139" s="259"/>
      <c r="O139" s="259"/>
      <c r="P139" s="259"/>
      <c r="Q139" s="308">
        <f>SUM(E139:P139)</f>
        <v>0</v>
      </c>
      <c r="S139" s="293">
        <f>D139+Q139</f>
        <v>0</v>
      </c>
    </row>
    <row r="140" spans="1:19" outlineLevel="1" x14ac:dyDescent="0.25">
      <c r="A140" s="314" t="s">
        <v>372</v>
      </c>
      <c r="B140" s="284" t="s">
        <v>373</v>
      </c>
      <c r="C140" s="284"/>
      <c r="D140" s="308"/>
      <c r="E140" s="239"/>
      <c r="F140" s="259"/>
      <c r="G140" s="259"/>
      <c r="H140" s="259"/>
      <c r="I140" s="259"/>
      <c r="J140" s="259"/>
      <c r="K140" s="259"/>
      <c r="L140" s="315"/>
      <c r="M140" s="259"/>
      <c r="N140" s="259"/>
      <c r="O140" s="259"/>
      <c r="P140" s="259"/>
      <c r="Q140" s="308">
        <f>SUM(E140:P140)</f>
        <v>0</v>
      </c>
      <c r="S140" s="293">
        <f>D140+Q140</f>
        <v>0</v>
      </c>
    </row>
    <row r="141" spans="1:19" outlineLevel="1" x14ac:dyDescent="0.25">
      <c r="A141" s="314" t="s">
        <v>374</v>
      </c>
      <c r="B141" s="284" t="s">
        <v>375</v>
      </c>
      <c r="C141" s="284"/>
      <c r="D141" s="308"/>
      <c r="E141" s="239"/>
      <c r="F141" s="259"/>
      <c r="G141" s="259"/>
      <c r="H141" s="259"/>
      <c r="I141" s="259"/>
      <c r="J141" s="259"/>
      <c r="K141" s="259"/>
      <c r="L141" s="315"/>
      <c r="M141" s="259"/>
      <c r="N141" s="259"/>
      <c r="O141" s="259"/>
      <c r="P141" s="259"/>
      <c r="Q141" s="308">
        <f>SUM(E141:P141)</f>
        <v>0</v>
      </c>
      <c r="S141" s="293">
        <f>D141+Q141</f>
        <v>0</v>
      </c>
    </row>
    <row r="142" spans="1:19" outlineLevel="1" x14ac:dyDescent="0.25">
      <c r="A142" s="314" t="s">
        <v>376</v>
      </c>
      <c r="B142" s="284" t="s">
        <v>377</v>
      </c>
      <c r="C142" s="284"/>
      <c r="D142" s="308"/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308">
        <f>SUM(E142:P142)</f>
        <v>0</v>
      </c>
      <c r="S142" s="293">
        <f>D142+Q142</f>
        <v>0</v>
      </c>
    </row>
    <row r="143" spans="1:19" outlineLevel="1" x14ac:dyDescent="0.25">
      <c r="A143" s="309" t="s">
        <v>317</v>
      </c>
      <c r="B143" s="310" t="s">
        <v>318</v>
      </c>
      <c r="C143" s="311"/>
      <c r="D143" s="312">
        <f t="shared" ref="D143:Q143" si="47">SUM(D144:D150)</f>
        <v>0</v>
      </c>
      <c r="E143" s="313">
        <f t="shared" si="47"/>
        <v>0</v>
      </c>
      <c r="F143" s="313">
        <f t="shared" si="47"/>
        <v>0</v>
      </c>
      <c r="G143" s="313">
        <f t="shared" si="47"/>
        <v>0</v>
      </c>
      <c r="H143" s="313">
        <f t="shared" si="47"/>
        <v>0</v>
      </c>
      <c r="I143" s="313">
        <f t="shared" si="47"/>
        <v>0</v>
      </c>
      <c r="J143" s="313">
        <f t="shared" si="47"/>
        <v>0</v>
      </c>
      <c r="K143" s="313">
        <f t="shared" si="47"/>
        <v>0</v>
      </c>
      <c r="L143" s="313">
        <f t="shared" si="47"/>
        <v>0</v>
      </c>
      <c r="M143" s="313">
        <f t="shared" si="47"/>
        <v>0</v>
      </c>
      <c r="N143" s="313">
        <f t="shared" si="47"/>
        <v>0</v>
      </c>
      <c r="O143" s="313">
        <f t="shared" si="47"/>
        <v>0</v>
      </c>
      <c r="P143" s="313">
        <f t="shared" si="47"/>
        <v>0</v>
      </c>
      <c r="Q143" s="308">
        <f t="shared" si="47"/>
        <v>0</v>
      </c>
      <c r="S143" s="313">
        <f>SUM(S144:S150)</f>
        <v>0</v>
      </c>
    </row>
    <row r="144" spans="1:19" outlineLevel="1" x14ac:dyDescent="0.25">
      <c r="A144" s="314" t="s">
        <v>319</v>
      </c>
      <c r="B144" s="284" t="s">
        <v>320</v>
      </c>
      <c r="C144" s="284"/>
      <c r="D144" s="308"/>
      <c r="E144" s="23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308">
        <f t="shared" ref="Q144:Q150" si="48">SUM(E144:P144)</f>
        <v>0</v>
      </c>
      <c r="S144" s="293">
        <f t="shared" ref="S144:S150" si="49">D144+Q144</f>
        <v>0</v>
      </c>
    </row>
    <row r="145" spans="1:19" outlineLevel="1" x14ac:dyDescent="0.25">
      <c r="A145" s="314" t="s">
        <v>321</v>
      </c>
      <c r="B145" s="284" t="s">
        <v>322</v>
      </c>
      <c r="C145" s="284"/>
      <c r="D145" s="308"/>
      <c r="E145" s="23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308">
        <f t="shared" si="48"/>
        <v>0</v>
      </c>
      <c r="S145" s="293">
        <f t="shared" si="49"/>
        <v>0</v>
      </c>
    </row>
    <row r="146" spans="1:19" outlineLevel="1" x14ac:dyDescent="0.25">
      <c r="A146" s="314" t="s">
        <v>323</v>
      </c>
      <c r="B146" s="284" t="s">
        <v>324</v>
      </c>
      <c r="C146" s="284"/>
      <c r="D146" s="308"/>
      <c r="E146" s="23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308">
        <f t="shared" si="48"/>
        <v>0</v>
      </c>
      <c r="S146" s="293">
        <f t="shared" si="49"/>
        <v>0</v>
      </c>
    </row>
    <row r="147" spans="1:19" outlineLevel="1" x14ac:dyDescent="0.25">
      <c r="A147" s="314" t="s">
        <v>325</v>
      </c>
      <c r="B147" s="284" t="s">
        <v>326</v>
      </c>
      <c r="C147" s="284"/>
      <c r="D147" s="308"/>
      <c r="E147" s="239"/>
      <c r="F147" s="259"/>
      <c r="G147" s="259"/>
      <c r="H147" s="259"/>
      <c r="I147" s="259"/>
      <c r="J147" s="259"/>
      <c r="K147" s="259"/>
      <c r="L147" s="315"/>
      <c r="M147" s="259"/>
      <c r="N147" s="259"/>
      <c r="O147" s="259"/>
      <c r="P147" s="259"/>
      <c r="Q147" s="308">
        <f t="shared" si="48"/>
        <v>0</v>
      </c>
      <c r="S147" s="293">
        <f t="shared" si="49"/>
        <v>0</v>
      </c>
    </row>
    <row r="148" spans="1:19" outlineLevel="1" x14ac:dyDescent="0.25">
      <c r="A148" s="314" t="s">
        <v>327</v>
      </c>
      <c r="B148" s="284" t="s">
        <v>328</v>
      </c>
      <c r="C148" s="284"/>
      <c r="D148" s="308"/>
      <c r="E148" s="239"/>
      <c r="F148" s="259"/>
      <c r="G148" s="259"/>
      <c r="H148" s="259"/>
      <c r="I148" s="259"/>
      <c r="J148" s="259"/>
      <c r="K148" s="259"/>
      <c r="L148" s="315"/>
      <c r="M148" s="259"/>
      <c r="N148" s="259"/>
      <c r="O148" s="259"/>
      <c r="P148" s="259"/>
      <c r="Q148" s="308">
        <f t="shared" si="48"/>
        <v>0</v>
      </c>
      <c r="S148" s="293">
        <f t="shared" si="49"/>
        <v>0</v>
      </c>
    </row>
    <row r="149" spans="1:19" outlineLevel="1" x14ac:dyDescent="0.25">
      <c r="A149" s="314" t="s">
        <v>330</v>
      </c>
      <c r="B149" s="284" t="s">
        <v>331</v>
      </c>
      <c r="C149" s="284"/>
      <c r="D149" s="308"/>
      <c r="E149" s="239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308">
        <f t="shared" si="48"/>
        <v>0</v>
      </c>
      <c r="S149" s="293">
        <f t="shared" si="49"/>
        <v>0</v>
      </c>
    </row>
    <row r="150" spans="1:19" outlineLevel="1" x14ac:dyDescent="0.25">
      <c r="A150" s="314" t="s">
        <v>332</v>
      </c>
      <c r="B150" s="284" t="s">
        <v>333</v>
      </c>
      <c r="C150" s="284"/>
      <c r="D150" s="308"/>
      <c r="E150" s="23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308">
        <f t="shared" si="48"/>
        <v>0</v>
      </c>
      <c r="S150" s="293">
        <f t="shared" si="49"/>
        <v>0</v>
      </c>
    </row>
    <row r="151" spans="1:19" x14ac:dyDescent="0.25">
      <c r="A151" s="303" t="s">
        <v>378</v>
      </c>
      <c r="B151" s="304" t="s">
        <v>379</v>
      </c>
      <c r="C151" s="305"/>
      <c r="D151" s="306">
        <f t="shared" ref="D151:Q151" si="50">SUM(D152,D159)</f>
        <v>0</v>
      </c>
      <c r="E151" s="307">
        <f t="shared" si="50"/>
        <v>0</v>
      </c>
      <c r="F151" s="307">
        <f t="shared" si="50"/>
        <v>0</v>
      </c>
      <c r="G151" s="307">
        <f t="shared" si="50"/>
        <v>0</v>
      </c>
      <c r="H151" s="307">
        <f t="shared" si="50"/>
        <v>0</v>
      </c>
      <c r="I151" s="307">
        <f t="shared" si="50"/>
        <v>0</v>
      </c>
      <c r="J151" s="307">
        <f t="shared" si="50"/>
        <v>0</v>
      </c>
      <c r="K151" s="307">
        <f t="shared" si="50"/>
        <v>0</v>
      </c>
      <c r="L151" s="307">
        <f t="shared" si="50"/>
        <v>0</v>
      </c>
      <c r="M151" s="307">
        <f t="shared" si="50"/>
        <v>0</v>
      </c>
      <c r="N151" s="307">
        <f t="shared" si="50"/>
        <v>0</v>
      </c>
      <c r="O151" s="307">
        <f t="shared" si="50"/>
        <v>0</v>
      </c>
      <c r="P151" s="307">
        <f t="shared" si="50"/>
        <v>0</v>
      </c>
      <c r="Q151" s="308">
        <f t="shared" si="50"/>
        <v>0</v>
      </c>
      <c r="S151" s="307">
        <f>SUM(S152,S159)</f>
        <v>0</v>
      </c>
    </row>
    <row r="152" spans="1:19" outlineLevel="1" x14ac:dyDescent="0.25">
      <c r="A152" s="309" t="s">
        <v>380</v>
      </c>
      <c r="B152" s="310" t="s">
        <v>381</v>
      </c>
      <c r="C152" s="311"/>
      <c r="D152" s="312">
        <f t="shared" ref="D152:Q152" si="51">SUM(D153:D158)</f>
        <v>0</v>
      </c>
      <c r="E152" s="313">
        <f t="shared" si="51"/>
        <v>0</v>
      </c>
      <c r="F152" s="313">
        <f t="shared" si="51"/>
        <v>0</v>
      </c>
      <c r="G152" s="313">
        <f t="shared" si="51"/>
        <v>0</v>
      </c>
      <c r="H152" s="313">
        <f t="shared" si="51"/>
        <v>0</v>
      </c>
      <c r="I152" s="313">
        <f t="shared" si="51"/>
        <v>0</v>
      </c>
      <c r="J152" s="313">
        <f t="shared" si="51"/>
        <v>0</v>
      </c>
      <c r="K152" s="313">
        <f t="shared" si="51"/>
        <v>0</v>
      </c>
      <c r="L152" s="313">
        <f t="shared" si="51"/>
        <v>0</v>
      </c>
      <c r="M152" s="313">
        <f t="shared" si="51"/>
        <v>0</v>
      </c>
      <c r="N152" s="313">
        <f t="shared" si="51"/>
        <v>0</v>
      </c>
      <c r="O152" s="313">
        <f t="shared" si="51"/>
        <v>0</v>
      </c>
      <c r="P152" s="313">
        <f t="shared" si="51"/>
        <v>0</v>
      </c>
      <c r="Q152" s="308">
        <f t="shared" si="51"/>
        <v>0</v>
      </c>
      <c r="S152" s="313">
        <f>SUM(S153:S158)</f>
        <v>0</v>
      </c>
    </row>
    <row r="153" spans="1:19" outlineLevel="1" x14ac:dyDescent="0.25">
      <c r="A153" s="314" t="s">
        <v>382</v>
      </c>
      <c r="B153" s="284" t="s">
        <v>383</v>
      </c>
      <c r="C153" s="284"/>
      <c r="D153" s="308"/>
      <c r="E153" s="23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308">
        <f t="shared" ref="Q153:Q158" si="52">SUM(E153:P153)</f>
        <v>0</v>
      </c>
      <c r="S153" s="293">
        <f t="shared" ref="S153:S158" si="53">D153+Q153</f>
        <v>0</v>
      </c>
    </row>
    <row r="154" spans="1:19" outlineLevel="1" x14ac:dyDescent="0.25">
      <c r="A154" s="314" t="s">
        <v>384</v>
      </c>
      <c r="B154" s="284" t="s">
        <v>385</v>
      </c>
      <c r="C154" s="284"/>
      <c r="D154" s="308"/>
      <c r="E154" s="23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308">
        <f t="shared" si="52"/>
        <v>0</v>
      </c>
      <c r="S154" s="293">
        <f t="shared" si="53"/>
        <v>0</v>
      </c>
    </row>
    <row r="155" spans="1:19" outlineLevel="1" x14ac:dyDescent="0.25">
      <c r="A155" s="284" t="s">
        <v>386</v>
      </c>
      <c r="B155" s="284" t="s">
        <v>387</v>
      </c>
      <c r="C155" s="284"/>
      <c r="D155" s="308"/>
      <c r="E155" s="23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259"/>
      <c r="Q155" s="308">
        <f t="shared" si="52"/>
        <v>0</v>
      </c>
      <c r="S155" s="293">
        <f t="shared" si="53"/>
        <v>0</v>
      </c>
    </row>
    <row r="156" spans="1:19" outlineLevel="1" x14ac:dyDescent="0.25">
      <c r="A156" s="314" t="s">
        <v>388</v>
      </c>
      <c r="B156" s="284" t="s">
        <v>389</v>
      </c>
      <c r="C156" s="284"/>
      <c r="D156" s="308"/>
      <c r="E156" s="239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  <c r="P156" s="259"/>
      <c r="Q156" s="308">
        <f t="shared" si="52"/>
        <v>0</v>
      </c>
      <c r="S156" s="293">
        <f t="shared" si="53"/>
        <v>0</v>
      </c>
    </row>
    <row r="157" spans="1:19" outlineLevel="1" x14ac:dyDescent="0.25">
      <c r="A157" s="314" t="s">
        <v>390</v>
      </c>
      <c r="B157" s="284" t="s">
        <v>391</v>
      </c>
      <c r="C157" s="284"/>
      <c r="D157" s="308"/>
      <c r="E157" s="23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259"/>
      <c r="Q157" s="308">
        <f t="shared" si="52"/>
        <v>0</v>
      </c>
      <c r="S157" s="293">
        <f t="shared" si="53"/>
        <v>0</v>
      </c>
    </row>
    <row r="158" spans="1:19" outlineLevel="1" x14ac:dyDescent="0.25">
      <c r="A158" s="314" t="s">
        <v>392</v>
      </c>
      <c r="B158" s="284" t="s">
        <v>393</v>
      </c>
      <c r="C158" s="284"/>
      <c r="D158" s="308"/>
      <c r="E158" s="239"/>
      <c r="F158" s="239"/>
      <c r="G158" s="259"/>
      <c r="H158" s="259"/>
      <c r="I158" s="259"/>
      <c r="J158" s="259"/>
      <c r="K158" s="259"/>
      <c r="L158" s="259"/>
      <c r="M158" s="259"/>
      <c r="N158" s="259"/>
      <c r="O158" s="259"/>
      <c r="P158" s="259"/>
      <c r="Q158" s="308">
        <f t="shared" si="52"/>
        <v>0</v>
      </c>
      <c r="S158" s="293">
        <f t="shared" si="53"/>
        <v>0</v>
      </c>
    </row>
    <row r="159" spans="1:19" outlineLevel="1" x14ac:dyDescent="0.25">
      <c r="A159" s="309" t="s">
        <v>394</v>
      </c>
      <c r="B159" s="310" t="s">
        <v>395</v>
      </c>
      <c r="C159" s="311"/>
      <c r="D159" s="312">
        <f t="shared" ref="D159:Q159" si="54">SUM(D160:D162)</f>
        <v>0</v>
      </c>
      <c r="E159" s="313">
        <f t="shared" si="54"/>
        <v>0</v>
      </c>
      <c r="F159" s="313">
        <f t="shared" si="54"/>
        <v>0</v>
      </c>
      <c r="G159" s="313">
        <f t="shared" si="54"/>
        <v>0</v>
      </c>
      <c r="H159" s="313">
        <f t="shared" si="54"/>
        <v>0</v>
      </c>
      <c r="I159" s="313">
        <f t="shared" si="54"/>
        <v>0</v>
      </c>
      <c r="J159" s="313">
        <f t="shared" si="54"/>
        <v>0</v>
      </c>
      <c r="K159" s="313">
        <f t="shared" si="54"/>
        <v>0</v>
      </c>
      <c r="L159" s="313">
        <f t="shared" si="54"/>
        <v>0</v>
      </c>
      <c r="M159" s="313">
        <f t="shared" si="54"/>
        <v>0</v>
      </c>
      <c r="N159" s="313">
        <f t="shared" si="54"/>
        <v>0</v>
      </c>
      <c r="O159" s="313">
        <f t="shared" si="54"/>
        <v>0</v>
      </c>
      <c r="P159" s="313">
        <f t="shared" si="54"/>
        <v>0</v>
      </c>
      <c r="Q159" s="308">
        <f t="shared" si="54"/>
        <v>0</v>
      </c>
      <c r="S159" s="313">
        <f>SUM(S160:S162)</f>
        <v>0</v>
      </c>
    </row>
    <row r="160" spans="1:19" outlineLevel="1" x14ac:dyDescent="0.25">
      <c r="A160" s="314" t="s">
        <v>396</v>
      </c>
      <c r="B160" s="284" t="s">
        <v>563</v>
      </c>
      <c r="C160" s="284"/>
      <c r="D160" s="308"/>
      <c r="E160" s="23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308">
        <f>SUM(E160:P160)</f>
        <v>0</v>
      </c>
      <c r="S160" s="293">
        <f>D160+Q160</f>
        <v>0</v>
      </c>
    </row>
    <row r="161" spans="1:19" outlineLevel="1" x14ac:dyDescent="0.25">
      <c r="A161" s="314" t="s">
        <v>402</v>
      </c>
      <c r="B161" s="284" t="s">
        <v>403</v>
      </c>
      <c r="C161" s="284"/>
      <c r="D161" s="308"/>
      <c r="E161" s="23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308">
        <f>SUM(E161:P161)</f>
        <v>0</v>
      </c>
      <c r="S161" s="293">
        <f>D161+Q161</f>
        <v>0</v>
      </c>
    </row>
    <row r="162" spans="1:19" outlineLevel="1" x14ac:dyDescent="0.25">
      <c r="A162" s="314" t="s">
        <v>404</v>
      </c>
      <c r="B162" s="284" t="s">
        <v>405</v>
      </c>
      <c r="C162" s="284"/>
      <c r="D162" s="308"/>
      <c r="E162" s="239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308">
        <f>SUM(E162:P162)</f>
        <v>0</v>
      </c>
      <c r="S162" s="293">
        <f>D162+Q162</f>
        <v>0</v>
      </c>
    </row>
    <row r="163" spans="1:19" x14ac:dyDescent="0.25">
      <c r="A163" s="303" t="s">
        <v>406</v>
      </c>
      <c r="B163" s="304" t="s">
        <v>407</v>
      </c>
      <c r="C163" s="305"/>
      <c r="D163" s="306">
        <f t="shared" ref="D163:Q163" si="55">SUM(D164,D179,D184,D186)</f>
        <v>0</v>
      </c>
      <c r="E163" s="307">
        <f t="shared" si="55"/>
        <v>0</v>
      </c>
      <c r="F163" s="307">
        <f t="shared" si="55"/>
        <v>0</v>
      </c>
      <c r="G163" s="307">
        <f t="shared" si="55"/>
        <v>0</v>
      </c>
      <c r="H163" s="307">
        <f t="shared" si="55"/>
        <v>0</v>
      </c>
      <c r="I163" s="307">
        <f t="shared" si="55"/>
        <v>0</v>
      </c>
      <c r="J163" s="307">
        <f t="shared" si="55"/>
        <v>0</v>
      </c>
      <c r="K163" s="307">
        <f t="shared" si="55"/>
        <v>0</v>
      </c>
      <c r="L163" s="307">
        <f t="shared" si="55"/>
        <v>0</v>
      </c>
      <c r="M163" s="307">
        <f t="shared" si="55"/>
        <v>0</v>
      </c>
      <c r="N163" s="307">
        <f t="shared" si="55"/>
        <v>0</v>
      </c>
      <c r="O163" s="307">
        <f t="shared" si="55"/>
        <v>0</v>
      </c>
      <c r="P163" s="307">
        <f t="shared" si="55"/>
        <v>0</v>
      </c>
      <c r="Q163" s="308">
        <f t="shared" si="55"/>
        <v>0</v>
      </c>
      <c r="S163" s="307">
        <f>SUM(S164,S179,S184,S186)</f>
        <v>0</v>
      </c>
    </row>
    <row r="164" spans="1:19" outlineLevel="1" x14ac:dyDescent="0.25">
      <c r="A164" s="324" t="s">
        <v>408</v>
      </c>
      <c r="B164" s="325" t="s">
        <v>409</v>
      </c>
      <c r="C164" s="326"/>
      <c r="D164" s="312">
        <f t="shared" ref="D164:Q164" si="56">SUM(D165:D178)</f>
        <v>0</v>
      </c>
      <c r="E164" s="313">
        <f t="shared" si="56"/>
        <v>0</v>
      </c>
      <c r="F164" s="313">
        <f t="shared" si="56"/>
        <v>0</v>
      </c>
      <c r="G164" s="313">
        <f t="shared" si="56"/>
        <v>0</v>
      </c>
      <c r="H164" s="313">
        <f t="shared" si="56"/>
        <v>0</v>
      </c>
      <c r="I164" s="313">
        <f t="shared" si="56"/>
        <v>0</v>
      </c>
      <c r="J164" s="313">
        <f t="shared" si="56"/>
        <v>0</v>
      </c>
      <c r="K164" s="313">
        <f t="shared" si="56"/>
        <v>0</v>
      </c>
      <c r="L164" s="313">
        <f t="shared" si="56"/>
        <v>0</v>
      </c>
      <c r="M164" s="313">
        <f t="shared" si="56"/>
        <v>0</v>
      </c>
      <c r="N164" s="313">
        <f t="shared" si="56"/>
        <v>0</v>
      </c>
      <c r="O164" s="313">
        <f t="shared" si="56"/>
        <v>0</v>
      </c>
      <c r="P164" s="313">
        <f t="shared" si="56"/>
        <v>0</v>
      </c>
      <c r="Q164" s="308">
        <f t="shared" si="56"/>
        <v>0</v>
      </c>
      <c r="S164" s="313">
        <f>SUM(S165:S178)</f>
        <v>0</v>
      </c>
    </row>
    <row r="165" spans="1:19" outlineLevel="1" x14ac:dyDescent="0.25">
      <c r="A165" s="314" t="s">
        <v>83</v>
      </c>
      <c r="B165" s="284" t="s">
        <v>84</v>
      </c>
      <c r="C165" s="330">
        <v>6.4999999999999997E-3</v>
      </c>
      <c r="D165" s="308">
        <f>D13*$C$165</f>
        <v>0</v>
      </c>
      <c r="E165" s="331">
        <f>E13*$C$165</f>
        <v>0</v>
      </c>
      <c r="F165" s="331">
        <f t="shared" ref="F165:P165" si="57">F13*$C$165</f>
        <v>0</v>
      </c>
      <c r="G165" s="331">
        <f t="shared" si="57"/>
        <v>0</v>
      </c>
      <c r="H165" s="331">
        <f t="shared" si="57"/>
        <v>0</v>
      </c>
      <c r="I165" s="331">
        <f t="shared" si="57"/>
        <v>0</v>
      </c>
      <c r="J165" s="331">
        <f t="shared" si="57"/>
        <v>0</v>
      </c>
      <c r="K165" s="331">
        <f t="shared" si="57"/>
        <v>0</v>
      </c>
      <c r="L165" s="331">
        <f t="shared" si="57"/>
        <v>0</v>
      </c>
      <c r="M165" s="331">
        <f t="shared" si="57"/>
        <v>0</v>
      </c>
      <c r="N165" s="331">
        <f t="shared" si="57"/>
        <v>0</v>
      </c>
      <c r="O165" s="331">
        <f t="shared" si="57"/>
        <v>0</v>
      </c>
      <c r="P165" s="331">
        <f t="shared" si="57"/>
        <v>0</v>
      </c>
      <c r="Q165" s="308">
        <f t="shared" ref="Q165:Q178" si="58">SUM(E165:P165)</f>
        <v>0</v>
      </c>
      <c r="S165" s="293">
        <f t="shared" ref="S165:S178" si="59">D165+Q165</f>
        <v>0</v>
      </c>
    </row>
    <row r="166" spans="1:19" outlineLevel="1" x14ac:dyDescent="0.25">
      <c r="A166" s="314" t="s">
        <v>410</v>
      </c>
      <c r="B166" s="284" t="s">
        <v>411</v>
      </c>
      <c r="C166" s="330"/>
      <c r="D166" s="308"/>
      <c r="E166" s="239"/>
      <c r="F166" s="259"/>
      <c r="G166" s="259"/>
      <c r="H166" s="259"/>
      <c r="I166" s="259"/>
      <c r="J166" s="259"/>
      <c r="K166" s="259"/>
      <c r="L166" s="315"/>
      <c r="M166" s="259"/>
      <c r="N166" s="259"/>
      <c r="O166" s="259"/>
      <c r="P166" s="259"/>
      <c r="Q166" s="308">
        <f t="shared" si="58"/>
        <v>0</v>
      </c>
      <c r="S166" s="293">
        <f t="shared" si="59"/>
        <v>0</v>
      </c>
    </row>
    <row r="167" spans="1:19" outlineLevel="1" x14ac:dyDescent="0.25">
      <c r="A167" s="314" t="s">
        <v>85</v>
      </c>
      <c r="B167" s="284" t="s">
        <v>86</v>
      </c>
      <c r="C167" s="330">
        <v>0.03</v>
      </c>
      <c r="D167" s="308">
        <f>D13*$C$167</f>
        <v>0</v>
      </c>
      <c r="E167" s="259">
        <f>E13*$C$167</f>
        <v>0</v>
      </c>
      <c r="F167" s="259">
        <f t="shared" ref="F167:P167" si="60">F13*$C$167</f>
        <v>0</v>
      </c>
      <c r="G167" s="259">
        <f t="shared" si="60"/>
        <v>0</v>
      </c>
      <c r="H167" s="259">
        <f t="shared" si="60"/>
        <v>0</v>
      </c>
      <c r="I167" s="259">
        <f t="shared" si="60"/>
        <v>0</v>
      </c>
      <c r="J167" s="259">
        <f t="shared" si="60"/>
        <v>0</v>
      </c>
      <c r="K167" s="259">
        <f t="shared" si="60"/>
        <v>0</v>
      </c>
      <c r="L167" s="259">
        <f t="shared" si="60"/>
        <v>0</v>
      </c>
      <c r="M167" s="259">
        <f t="shared" si="60"/>
        <v>0</v>
      </c>
      <c r="N167" s="259">
        <f t="shared" si="60"/>
        <v>0</v>
      </c>
      <c r="O167" s="259">
        <f t="shared" si="60"/>
        <v>0</v>
      </c>
      <c r="P167" s="259">
        <f t="shared" si="60"/>
        <v>0</v>
      </c>
      <c r="Q167" s="308">
        <f t="shared" si="58"/>
        <v>0</v>
      </c>
      <c r="S167" s="293">
        <f t="shared" si="59"/>
        <v>0</v>
      </c>
    </row>
    <row r="168" spans="1:19" outlineLevel="1" x14ac:dyDescent="0.25">
      <c r="A168" s="314" t="s">
        <v>412</v>
      </c>
      <c r="B168" s="284" t="s">
        <v>413</v>
      </c>
      <c r="C168" s="284"/>
      <c r="D168" s="308"/>
      <c r="E168" s="239"/>
      <c r="F168" s="259"/>
      <c r="G168" s="259"/>
      <c r="H168" s="259"/>
      <c r="I168" s="259"/>
      <c r="J168" s="259"/>
      <c r="K168" s="259"/>
      <c r="L168" s="315"/>
      <c r="M168" s="259"/>
      <c r="N168" s="259"/>
      <c r="O168" s="259"/>
      <c r="P168" s="259"/>
      <c r="Q168" s="308">
        <f t="shared" si="58"/>
        <v>0</v>
      </c>
      <c r="S168" s="293">
        <f t="shared" si="59"/>
        <v>0</v>
      </c>
    </row>
    <row r="169" spans="1:19" outlineLevel="1" x14ac:dyDescent="0.25">
      <c r="A169" s="314" t="s">
        <v>87</v>
      </c>
      <c r="B169" s="284" t="s">
        <v>88</v>
      </c>
      <c r="C169" s="284"/>
      <c r="D169" s="308"/>
      <c r="E169" s="239"/>
      <c r="F169" s="259"/>
      <c r="G169" s="259"/>
      <c r="H169" s="259"/>
      <c r="I169" s="259"/>
      <c r="J169" s="259"/>
      <c r="K169" s="259"/>
      <c r="L169" s="315"/>
      <c r="M169" s="259"/>
      <c r="N169" s="259"/>
      <c r="O169" s="259"/>
      <c r="P169" s="259"/>
      <c r="Q169" s="308">
        <f t="shared" si="58"/>
        <v>0</v>
      </c>
      <c r="S169" s="293">
        <f t="shared" si="59"/>
        <v>0</v>
      </c>
    </row>
    <row r="170" spans="1:19" outlineLevel="1" x14ac:dyDescent="0.25">
      <c r="A170" s="314" t="s">
        <v>414</v>
      </c>
      <c r="B170" s="284" t="s">
        <v>415</v>
      </c>
      <c r="C170" s="284"/>
      <c r="D170" s="308"/>
      <c r="E170" s="239"/>
      <c r="F170" s="259"/>
      <c r="G170" s="259"/>
      <c r="H170" s="259"/>
      <c r="I170" s="259"/>
      <c r="J170" s="259"/>
      <c r="K170" s="259"/>
      <c r="L170" s="315"/>
      <c r="M170" s="259"/>
      <c r="N170" s="259"/>
      <c r="O170" s="259"/>
      <c r="P170" s="259"/>
      <c r="Q170" s="308">
        <f t="shared" si="58"/>
        <v>0</v>
      </c>
      <c r="S170" s="293">
        <f t="shared" si="59"/>
        <v>0</v>
      </c>
    </row>
    <row r="171" spans="1:19" outlineLevel="1" x14ac:dyDescent="0.25">
      <c r="A171" s="314" t="s">
        <v>416</v>
      </c>
      <c r="B171" s="284" t="s">
        <v>564</v>
      </c>
      <c r="C171" s="284"/>
      <c r="D171" s="308"/>
      <c r="E171" s="239"/>
      <c r="F171" s="259"/>
      <c r="G171" s="259"/>
      <c r="H171" s="259"/>
      <c r="I171" s="259"/>
      <c r="J171" s="259"/>
      <c r="K171" s="259"/>
      <c r="L171" s="315"/>
      <c r="M171" s="259"/>
      <c r="N171" s="259"/>
      <c r="O171" s="259"/>
      <c r="P171" s="259"/>
      <c r="Q171" s="308">
        <f t="shared" si="58"/>
        <v>0</v>
      </c>
      <c r="S171" s="293">
        <f t="shared" si="59"/>
        <v>0</v>
      </c>
    </row>
    <row r="172" spans="1:19" outlineLevel="1" x14ac:dyDescent="0.25">
      <c r="A172" s="314" t="s">
        <v>417</v>
      </c>
      <c r="B172" s="284" t="s">
        <v>418</v>
      </c>
      <c r="C172" s="284"/>
      <c r="D172" s="308"/>
      <c r="E172" s="239"/>
      <c r="F172" s="259"/>
      <c r="G172" s="259"/>
      <c r="H172" s="259"/>
      <c r="I172" s="259"/>
      <c r="J172" s="259"/>
      <c r="K172" s="259"/>
      <c r="L172" s="315"/>
      <c r="M172" s="259"/>
      <c r="N172" s="259"/>
      <c r="O172" s="259"/>
      <c r="P172" s="259"/>
      <c r="Q172" s="308">
        <f t="shared" si="58"/>
        <v>0</v>
      </c>
      <c r="S172" s="293">
        <f t="shared" si="59"/>
        <v>0</v>
      </c>
    </row>
    <row r="173" spans="1:19" outlineLevel="1" x14ac:dyDescent="0.25">
      <c r="A173" s="314" t="s">
        <v>419</v>
      </c>
      <c r="B173" s="284" t="s">
        <v>420</v>
      </c>
      <c r="C173" s="284"/>
      <c r="D173" s="308"/>
      <c r="E173" s="239"/>
      <c r="F173" s="259"/>
      <c r="G173" s="259"/>
      <c r="H173" s="259"/>
      <c r="I173" s="259"/>
      <c r="J173" s="259"/>
      <c r="K173" s="259"/>
      <c r="L173" s="315"/>
      <c r="M173" s="259"/>
      <c r="N173" s="259"/>
      <c r="O173" s="259"/>
      <c r="P173" s="259"/>
      <c r="Q173" s="308">
        <f t="shared" si="58"/>
        <v>0</v>
      </c>
      <c r="S173" s="293">
        <f t="shared" si="59"/>
        <v>0</v>
      </c>
    </row>
    <row r="174" spans="1:19" outlineLevel="1" x14ac:dyDescent="0.25">
      <c r="A174" s="314" t="s">
        <v>421</v>
      </c>
      <c r="B174" s="284" t="s">
        <v>422</v>
      </c>
      <c r="C174" s="284"/>
      <c r="D174" s="308"/>
      <c r="E174" s="239"/>
      <c r="F174" s="259"/>
      <c r="G174" s="259"/>
      <c r="H174" s="259"/>
      <c r="I174" s="259"/>
      <c r="J174" s="259"/>
      <c r="K174" s="259"/>
      <c r="L174" s="259"/>
      <c r="M174" s="259"/>
      <c r="N174" s="259"/>
      <c r="O174" s="259"/>
      <c r="P174" s="259"/>
      <c r="Q174" s="308">
        <f t="shared" si="58"/>
        <v>0</v>
      </c>
      <c r="S174" s="293">
        <f t="shared" si="59"/>
        <v>0</v>
      </c>
    </row>
    <row r="175" spans="1:19" outlineLevel="1" x14ac:dyDescent="0.25">
      <c r="A175" s="314" t="s">
        <v>91</v>
      </c>
      <c r="B175" s="284" t="s">
        <v>92</v>
      </c>
      <c r="C175" s="284"/>
      <c r="D175" s="308"/>
      <c r="E175" s="239"/>
      <c r="F175" s="259"/>
      <c r="G175" s="259"/>
      <c r="H175" s="259"/>
      <c r="I175" s="259"/>
      <c r="J175" s="259"/>
      <c r="K175" s="259"/>
      <c r="L175" s="315"/>
      <c r="M175" s="259"/>
      <c r="N175" s="259"/>
      <c r="O175" s="259"/>
      <c r="P175" s="259"/>
      <c r="Q175" s="308">
        <f t="shared" si="58"/>
        <v>0</v>
      </c>
      <c r="S175" s="293">
        <f t="shared" si="59"/>
        <v>0</v>
      </c>
    </row>
    <row r="176" spans="1:19" outlineLevel="1" x14ac:dyDescent="0.25">
      <c r="A176" s="314" t="s">
        <v>93</v>
      </c>
      <c r="B176" s="284" t="s">
        <v>94</v>
      </c>
      <c r="C176" s="284"/>
      <c r="D176" s="308">
        <f>D13*2%</f>
        <v>0</v>
      </c>
      <c r="E176" s="239">
        <f>E13*2%</f>
        <v>0</v>
      </c>
      <c r="F176" s="239">
        <f>F13*2%</f>
        <v>0</v>
      </c>
      <c r="G176" s="239">
        <f>G13*2%</f>
        <v>0</v>
      </c>
      <c r="H176" s="239">
        <f>H13*2%</f>
        <v>0</v>
      </c>
      <c r="I176" s="239">
        <f t="shared" ref="I176:P176" si="61">I13*2%</f>
        <v>0</v>
      </c>
      <c r="J176" s="239">
        <f t="shared" si="61"/>
        <v>0</v>
      </c>
      <c r="K176" s="239">
        <f t="shared" si="61"/>
        <v>0</v>
      </c>
      <c r="L176" s="239">
        <f t="shared" si="61"/>
        <v>0</v>
      </c>
      <c r="M176" s="239">
        <f t="shared" si="61"/>
        <v>0</v>
      </c>
      <c r="N176" s="239">
        <f t="shared" si="61"/>
        <v>0</v>
      </c>
      <c r="O176" s="239">
        <f t="shared" si="61"/>
        <v>0</v>
      </c>
      <c r="P176" s="239">
        <f t="shared" si="61"/>
        <v>0</v>
      </c>
      <c r="Q176" s="308">
        <f t="shared" si="58"/>
        <v>0</v>
      </c>
      <c r="S176" s="293">
        <f t="shared" si="59"/>
        <v>0</v>
      </c>
    </row>
    <row r="177" spans="1:19" outlineLevel="1" x14ac:dyDescent="0.25">
      <c r="A177" s="314" t="s">
        <v>423</v>
      </c>
      <c r="B177" s="284" t="s">
        <v>565</v>
      </c>
      <c r="C177" s="284"/>
      <c r="D177" s="308"/>
      <c r="E177" s="239"/>
      <c r="F177" s="259"/>
      <c r="G177" s="259"/>
      <c r="H177" s="259"/>
      <c r="I177" s="259"/>
      <c r="J177" s="259"/>
      <c r="K177" s="259"/>
      <c r="L177" s="315"/>
      <c r="M177" s="259"/>
      <c r="N177" s="259"/>
      <c r="O177" s="259"/>
      <c r="P177" s="259"/>
      <c r="Q177" s="308">
        <f t="shared" si="58"/>
        <v>0</v>
      </c>
      <c r="S177" s="293">
        <f t="shared" si="59"/>
        <v>0</v>
      </c>
    </row>
    <row r="178" spans="1:19" outlineLevel="1" x14ac:dyDescent="0.25">
      <c r="A178" s="314" t="s">
        <v>425</v>
      </c>
      <c r="B178" s="284" t="s">
        <v>426</v>
      </c>
      <c r="C178" s="284"/>
      <c r="D178" s="308"/>
      <c r="E178" s="239"/>
      <c r="F178" s="259"/>
      <c r="G178" s="259"/>
      <c r="H178" s="259"/>
      <c r="I178" s="259"/>
      <c r="J178" s="259"/>
      <c r="K178" s="259"/>
      <c r="L178" s="315"/>
      <c r="M178" s="259"/>
      <c r="N178" s="259"/>
      <c r="O178" s="259"/>
      <c r="P178" s="259"/>
      <c r="Q178" s="308">
        <f t="shared" si="58"/>
        <v>0</v>
      </c>
      <c r="S178" s="293">
        <f t="shared" si="59"/>
        <v>0</v>
      </c>
    </row>
    <row r="179" spans="1:19" outlineLevel="1" x14ac:dyDescent="0.25">
      <c r="A179" s="324" t="s">
        <v>427</v>
      </c>
      <c r="B179" s="310" t="s">
        <v>428</v>
      </c>
      <c r="C179" s="311"/>
      <c r="D179" s="312">
        <f>SUM(D180:D183)</f>
        <v>0</v>
      </c>
      <c r="E179" s="313">
        <f t="shared" ref="E179:P179" si="62">SUM(E180:E183)</f>
        <v>0</v>
      </c>
      <c r="F179" s="313">
        <f t="shared" si="62"/>
        <v>0</v>
      </c>
      <c r="G179" s="313">
        <f t="shared" si="62"/>
        <v>0</v>
      </c>
      <c r="H179" s="313">
        <f t="shared" si="62"/>
        <v>0</v>
      </c>
      <c r="I179" s="313">
        <f t="shared" si="62"/>
        <v>0</v>
      </c>
      <c r="J179" s="313">
        <f t="shared" si="62"/>
        <v>0</v>
      </c>
      <c r="K179" s="313">
        <f t="shared" si="62"/>
        <v>0</v>
      </c>
      <c r="L179" s="313">
        <f t="shared" si="62"/>
        <v>0</v>
      </c>
      <c r="M179" s="313">
        <f t="shared" si="62"/>
        <v>0</v>
      </c>
      <c r="N179" s="313">
        <f t="shared" si="62"/>
        <v>0</v>
      </c>
      <c r="O179" s="313">
        <f t="shared" si="62"/>
        <v>0</v>
      </c>
      <c r="P179" s="313">
        <f t="shared" si="62"/>
        <v>0</v>
      </c>
      <c r="Q179" s="308">
        <f>SUM(Q180:Q182)</f>
        <v>0</v>
      </c>
      <c r="S179" s="313">
        <f>SUM(S180:S182)</f>
        <v>0</v>
      </c>
    </row>
    <row r="180" spans="1:19" outlineLevel="1" x14ac:dyDescent="0.25">
      <c r="A180" s="314" t="s">
        <v>429</v>
      </c>
      <c r="B180" s="284" t="s">
        <v>430</v>
      </c>
      <c r="C180" s="284"/>
      <c r="D180" s="308"/>
      <c r="E180" s="239"/>
      <c r="F180" s="259"/>
      <c r="G180" s="259"/>
      <c r="H180" s="259"/>
      <c r="I180" s="259"/>
      <c r="J180" s="259"/>
      <c r="K180" s="259"/>
      <c r="L180" s="259"/>
      <c r="M180" s="259"/>
      <c r="N180" s="259"/>
      <c r="O180" s="259"/>
      <c r="P180" s="259"/>
      <c r="Q180" s="308">
        <f>SUM(E180:P180)</f>
        <v>0</v>
      </c>
      <c r="S180" s="293">
        <f>D180+Q180</f>
        <v>0</v>
      </c>
    </row>
    <row r="181" spans="1:19" s="6" customFormat="1" outlineLevel="1" x14ac:dyDescent="0.25">
      <c r="A181" s="314" t="s">
        <v>431</v>
      </c>
      <c r="B181" s="284" t="s">
        <v>432</v>
      </c>
      <c r="C181" s="284"/>
      <c r="D181" s="308"/>
      <c r="E181" s="239"/>
      <c r="F181" s="259"/>
      <c r="G181" s="259"/>
      <c r="H181" s="259"/>
      <c r="I181" s="259"/>
      <c r="J181" s="259"/>
      <c r="K181" s="259"/>
      <c r="L181" s="259"/>
      <c r="M181" s="259"/>
      <c r="N181" s="259"/>
      <c r="O181" s="259"/>
      <c r="P181" s="259"/>
      <c r="Q181" s="308">
        <f>SUM(E181:P181)</f>
        <v>0</v>
      </c>
      <c r="S181" s="293">
        <f>D181+Q181</f>
        <v>0</v>
      </c>
    </row>
    <row r="182" spans="1:19" outlineLevel="1" x14ac:dyDescent="0.25">
      <c r="A182" s="314" t="s">
        <v>433</v>
      </c>
      <c r="B182" s="284" t="s">
        <v>434</v>
      </c>
      <c r="C182" s="284"/>
      <c r="D182" s="308"/>
      <c r="E182" s="239"/>
      <c r="F182" s="259"/>
      <c r="G182" s="259"/>
      <c r="H182" s="259"/>
      <c r="I182" s="259"/>
      <c r="J182" s="259"/>
      <c r="K182" s="259"/>
      <c r="L182" s="259"/>
      <c r="M182" s="259"/>
      <c r="N182" s="259"/>
      <c r="O182" s="259"/>
      <c r="P182" s="259"/>
      <c r="Q182" s="308">
        <f>SUM(E182:P182)</f>
        <v>0</v>
      </c>
      <c r="S182" s="293">
        <f>D182+Q182</f>
        <v>0</v>
      </c>
    </row>
    <row r="183" spans="1:19" outlineLevel="1" x14ac:dyDescent="0.25">
      <c r="A183" s="314" t="s">
        <v>435</v>
      </c>
      <c r="B183" s="284" t="s">
        <v>436</v>
      </c>
      <c r="C183" s="284"/>
      <c r="D183" s="308"/>
      <c r="E183" s="239"/>
      <c r="F183" s="259"/>
      <c r="G183" s="259"/>
      <c r="H183" s="259"/>
      <c r="I183" s="259"/>
      <c r="J183" s="259"/>
      <c r="K183" s="259"/>
      <c r="L183" s="259"/>
      <c r="M183" s="259"/>
      <c r="N183" s="259"/>
      <c r="O183" s="259"/>
      <c r="P183" s="259"/>
      <c r="Q183" s="308">
        <f>SUM(E183:P183)</f>
        <v>0</v>
      </c>
      <c r="S183" s="293">
        <f>D183+Q183</f>
        <v>0</v>
      </c>
    </row>
    <row r="184" spans="1:19" outlineLevel="1" x14ac:dyDescent="0.25">
      <c r="A184" s="324" t="s">
        <v>437</v>
      </c>
      <c r="B184" s="310" t="s">
        <v>438</v>
      </c>
      <c r="C184" s="311"/>
      <c r="D184" s="312">
        <f t="shared" ref="D184:Q184" si="63">SUM(D185:D185)</f>
        <v>0</v>
      </c>
      <c r="E184" s="313">
        <f t="shared" si="63"/>
        <v>0</v>
      </c>
      <c r="F184" s="313">
        <f t="shared" si="63"/>
        <v>0</v>
      </c>
      <c r="G184" s="313">
        <f t="shared" si="63"/>
        <v>0</v>
      </c>
      <c r="H184" s="313">
        <f t="shared" si="63"/>
        <v>0</v>
      </c>
      <c r="I184" s="313">
        <f t="shared" si="63"/>
        <v>0</v>
      </c>
      <c r="J184" s="313">
        <f t="shared" si="63"/>
        <v>0</v>
      </c>
      <c r="K184" s="313">
        <f t="shared" si="63"/>
        <v>0</v>
      </c>
      <c r="L184" s="313">
        <f t="shared" si="63"/>
        <v>0</v>
      </c>
      <c r="M184" s="313">
        <f t="shared" si="63"/>
        <v>0</v>
      </c>
      <c r="N184" s="313">
        <f t="shared" si="63"/>
        <v>0</v>
      </c>
      <c r="O184" s="313">
        <f t="shared" si="63"/>
        <v>0</v>
      </c>
      <c r="P184" s="313">
        <f t="shared" si="63"/>
        <v>0</v>
      </c>
      <c r="Q184" s="308">
        <f t="shared" si="63"/>
        <v>0</v>
      </c>
      <c r="S184" s="313">
        <f>SUM(S185:S185)</f>
        <v>0</v>
      </c>
    </row>
    <row r="185" spans="1:19" s="7" customFormat="1" outlineLevel="1" x14ac:dyDescent="0.25">
      <c r="A185" s="314" t="s">
        <v>439</v>
      </c>
      <c r="B185" s="284" t="s">
        <v>440</v>
      </c>
      <c r="C185" s="284"/>
      <c r="D185" s="308"/>
      <c r="E185" s="239">
        <v>0</v>
      </c>
      <c r="F185" s="259"/>
      <c r="G185" s="259"/>
      <c r="H185" s="259"/>
      <c r="I185" s="259"/>
      <c r="J185" s="259"/>
      <c r="K185" s="259"/>
      <c r="L185" s="259"/>
      <c r="M185" s="259"/>
      <c r="N185" s="259"/>
      <c r="O185" s="259"/>
      <c r="P185" s="259"/>
      <c r="Q185" s="308">
        <f>SUM(E185:P185)</f>
        <v>0</v>
      </c>
      <c r="S185" s="293">
        <f>D185+Q185</f>
        <v>0</v>
      </c>
    </row>
    <row r="186" spans="1:19" outlineLevel="1" x14ac:dyDescent="0.25">
      <c r="A186" s="309" t="s">
        <v>441</v>
      </c>
      <c r="B186" s="310" t="s">
        <v>442</v>
      </c>
      <c r="C186" s="311"/>
      <c r="D186" s="312">
        <f t="shared" ref="D186:Q186" si="64">SUM(D187:D189)</f>
        <v>0</v>
      </c>
      <c r="E186" s="313">
        <f t="shared" si="64"/>
        <v>0</v>
      </c>
      <c r="F186" s="313">
        <f t="shared" si="64"/>
        <v>0</v>
      </c>
      <c r="G186" s="313">
        <f t="shared" si="64"/>
        <v>0</v>
      </c>
      <c r="H186" s="313">
        <f t="shared" si="64"/>
        <v>0</v>
      </c>
      <c r="I186" s="313">
        <f t="shared" si="64"/>
        <v>0</v>
      </c>
      <c r="J186" s="313">
        <f t="shared" si="64"/>
        <v>0</v>
      </c>
      <c r="K186" s="313">
        <f t="shared" si="64"/>
        <v>0</v>
      </c>
      <c r="L186" s="313">
        <f t="shared" si="64"/>
        <v>0</v>
      </c>
      <c r="M186" s="313">
        <f t="shared" si="64"/>
        <v>0</v>
      </c>
      <c r="N186" s="313">
        <f t="shared" si="64"/>
        <v>0</v>
      </c>
      <c r="O186" s="313">
        <f t="shared" si="64"/>
        <v>0</v>
      </c>
      <c r="P186" s="313">
        <f t="shared" si="64"/>
        <v>0</v>
      </c>
      <c r="Q186" s="308">
        <f t="shared" si="64"/>
        <v>0</v>
      </c>
      <c r="S186" s="313">
        <f>SUM(S187:S189)</f>
        <v>0</v>
      </c>
    </row>
    <row r="187" spans="1:19" outlineLevel="1" x14ac:dyDescent="0.25">
      <c r="A187" s="314" t="s">
        <v>443</v>
      </c>
      <c r="B187" s="284" t="s">
        <v>444</v>
      </c>
      <c r="C187" s="284"/>
      <c r="D187" s="308"/>
      <c r="E187" s="239">
        <v>0</v>
      </c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308">
        <f>SUM(E187:P187)</f>
        <v>0</v>
      </c>
      <c r="S187" s="293">
        <f>D187+Q187</f>
        <v>0</v>
      </c>
    </row>
    <row r="188" spans="1:19" outlineLevel="1" x14ac:dyDescent="0.25">
      <c r="A188" s="314" t="s">
        <v>445</v>
      </c>
      <c r="B188" s="284" t="s">
        <v>446</v>
      </c>
      <c r="C188" s="284"/>
      <c r="D188" s="308"/>
      <c r="E188" s="239">
        <v>0</v>
      </c>
      <c r="F188" s="259"/>
      <c r="G188" s="259"/>
      <c r="H188" s="259"/>
      <c r="I188" s="259"/>
      <c r="J188" s="259"/>
      <c r="K188" s="259"/>
      <c r="L188" s="259"/>
      <c r="M188" s="259"/>
      <c r="N188" s="259"/>
      <c r="O188" s="259"/>
      <c r="P188" s="259"/>
      <c r="Q188" s="308">
        <f>SUM(E188:P188)</f>
        <v>0</v>
      </c>
      <c r="S188" s="293">
        <f>D188+Q188</f>
        <v>0</v>
      </c>
    </row>
    <row r="189" spans="1:19" outlineLevel="1" x14ac:dyDescent="0.25">
      <c r="A189" s="314" t="s">
        <v>566</v>
      </c>
      <c r="B189" s="284" t="s">
        <v>447</v>
      </c>
      <c r="C189" s="284"/>
      <c r="D189" s="308"/>
      <c r="E189" s="239">
        <v>0</v>
      </c>
      <c r="F189" s="259"/>
      <c r="G189" s="259"/>
      <c r="H189" s="259"/>
      <c r="I189" s="259"/>
      <c r="J189" s="259"/>
      <c r="K189" s="259"/>
      <c r="L189" s="259"/>
      <c r="M189" s="259"/>
      <c r="N189" s="259"/>
      <c r="O189" s="259"/>
      <c r="P189" s="259"/>
      <c r="Q189" s="308">
        <f>SUM(E189:P189)</f>
        <v>0</v>
      </c>
      <c r="S189" s="293">
        <f>D189+Q189</f>
        <v>0</v>
      </c>
    </row>
    <row r="190" spans="1:19" x14ac:dyDescent="0.25">
      <c r="A190" s="303" t="s">
        <v>448</v>
      </c>
      <c r="B190" s="304" t="s">
        <v>449</v>
      </c>
      <c r="C190" s="305"/>
      <c r="D190" s="306">
        <f t="shared" ref="D190:Q190" si="65">SUM(D191,D206)</f>
        <v>0</v>
      </c>
      <c r="E190" s="307">
        <f t="shared" si="65"/>
        <v>0</v>
      </c>
      <c r="F190" s="307">
        <f t="shared" si="65"/>
        <v>0</v>
      </c>
      <c r="G190" s="307">
        <f t="shared" si="65"/>
        <v>0</v>
      </c>
      <c r="H190" s="307">
        <f t="shared" si="65"/>
        <v>0</v>
      </c>
      <c r="I190" s="307">
        <f t="shared" si="65"/>
        <v>0</v>
      </c>
      <c r="J190" s="307">
        <f t="shared" si="65"/>
        <v>0</v>
      </c>
      <c r="K190" s="307">
        <f t="shared" si="65"/>
        <v>0</v>
      </c>
      <c r="L190" s="307">
        <f t="shared" si="65"/>
        <v>0</v>
      </c>
      <c r="M190" s="307">
        <f t="shared" si="65"/>
        <v>0</v>
      </c>
      <c r="N190" s="307">
        <f t="shared" si="65"/>
        <v>0</v>
      </c>
      <c r="O190" s="307">
        <f t="shared" si="65"/>
        <v>0</v>
      </c>
      <c r="P190" s="307">
        <f t="shared" si="65"/>
        <v>0</v>
      </c>
      <c r="Q190" s="308">
        <f t="shared" si="65"/>
        <v>0</v>
      </c>
      <c r="S190" s="307">
        <f>SUM(S191,S206)</f>
        <v>0</v>
      </c>
    </row>
    <row r="191" spans="1:19" outlineLevel="1" x14ac:dyDescent="0.25">
      <c r="A191" s="309" t="s">
        <v>450</v>
      </c>
      <c r="B191" s="310" t="s">
        <v>451</v>
      </c>
      <c r="C191" s="311"/>
      <c r="D191" s="312">
        <f>SUM(D192:D205)</f>
        <v>0</v>
      </c>
      <c r="E191" s="313">
        <f t="shared" ref="E191:P191" si="66">SUM(E192:E205)</f>
        <v>0</v>
      </c>
      <c r="F191" s="313">
        <f t="shared" si="66"/>
        <v>0</v>
      </c>
      <c r="G191" s="313">
        <f t="shared" si="66"/>
        <v>0</v>
      </c>
      <c r="H191" s="313">
        <f t="shared" si="66"/>
        <v>0</v>
      </c>
      <c r="I191" s="313">
        <f t="shared" si="66"/>
        <v>0</v>
      </c>
      <c r="J191" s="313">
        <f t="shared" si="66"/>
        <v>0</v>
      </c>
      <c r="K191" s="313">
        <f t="shared" si="66"/>
        <v>0</v>
      </c>
      <c r="L191" s="313">
        <f t="shared" si="66"/>
        <v>0</v>
      </c>
      <c r="M191" s="313">
        <f t="shared" si="66"/>
        <v>0</v>
      </c>
      <c r="N191" s="313">
        <f t="shared" si="66"/>
        <v>0</v>
      </c>
      <c r="O191" s="313">
        <f t="shared" si="66"/>
        <v>0</v>
      </c>
      <c r="P191" s="313">
        <f t="shared" si="66"/>
        <v>0</v>
      </c>
      <c r="Q191" s="308">
        <f>SUM(Q192:Q198)</f>
        <v>0</v>
      </c>
      <c r="S191" s="313">
        <f>SUM(S192:S198)</f>
        <v>0</v>
      </c>
    </row>
    <row r="192" spans="1:19" outlineLevel="1" x14ac:dyDescent="0.25">
      <c r="A192" s="314" t="s">
        <v>567</v>
      </c>
      <c r="B192" s="284" t="s">
        <v>568</v>
      </c>
      <c r="C192" s="284"/>
      <c r="D192" s="308"/>
      <c r="E192" s="239">
        <v>0</v>
      </c>
      <c r="F192" s="259"/>
      <c r="G192" s="259"/>
      <c r="H192" s="259"/>
      <c r="I192" s="259"/>
      <c r="J192" s="259"/>
      <c r="K192" s="259"/>
      <c r="L192" s="259"/>
      <c r="M192" s="259"/>
      <c r="N192" s="259"/>
      <c r="O192" s="259"/>
      <c r="P192" s="259"/>
      <c r="Q192" s="308">
        <f t="shared" ref="Q192:Q205" si="67">SUM(E192:P192)</f>
        <v>0</v>
      </c>
      <c r="S192" s="293">
        <f t="shared" ref="S192:S205" si="68">D192+Q192</f>
        <v>0</v>
      </c>
    </row>
    <row r="193" spans="1:19" outlineLevel="1" x14ac:dyDescent="0.25">
      <c r="A193" s="314" t="s">
        <v>452</v>
      </c>
      <c r="B193" s="284" t="s">
        <v>453</v>
      </c>
      <c r="C193" s="284"/>
      <c r="D193" s="308"/>
      <c r="E193" s="239">
        <v>0</v>
      </c>
      <c r="F193" s="259"/>
      <c r="G193" s="259"/>
      <c r="H193" s="259"/>
      <c r="I193" s="259"/>
      <c r="J193" s="259"/>
      <c r="K193" s="259"/>
      <c r="L193" s="259"/>
      <c r="M193" s="259"/>
      <c r="N193" s="259"/>
      <c r="O193" s="259"/>
      <c r="P193" s="259"/>
      <c r="Q193" s="308">
        <f t="shared" si="67"/>
        <v>0</v>
      </c>
      <c r="S193" s="293">
        <f t="shared" si="68"/>
        <v>0</v>
      </c>
    </row>
    <row r="194" spans="1:19" outlineLevel="1" x14ac:dyDescent="0.25">
      <c r="A194" s="314" t="s">
        <v>454</v>
      </c>
      <c r="B194" s="284" t="s">
        <v>455</v>
      </c>
      <c r="C194" s="284"/>
      <c r="D194" s="308"/>
      <c r="E194" s="239">
        <v>0</v>
      </c>
      <c r="F194" s="259"/>
      <c r="G194" s="259"/>
      <c r="H194" s="259"/>
      <c r="I194" s="259"/>
      <c r="J194" s="259"/>
      <c r="K194" s="259"/>
      <c r="L194" s="259"/>
      <c r="M194" s="259"/>
      <c r="N194" s="259"/>
      <c r="O194" s="259"/>
      <c r="P194" s="259"/>
      <c r="Q194" s="308">
        <f t="shared" si="67"/>
        <v>0</v>
      </c>
      <c r="S194" s="293">
        <f t="shared" si="68"/>
        <v>0</v>
      </c>
    </row>
    <row r="195" spans="1:19" outlineLevel="1" x14ac:dyDescent="0.25">
      <c r="A195" s="314" t="s">
        <v>456</v>
      </c>
      <c r="B195" s="284" t="s">
        <v>457</v>
      </c>
      <c r="C195" s="284"/>
      <c r="D195" s="308"/>
      <c r="E195" s="239">
        <v>0</v>
      </c>
      <c r="F195" s="259"/>
      <c r="G195" s="259"/>
      <c r="H195" s="259"/>
      <c r="I195" s="259"/>
      <c r="J195" s="259"/>
      <c r="K195" s="259"/>
      <c r="L195" s="259"/>
      <c r="M195" s="259"/>
      <c r="N195" s="259"/>
      <c r="O195" s="259"/>
      <c r="P195" s="259"/>
      <c r="Q195" s="308">
        <f t="shared" si="67"/>
        <v>0</v>
      </c>
      <c r="S195" s="293">
        <f t="shared" si="68"/>
        <v>0</v>
      </c>
    </row>
    <row r="196" spans="1:19" outlineLevel="1" x14ac:dyDescent="0.25">
      <c r="A196" s="314" t="s">
        <v>458</v>
      </c>
      <c r="B196" s="284" t="s">
        <v>459</v>
      </c>
      <c r="C196" s="284"/>
      <c r="D196" s="308"/>
      <c r="E196" s="239">
        <v>0</v>
      </c>
      <c r="F196" s="259"/>
      <c r="G196" s="259"/>
      <c r="H196" s="259"/>
      <c r="I196" s="259"/>
      <c r="J196" s="259"/>
      <c r="K196" s="259"/>
      <c r="L196" s="259"/>
      <c r="M196" s="259"/>
      <c r="N196" s="259"/>
      <c r="O196" s="259"/>
      <c r="P196" s="259"/>
      <c r="Q196" s="308">
        <f t="shared" si="67"/>
        <v>0</v>
      </c>
      <c r="S196" s="293">
        <f t="shared" si="68"/>
        <v>0</v>
      </c>
    </row>
    <row r="197" spans="1:19" outlineLevel="1" x14ac:dyDescent="0.25">
      <c r="A197" s="314" t="s">
        <v>460</v>
      </c>
      <c r="B197" s="284" t="s">
        <v>461</v>
      </c>
      <c r="C197" s="284"/>
      <c r="D197" s="308"/>
      <c r="E197" s="239"/>
      <c r="F197" s="259"/>
      <c r="G197" s="259"/>
      <c r="H197" s="259"/>
      <c r="I197" s="259"/>
      <c r="J197" s="259"/>
      <c r="K197" s="259"/>
      <c r="L197" s="259"/>
      <c r="M197" s="259"/>
      <c r="N197" s="259"/>
      <c r="O197" s="259"/>
      <c r="P197" s="259"/>
      <c r="Q197" s="308">
        <f t="shared" si="67"/>
        <v>0</v>
      </c>
      <c r="S197" s="293">
        <f t="shared" si="68"/>
        <v>0</v>
      </c>
    </row>
    <row r="198" spans="1:19" outlineLevel="1" x14ac:dyDescent="0.25">
      <c r="A198" s="314" t="s">
        <v>462</v>
      </c>
      <c r="B198" s="284" t="s">
        <v>463</v>
      </c>
      <c r="C198" s="284"/>
      <c r="D198" s="308"/>
      <c r="E198" s="239"/>
      <c r="F198" s="259"/>
      <c r="G198" s="259"/>
      <c r="H198" s="259"/>
      <c r="I198" s="259"/>
      <c r="J198" s="259"/>
      <c r="K198" s="259"/>
      <c r="L198" s="259"/>
      <c r="M198" s="259"/>
      <c r="N198" s="259"/>
      <c r="O198" s="259"/>
      <c r="P198" s="259"/>
      <c r="Q198" s="308">
        <f t="shared" si="67"/>
        <v>0</v>
      </c>
      <c r="S198" s="293">
        <f t="shared" si="68"/>
        <v>0</v>
      </c>
    </row>
    <row r="199" spans="1:19" outlineLevel="1" x14ac:dyDescent="0.25">
      <c r="A199" s="314" t="s">
        <v>464</v>
      </c>
      <c r="B199" s="284" t="s">
        <v>465</v>
      </c>
      <c r="C199" s="284"/>
      <c r="D199" s="308"/>
      <c r="E199" s="23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9"/>
      <c r="P199" s="259"/>
      <c r="Q199" s="308">
        <f t="shared" si="67"/>
        <v>0</v>
      </c>
      <c r="S199" s="293">
        <f t="shared" si="68"/>
        <v>0</v>
      </c>
    </row>
    <row r="200" spans="1:19" outlineLevel="1" x14ac:dyDescent="0.25">
      <c r="A200" s="314" t="s">
        <v>466</v>
      </c>
      <c r="B200" s="284" t="s">
        <v>467</v>
      </c>
      <c r="C200" s="284"/>
      <c r="D200" s="308"/>
      <c r="E200" s="239"/>
      <c r="F200" s="259"/>
      <c r="G200" s="259"/>
      <c r="H200" s="259"/>
      <c r="I200" s="259"/>
      <c r="J200" s="259"/>
      <c r="K200" s="259"/>
      <c r="L200" s="259"/>
      <c r="M200" s="259"/>
      <c r="N200" s="259"/>
      <c r="O200" s="259"/>
      <c r="P200" s="259"/>
      <c r="Q200" s="308">
        <f t="shared" si="67"/>
        <v>0</v>
      </c>
      <c r="S200" s="293">
        <f t="shared" si="68"/>
        <v>0</v>
      </c>
    </row>
    <row r="201" spans="1:19" outlineLevel="1" x14ac:dyDescent="0.25">
      <c r="A201" s="314" t="s">
        <v>468</v>
      </c>
      <c r="B201" s="284" t="s">
        <v>469</v>
      </c>
      <c r="C201" s="284"/>
      <c r="D201" s="308"/>
      <c r="E201" s="239"/>
      <c r="F201" s="259"/>
      <c r="G201" s="259"/>
      <c r="H201" s="259"/>
      <c r="I201" s="259"/>
      <c r="J201" s="259"/>
      <c r="K201" s="259"/>
      <c r="L201" s="259"/>
      <c r="M201" s="259"/>
      <c r="N201" s="259"/>
      <c r="O201" s="259"/>
      <c r="P201" s="259"/>
      <c r="Q201" s="308">
        <f t="shared" si="67"/>
        <v>0</v>
      </c>
      <c r="S201" s="293">
        <f t="shared" si="68"/>
        <v>0</v>
      </c>
    </row>
    <row r="202" spans="1:19" outlineLevel="1" x14ac:dyDescent="0.25">
      <c r="A202" s="314" t="s">
        <v>470</v>
      </c>
      <c r="B202" s="284" t="s">
        <v>471</v>
      </c>
      <c r="C202" s="284"/>
      <c r="D202" s="308"/>
      <c r="E202" s="23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9"/>
      <c r="P202" s="259"/>
      <c r="Q202" s="308">
        <f t="shared" si="67"/>
        <v>0</v>
      </c>
      <c r="S202" s="293">
        <f t="shared" si="68"/>
        <v>0</v>
      </c>
    </row>
    <row r="203" spans="1:19" outlineLevel="1" x14ac:dyDescent="0.25">
      <c r="A203" s="314" t="s">
        <v>472</v>
      </c>
      <c r="B203" s="284" t="s">
        <v>473</v>
      </c>
      <c r="C203" s="284"/>
      <c r="D203" s="308"/>
      <c r="E203" s="23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9"/>
      <c r="P203" s="259"/>
      <c r="Q203" s="308">
        <f t="shared" si="67"/>
        <v>0</v>
      </c>
      <c r="S203" s="293">
        <f t="shared" si="68"/>
        <v>0</v>
      </c>
    </row>
    <row r="204" spans="1:19" outlineLevel="1" x14ac:dyDescent="0.25">
      <c r="A204" s="314" t="s">
        <v>474</v>
      </c>
      <c r="B204" s="284" t="s">
        <v>475</v>
      </c>
      <c r="C204" s="284"/>
      <c r="D204" s="308"/>
      <c r="E204" s="23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9"/>
      <c r="P204" s="259"/>
      <c r="Q204" s="308">
        <f t="shared" si="67"/>
        <v>0</v>
      </c>
      <c r="S204" s="293">
        <f t="shared" si="68"/>
        <v>0</v>
      </c>
    </row>
    <row r="205" spans="1:19" outlineLevel="1" x14ac:dyDescent="0.25">
      <c r="A205" s="314" t="s">
        <v>476</v>
      </c>
      <c r="B205" s="284" t="s">
        <v>477</v>
      </c>
      <c r="C205" s="284"/>
      <c r="D205" s="308"/>
      <c r="E205" s="239"/>
      <c r="F205" s="259"/>
      <c r="G205" s="259"/>
      <c r="H205" s="259"/>
      <c r="I205" s="259"/>
      <c r="J205" s="259"/>
      <c r="K205" s="259"/>
      <c r="L205" s="259"/>
      <c r="M205" s="259"/>
      <c r="N205" s="259"/>
      <c r="O205" s="259"/>
      <c r="P205" s="259"/>
      <c r="Q205" s="308">
        <f t="shared" si="67"/>
        <v>0</v>
      </c>
      <c r="S205" s="293">
        <f t="shared" si="68"/>
        <v>0</v>
      </c>
    </row>
    <row r="206" spans="1:19" outlineLevel="1" x14ac:dyDescent="0.25">
      <c r="A206" s="309" t="s">
        <v>478</v>
      </c>
      <c r="B206" s="310" t="s">
        <v>479</v>
      </c>
      <c r="C206" s="311"/>
      <c r="D206" s="312">
        <f t="shared" ref="D206:Q206" si="69">SUM(D207)</f>
        <v>0</v>
      </c>
      <c r="E206" s="313">
        <f t="shared" si="69"/>
        <v>0</v>
      </c>
      <c r="F206" s="313">
        <f t="shared" si="69"/>
        <v>0</v>
      </c>
      <c r="G206" s="313">
        <f t="shared" si="69"/>
        <v>0</v>
      </c>
      <c r="H206" s="313">
        <f t="shared" si="69"/>
        <v>0</v>
      </c>
      <c r="I206" s="313">
        <f t="shared" si="69"/>
        <v>0</v>
      </c>
      <c r="J206" s="313">
        <f t="shared" si="69"/>
        <v>0</v>
      </c>
      <c r="K206" s="313">
        <f t="shared" si="69"/>
        <v>0</v>
      </c>
      <c r="L206" s="313">
        <f t="shared" si="69"/>
        <v>0</v>
      </c>
      <c r="M206" s="313">
        <f t="shared" si="69"/>
        <v>0</v>
      </c>
      <c r="N206" s="313">
        <f t="shared" si="69"/>
        <v>0</v>
      </c>
      <c r="O206" s="313">
        <f t="shared" si="69"/>
        <v>0</v>
      </c>
      <c r="P206" s="313">
        <f t="shared" si="69"/>
        <v>0</v>
      </c>
      <c r="Q206" s="308">
        <f t="shared" si="69"/>
        <v>0</v>
      </c>
      <c r="S206" s="313">
        <f>SUM(S207)</f>
        <v>0</v>
      </c>
    </row>
    <row r="207" spans="1:19" outlineLevel="1" x14ac:dyDescent="0.25">
      <c r="A207" s="314" t="s">
        <v>480</v>
      </c>
      <c r="B207" s="284" t="s">
        <v>481</v>
      </c>
      <c r="C207" s="284"/>
      <c r="D207" s="308"/>
      <c r="E207" s="239">
        <v>0</v>
      </c>
      <c r="F207" s="259"/>
      <c r="G207" s="259"/>
      <c r="H207" s="259"/>
      <c r="I207" s="259"/>
      <c r="J207" s="259"/>
      <c r="K207" s="259"/>
      <c r="L207" s="259"/>
      <c r="M207" s="259"/>
      <c r="N207" s="259"/>
      <c r="O207" s="259"/>
      <c r="P207" s="259"/>
      <c r="Q207" s="308">
        <f>SUM(E207:P207)</f>
        <v>0</v>
      </c>
      <c r="S207" s="293">
        <f>D207+Q207</f>
        <v>0</v>
      </c>
    </row>
    <row r="208" spans="1:19" x14ac:dyDescent="0.25">
      <c r="A208" s="303" t="s">
        <v>569</v>
      </c>
      <c r="B208" s="304" t="s">
        <v>570</v>
      </c>
      <c r="C208" s="305"/>
      <c r="D208" s="306">
        <f t="shared" ref="D208:Q208" si="70">SUM(D209,D212,D214)</f>
        <v>0</v>
      </c>
      <c r="E208" s="307">
        <f t="shared" si="70"/>
        <v>0</v>
      </c>
      <c r="F208" s="307">
        <f t="shared" si="70"/>
        <v>0</v>
      </c>
      <c r="G208" s="307">
        <f t="shared" si="70"/>
        <v>0</v>
      </c>
      <c r="H208" s="307">
        <f t="shared" si="70"/>
        <v>0</v>
      </c>
      <c r="I208" s="307">
        <f t="shared" si="70"/>
        <v>0</v>
      </c>
      <c r="J208" s="307">
        <f t="shared" si="70"/>
        <v>0</v>
      </c>
      <c r="K208" s="307">
        <f t="shared" si="70"/>
        <v>0</v>
      </c>
      <c r="L208" s="307">
        <f t="shared" si="70"/>
        <v>0</v>
      </c>
      <c r="M208" s="307">
        <f t="shared" si="70"/>
        <v>0</v>
      </c>
      <c r="N208" s="307">
        <f t="shared" si="70"/>
        <v>0</v>
      </c>
      <c r="O208" s="307">
        <f t="shared" si="70"/>
        <v>0</v>
      </c>
      <c r="P208" s="307">
        <f t="shared" si="70"/>
        <v>0</v>
      </c>
      <c r="Q208" s="308">
        <f t="shared" si="70"/>
        <v>0</v>
      </c>
      <c r="S208" s="307">
        <f>SUM(S209,S212,S214)</f>
        <v>0</v>
      </c>
    </row>
    <row r="209" spans="1:19" outlineLevel="1" x14ac:dyDescent="0.25">
      <c r="A209" s="332" t="s">
        <v>485</v>
      </c>
      <c r="B209" s="311" t="s">
        <v>486</v>
      </c>
      <c r="C209" s="311"/>
      <c r="D209" s="312">
        <f t="shared" ref="D209:Q209" si="71">SUM(D210:D211)</f>
        <v>0</v>
      </c>
      <c r="E209" s="313">
        <f t="shared" si="71"/>
        <v>0</v>
      </c>
      <c r="F209" s="313">
        <f t="shared" si="71"/>
        <v>0</v>
      </c>
      <c r="G209" s="313">
        <f t="shared" si="71"/>
        <v>0</v>
      </c>
      <c r="H209" s="313">
        <f t="shared" si="71"/>
        <v>0</v>
      </c>
      <c r="I209" s="313">
        <f t="shared" si="71"/>
        <v>0</v>
      </c>
      <c r="J209" s="313">
        <f t="shared" si="71"/>
        <v>0</v>
      </c>
      <c r="K209" s="313">
        <f t="shared" si="71"/>
        <v>0</v>
      </c>
      <c r="L209" s="313">
        <f t="shared" si="71"/>
        <v>0</v>
      </c>
      <c r="M209" s="313">
        <f t="shared" si="71"/>
        <v>0</v>
      </c>
      <c r="N209" s="313">
        <f t="shared" si="71"/>
        <v>0</v>
      </c>
      <c r="O209" s="313">
        <f t="shared" si="71"/>
        <v>0</v>
      </c>
      <c r="P209" s="313">
        <f t="shared" si="71"/>
        <v>0</v>
      </c>
      <c r="Q209" s="308">
        <f t="shared" si="71"/>
        <v>0</v>
      </c>
      <c r="S209" s="313">
        <f>SUM(S210:S211)</f>
        <v>0</v>
      </c>
    </row>
    <row r="210" spans="1:19" outlineLevel="1" x14ac:dyDescent="0.25">
      <c r="A210" s="314" t="s">
        <v>487</v>
      </c>
      <c r="B210" s="284" t="s">
        <v>488</v>
      </c>
      <c r="C210" s="284"/>
      <c r="D210" s="308"/>
      <c r="E210" s="23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9"/>
      <c r="P210" s="259"/>
      <c r="Q210" s="308">
        <f>SUM(E210:P210)</f>
        <v>0</v>
      </c>
      <c r="S210" s="293">
        <f>D210+Q210</f>
        <v>0</v>
      </c>
    </row>
    <row r="211" spans="1:19" outlineLevel="1" x14ac:dyDescent="0.25">
      <c r="A211" s="314" t="s">
        <v>492</v>
      </c>
      <c r="B211" s="284" t="s">
        <v>493</v>
      </c>
      <c r="C211" s="284"/>
      <c r="D211" s="308"/>
      <c r="E211" s="239"/>
      <c r="F211" s="259"/>
      <c r="G211" s="259"/>
      <c r="H211" s="259"/>
      <c r="I211" s="259"/>
      <c r="J211" s="259"/>
      <c r="K211" s="259"/>
      <c r="L211" s="259"/>
      <c r="M211" s="259"/>
      <c r="N211" s="259"/>
      <c r="O211" s="259"/>
      <c r="P211" s="259"/>
      <c r="Q211" s="308">
        <f>SUM(E211:P211)</f>
        <v>0</v>
      </c>
      <c r="S211" s="293">
        <f>D211+Q211</f>
        <v>0</v>
      </c>
    </row>
    <row r="212" spans="1:19" outlineLevel="1" x14ac:dyDescent="0.25">
      <c r="A212" s="332" t="s">
        <v>494</v>
      </c>
      <c r="B212" s="311" t="s">
        <v>495</v>
      </c>
      <c r="C212" s="311"/>
      <c r="D212" s="312">
        <f t="shared" ref="D212:Q212" si="72">SUM(D213)</f>
        <v>0</v>
      </c>
      <c r="E212" s="313">
        <f t="shared" si="72"/>
        <v>0</v>
      </c>
      <c r="F212" s="313">
        <f t="shared" si="72"/>
        <v>0</v>
      </c>
      <c r="G212" s="313">
        <f t="shared" si="72"/>
        <v>0</v>
      </c>
      <c r="H212" s="313">
        <f t="shared" si="72"/>
        <v>0</v>
      </c>
      <c r="I212" s="313">
        <f t="shared" si="72"/>
        <v>0</v>
      </c>
      <c r="J212" s="313">
        <f t="shared" si="72"/>
        <v>0</v>
      </c>
      <c r="K212" s="313">
        <f t="shared" si="72"/>
        <v>0</v>
      </c>
      <c r="L212" s="313">
        <f t="shared" si="72"/>
        <v>0</v>
      </c>
      <c r="M212" s="313">
        <f t="shared" si="72"/>
        <v>0</v>
      </c>
      <c r="N212" s="313">
        <f t="shared" si="72"/>
        <v>0</v>
      </c>
      <c r="O212" s="313">
        <f t="shared" si="72"/>
        <v>0</v>
      </c>
      <c r="P212" s="313">
        <f t="shared" si="72"/>
        <v>0</v>
      </c>
      <c r="Q212" s="308">
        <f t="shared" si="72"/>
        <v>0</v>
      </c>
      <c r="S212" s="313">
        <f>SUM(S213)</f>
        <v>0</v>
      </c>
    </row>
    <row r="213" spans="1:19" outlineLevel="1" x14ac:dyDescent="0.25">
      <c r="A213" s="314" t="s">
        <v>496</v>
      </c>
      <c r="B213" s="284" t="s">
        <v>497</v>
      </c>
      <c r="C213" s="284"/>
      <c r="D213" s="308"/>
      <c r="E213" s="23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9"/>
      <c r="P213" s="259"/>
      <c r="Q213" s="308">
        <f>SUM(E213:P213)</f>
        <v>0</v>
      </c>
      <c r="S213" s="293">
        <f>D213+Q213</f>
        <v>0</v>
      </c>
    </row>
    <row r="214" spans="1:19" outlineLevel="1" x14ac:dyDescent="0.25">
      <c r="A214" s="332" t="s">
        <v>498</v>
      </c>
      <c r="B214" s="311" t="s">
        <v>499</v>
      </c>
      <c r="C214" s="311"/>
      <c r="D214" s="312">
        <f t="shared" ref="D214:Q214" si="73">SUM(D215:D216)</f>
        <v>0</v>
      </c>
      <c r="E214" s="313">
        <f t="shared" si="73"/>
        <v>0</v>
      </c>
      <c r="F214" s="313">
        <f t="shared" si="73"/>
        <v>0</v>
      </c>
      <c r="G214" s="313">
        <f t="shared" si="73"/>
        <v>0</v>
      </c>
      <c r="H214" s="313">
        <f t="shared" si="73"/>
        <v>0</v>
      </c>
      <c r="I214" s="313">
        <f t="shared" si="73"/>
        <v>0</v>
      </c>
      <c r="J214" s="313">
        <f t="shared" si="73"/>
        <v>0</v>
      </c>
      <c r="K214" s="313">
        <f t="shared" si="73"/>
        <v>0</v>
      </c>
      <c r="L214" s="313">
        <f t="shared" si="73"/>
        <v>0</v>
      </c>
      <c r="M214" s="313">
        <f t="shared" si="73"/>
        <v>0</v>
      </c>
      <c r="N214" s="313">
        <f t="shared" si="73"/>
        <v>0</v>
      </c>
      <c r="O214" s="313">
        <f t="shared" si="73"/>
        <v>0</v>
      </c>
      <c r="P214" s="313">
        <f t="shared" si="73"/>
        <v>0</v>
      </c>
      <c r="Q214" s="308">
        <f t="shared" si="73"/>
        <v>0</v>
      </c>
      <c r="S214" s="313">
        <f>SUM(S215:S216)</f>
        <v>0</v>
      </c>
    </row>
    <row r="215" spans="1:19" outlineLevel="1" x14ac:dyDescent="0.25">
      <c r="A215" s="314" t="s">
        <v>500</v>
      </c>
      <c r="B215" s="284" t="s">
        <v>501</v>
      </c>
      <c r="C215" s="284"/>
      <c r="D215" s="308"/>
      <c r="E215" s="239">
        <v>0</v>
      </c>
      <c r="F215" s="259"/>
      <c r="G215" s="259"/>
      <c r="H215" s="259"/>
      <c r="I215" s="259"/>
      <c r="J215" s="259"/>
      <c r="K215" s="259"/>
      <c r="L215" s="259"/>
      <c r="M215" s="259"/>
      <c r="N215" s="259"/>
      <c r="O215" s="259"/>
      <c r="P215" s="259"/>
      <c r="Q215" s="308">
        <f>SUM(E215:P215)</f>
        <v>0</v>
      </c>
      <c r="S215" s="293">
        <f>D215+Q215</f>
        <v>0</v>
      </c>
    </row>
    <row r="216" spans="1:19" outlineLevel="1" x14ac:dyDescent="0.25">
      <c r="A216" s="314" t="s">
        <v>502</v>
      </c>
      <c r="B216" s="284" t="s">
        <v>503</v>
      </c>
      <c r="C216" s="284"/>
      <c r="D216" s="308"/>
      <c r="E216" s="239">
        <v>0</v>
      </c>
      <c r="F216" s="259"/>
      <c r="G216" s="259"/>
      <c r="H216" s="259"/>
      <c r="I216" s="259"/>
      <c r="J216" s="259"/>
      <c r="K216" s="259"/>
      <c r="L216" s="259"/>
      <c r="M216" s="259"/>
      <c r="N216" s="259"/>
      <c r="O216" s="259"/>
      <c r="P216" s="259"/>
      <c r="Q216" s="308">
        <f>SUM(E216:P216)</f>
        <v>0</v>
      </c>
      <c r="S216" s="293">
        <f>D216+Q216</f>
        <v>0</v>
      </c>
    </row>
    <row r="217" spans="1:19" x14ac:dyDescent="0.25">
      <c r="A217" s="333" t="s">
        <v>504</v>
      </c>
      <c r="B217" s="304" t="s">
        <v>505</v>
      </c>
      <c r="C217" s="305"/>
      <c r="D217" s="306">
        <f>SUM(D218,D221)</f>
        <v>0</v>
      </c>
      <c r="E217" s="307">
        <f>SUM(E218,E221)</f>
        <v>0</v>
      </c>
      <c r="F217" s="307">
        <f t="shared" ref="F217:P217" si="74">SUM(F218,F221)</f>
        <v>0</v>
      </c>
      <c r="G217" s="307">
        <f t="shared" si="74"/>
        <v>0</v>
      </c>
      <c r="H217" s="307">
        <f t="shared" si="74"/>
        <v>0</v>
      </c>
      <c r="I217" s="307">
        <f t="shared" si="74"/>
        <v>0</v>
      </c>
      <c r="J217" s="307">
        <f t="shared" si="74"/>
        <v>0</v>
      </c>
      <c r="K217" s="307">
        <f t="shared" si="74"/>
        <v>0</v>
      </c>
      <c r="L217" s="307">
        <f t="shared" si="74"/>
        <v>0</v>
      </c>
      <c r="M217" s="307">
        <f t="shared" si="74"/>
        <v>0</v>
      </c>
      <c r="N217" s="307">
        <f t="shared" si="74"/>
        <v>0</v>
      </c>
      <c r="O217" s="307">
        <f t="shared" si="74"/>
        <v>0</v>
      </c>
      <c r="P217" s="307">
        <f t="shared" si="74"/>
        <v>0</v>
      </c>
      <c r="Q217" s="308">
        <f>SUM(Q218,Q221)</f>
        <v>0</v>
      </c>
      <c r="S217" s="307">
        <f>SUM(S218,S221)</f>
        <v>0</v>
      </c>
    </row>
    <row r="218" spans="1:19" outlineLevel="1" x14ac:dyDescent="0.25">
      <c r="A218" s="324" t="s">
        <v>506</v>
      </c>
      <c r="B218" s="325" t="s">
        <v>507</v>
      </c>
      <c r="C218" s="326"/>
      <c r="D218" s="312">
        <f>SUM(D219:D220)</f>
        <v>0</v>
      </c>
      <c r="E218" s="313">
        <f t="shared" ref="E218:P218" si="75">SUM(E219:E220)</f>
        <v>0</v>
      </c>
      <c r="F218" s="313">
        <f t="shared" si="75"/>
        <v>0</v>
      </c>
      <c r="G218" s="313">
        <f t="shared" si="75"/>
        <v>0</v>
      </c>
      <c r="H218" s="313">
        <f t="shared" si="75"/>
        <v>0</v>
      </c>
      <c r="I218" s="313">
        <f t="shared" si="75"/>
        <v>0</v>
      </c>
      <c r="J218" s="313">
        <f t="shared" si="75"/>
        <v>0</v>
      </c>
      <c r="K218" s="313">
        <f t="shared" si="75"/>
        <v>0</v>
      </c>
      <c r="L218" s="313">
        <f t="shared" si="75"/>
        <v>0</v>
      </c>
      <c r="M218" s="313">
        <f t="shared" si="75"/>
        <v>0</v>
      </c>
      <c r="N218" s="313">
        <f t="shared" si="75"/>
        <v>0</v>
      </c>
      <c r="O218" s="313">
        <f t="shared" si="75"/>
        <v>0</v>
      </c>
      <c r="P218" s="313">
        <f t="shared" si="75"/>
        <v>0</v>
      </c>
      <c r="Q218" s="334">
        <f>SUM(Q219:Q219)</f>
        <v>0</v>
      </c>
      <c r="S218" s="313">
        <f>SUM(S219:S219)</f>
        <v>0</v>
      </c>
    </row>
    <row r="219" spans="1:19" outlineLevel="1" x14ac:dyDescent="0.25">
      <c r="A219" s="314" t="s">
        <v>508</v>
      </c>
      <c r="B219" s="284" t="s">
        <v>509</v>
      </c>
      <c r="C219" s="284"/>
      <c r="D219" s="308"/>
      <c r="E219" s="23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9"/>
      <c r="P219" s="259"/>
      <c r="Q219" s="308">
        <f>SUM(E219:P219)</f>
        <v>0</v>
      </c>
      <c r="S219" s="293">
        <f>D219+Q219</f>
        <v>0</v>
      </c>
    </row>
    <row r="220" spans="1:19" outlineLevel="1" x14ac:dyDescent="0.25">
      <c r="A220" s="314" t="s">
        <v>510</v>
      </c>
      <c r="B220" s="284" t="s">
        <v>511</v>
      </c>
      <c r="C220" s="284"/>
      <c r="D220" s="308"/>
      <c r="E220" s="239"/>
      <c r="F220" s="259"/>
      <c r="G220" s="259"/>
      <c r="H220" s="259"/>
      <c r="I220" s="259"/>
      <c r="J220" s="259"/>
      <c r="K220" s="259"/>
      <c r="L220" s="259"/>
      <c r="M220" s="259"/>
      <c r="N220" s="259"/>
      <c r="O220" s="259"/>
      <c r="P220" s="259"/>
      <c r="Q220" s="308">
        <f>SUM(E220:P220)</f>
        <v>0</v>
      </c>
      <c r="S220" s="293">
        <f>D220+Q220</f>
        <v>0</v>
      </c>
    </row>
    <row r="221" spans="1:19" outlineLevel="1" x14ac:dyDescent="0.25">
      <c r="A221" s="324" t="s">
        <v>512</v>
      </c>
      <c r="B221" s="325" t="s">
        <v>513</v>
      </c>
      <c r="C221" s="326"/>
      <c r="D221" s="327">
        <f t="shared" ref="D221:Q221" si="76">SUM(D222:D231)</f>
        <v>0</v>
      </c>
      <c r="E221" s="335">
        <f t="shared" si="76"/>
        <v>0</v>
      </c>
      <c r="F221" s="335">
        <f t="shared" si="76"/>
        <v>0</v>
      </c>
      <c r="G221" s="335">
        <f t="shared" si="76"/>
        <v>0</v>
      </c>
      <c r="H221" s="335">
        <f t="shared" si="76"/>
        <v>0</v>
      </c>
      <c r="I221" s="335">
        <f t="shared" si="76"/>
        <v>0</v>
      </c>
      <c r="J221" s="335">
        <f t="shared" si="76"/>
        <v>0</v>
      </c>
      <c r="K221" s="335">
        <f t="shared" si="76"/>
        <v>0</v>
      </c>
      <c r="L221" s="335">
        <f t="shared" si="76"/>
        <v>0</v>
      </c>
      <c r="M221" s="335">
        <f t="shared" si="76"/>
        <v>0</v>
      </c>
      <c r="N221" s="335">
        <f t="shared" si="76"/>
        <v>0</v>
      </c>
      <c r="O221" s="335">
        <f t="shared" si="76"/>
        <v>0</v>
      </c>
      <c r="P221" s="335">
        <f t="shared" si="76"/>
        <v>0</v>
      </c>
      <c r="Q221" s="336">
        <f t="shared" si="76"/>
        <v>0</v>
      </c>
      <c r="S221" s="328">
        <f>SUM(S222:S231)</f>
        <v>0</v>
      </c>
    </row>
    <row r="222" spans="1:19" outlineLevel="1" x14ac:dyDescent="0.25">
      <c r="A222" s="314" t="s">
        <v>514</v>
      </c>
      <c r="B222" s="284" t="s">
        <v>309</v>
      </c>
      <c r="C222" s="284"/>
      <c r="D222" s="308"/>
      <c r="E222" s="23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308">
        <f t="shared" ref="Q222:Q231" si="77">SUM(E222:P222)</f>
        <v>0</v>
      </c>
      <c r="S222" s="293">
        <f t="shared" ref="S222:S231" si="78">D222+Q222</f>
        <v>0</v>
      </c>
    </row>
    <row r="223" spans="1:19" outlineLevel="1" x14ac:dyDescent="0.25">
      <c r="A223" s="314" t="s">
        <v>515</v>
      </c>
      <c r="B223" s="284" t="s">
        <v>291</v>
      </c>
      <c r="C223" s="284"/>
      <c r="D223" s="308"/>
      <c r="E223" s="239"/>
      <c r="F223" s="259"/>
      <c r="G223" s="259"/>
      <c r="H223" s="259"/>
      <c r="I223" s="259"/>
      <c r="J223" s="259"/>
      <c r="K223" s="259"/>
      <c r="L223" s="259"/>
      <c r="M223" s="259"/>
      <c r="N223" s="259"/>
      <c r="O223" s="259"/>
      <c r="P223" s="259"/>
      <c r="Q223" s="308">
        <f t="shared" si="77"/>
        <v>0</v>
      </c>
      <c r="S223" s="293">
        <f t="shared" si="78"/>
        <v>0</v>
      </c>
    </row>
    <row r="224" spans="1:19" outlineLevel="1" x14ac:dyDescent="0.25">
      <c r="A224" s="314" t="s">
        <v>516</v>
      </c>
      <c r="B224" s="284" t="s">
        <v>293</v>
      </c>
      <c r="C224" s="284"/>
      <c r="D224" s="308"/>
      <c r="E224" s="239"/>
      <c r="F224" s="259"/>
      <c r="G224" s="259"/>
      <c r="H224" s="239"/>
      <c r="I224" s="259"/>
      <c r="J224" s="259"/>
      <c r="K224" s="239"/>
      <c r="L224" s="259"/>
      <c r="M224" s="259"/>
      <c r="N224" s="239"/>
      <c r="O224" s="259"/>
      <c r="P224" s="259"/>
      <c r="Q224" s="308">
        <f t="shared" si="77"/>
        <v>0</v>
      </c>
      <c r="S224" s="293">
        <f t="shared" si="78"/>
        <v>0</v>
      </c>
    </row>
    <row r="225" spans="1:19" outlineLevel="1" x14ac:dyDescent="0.25">
      <c r="A225" s="314" t="s">
        <v>517</v>
      </c>
      <c r="B225" s="284" t="s">
        <v>295</v>
      </c>
      <c r="C225" s="284"/>
      <c r="D225" s="308"/>
      <c r="E225" s="23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259"/>
      <c r="Q225" s="308">
        <f t="shared" si="77"/>
        <v>0</v>
      </c>
      <c r="S225" s="293">
        <f t="shared" si="78"/>
        <v>0</v>
      </c>
    </row>
    <row r="226" spans="1:19" outlineLevel="1" x14ac:dyDescent="0.25">
      <c r="A226" s="314" t="s">
        <v>518</v>
      </c>
      <c r="B226" s="284" t="s">
        <v>519</v>
      </c>
      <c r="C226" s="284"/>
      <c r="D226" s="308"/>
      <c r="E226" s="23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9"/>
      <c r="P226" s="259"/>
      <c r="Q226" s="308">
        <f t="shared" si="77"/>
        <v>0</v>
      </c>
      <c r="S226" s="293">
        <f t="shared" si="78"/>
        <v>0</v>
      </c>
    </row>
    <row r="227" spans="1:19" outlineLevel="1" x14ac:dyDescent="0.25">
      <c r="A227" s="314" t="s">
        <v>520</v>
      </c>
      <c r="B227" s="284" t="s">
        <v>303</v>
      </c>
      <c r="C227" s="284"/>
      <c r="D227" s="308"/>
      <c r="E227" s="239"/>
      <c r="F227" s="259"/>
      <c r="G227" s="259"/>
      <c r="H227" s="259"/>
      <c r="I227" s="259"/>
      <c r="J227" s="259"/>
      <c r="K227" s="259"/>
      <c r="L227" s="315"/>
      <c r="M227" s="259"/>
      <c r="N227" s="259"/>
      <c r="O227" s="259"/>
      <c r="P227" s="259"/>
      <c r="Q227" s="308">
        <f t="shared" si="77"/>
        <v>0</v>
      </c>
      <c r="S227" s="293">
        <f t="shared" si="78"/>
        <v>0</v>
      </c>
    </row>
    <row r="228" spans="1:19" outlineLevel="1" x14ac:dyDescent="0.25">
      <c r="A228" s="314" t="s">
        <v>521</v>
      </c>
      <c r="B228" s="284" t="s">
        <v>522</v>
      </c>
      <c r="C228" s="284"/>
      <c r="D228" s="308"/>
      <c r="E228" s="239"/>
      <c r="F228" s="259"/>
      <c r="G228" s="259"/>
      <c r="H228" s="259"/>
      <c r="I228" s="259"/>
      <c r="J228" s="259"/>
      <c r="K228" s="259"/>
      <c r="L228" s="259"/>
      <c r="M228" s="259"/>
      <c r="N228" s="259"/>
      <c r="O228" s="259"/>
      <c r="P228" s="259"/>
      <c r="Q228" s="308">
        <f t="shared" si="77"/>
        <v>0</v>
      </c>
      <c r="S228" s="293">
        <f t="shared" si="78"/>
        <v>0</v>
      </c>
    </row>
    <row r="229" spans="1:19" outlineLevel="1" x14ac:dyDescent="0.25">
      <c r="A229" s="314" t="s">
        <v>523</v>
      </c>
      <c r="B229" s="284" t="s">
        <v>524</v>
      </c>
      <c r="C229" s="284"/>
      <c r="D229" s="308"/>
      <c r="E229" s="239"/>
      <c r="F229" s="259"/>
      <c r="G229" s="259"/>
      <c r="H229" s="259"/>
      <c r="I229" s="259"/>
      <c r="J229" s="259"/>
      <c r="K229" s="259"/>
      <c r="L229" s="259"/>
      <c r="M229" s="259"/>
      <c r="N229" s="259"/>
      <c r="O229" s="259"/>
      <c r="P229" s="259"/>
      <c r="Q229" s="308">
        <f t="shared" si="77"/>
        <v>0</v>
      </c>
      <c r="S229" s="293">
        <f t="shared" si="78"/>
        <v>0</v>
      </c>
    </row>
    <row r="230" spans="1:19" outlineLevel="1" x14ac:dyDescent="0.25">
      <c r="A230" s="314" t="s">
        <v>525</v>
      </c>
      <c r="B230" s="284" t="s">
        <v>526</v>
      </c>
      <c r="C230" s="284"/>
      <c r="D230" s="308"/>
      <c r="E230" s="23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9"/>
      <c r="P230" s="259"/>
      <c r="Q230" s="308">
        <f t="shared" si="77"/>
        <v>0</v>
      </c>
      <c r="S230" s="293">
        <f t="shared" si="78"/>
        <v>0</v>
      </c>
    </row>
    <row r="231" spans="1:19" outlineLevel="1" x14ac:dyDescent="0.25">
      <c r="A231" s="314" t="s">
        <v>527</v>
      </c>
      <c r="B231" s="284" t="s">
        <v>528</v>
      </c>
      <c r="C231" s="284"/>
      <c r="D231" s="308"/>
      <c r="E231" s="239"/>
      <c r="F231" s="259"/>
      <c r="G231" s="259"/>
      <c r="H231" s="259"/>
      <c r="I231" s="259"/>
      <c r="J231" s="259"/>
      <c r="K231" s="259"/>
      <c r="L231" s="259"/>
      <c r="M231" s="259"/>
      <c r="N231" s="259"/>
      <c r="O231" s="259"/>
      <c r="P231" s="259"/>
      <c r="Q231" s="308">
        <f t="shared" si="77"/>
        <v>0</v>
      </c>
      <c r="S231" s="293">
        <f t="shared" si="78"/>
        <v>0</v>
      </c>
    </row>
    <row r="232" spans="1:19" x14ac:dyDescent="0.25">
      <c r="A232" s="337" t="s">
        <v>529</v>
      </c>
      <c r="B232" s="338" t="s">
        <v>530</v>
      </c>
      <c r="C232" s="338"/>
      <c r="D232" s="339">
        <f t="shared" ref="D232:P233" si="79">D233</f>
        <v>0</v>
      </c>
      <c r="E232" s="340">
        <f t="shared" si="79"/>
        <v>0</v>
      </c>
      <c r="F232" s="340">
        <f t="shared" si="79"/>
        <v>0</v>
      </c>
      <c r="G232" s="340">
        <f t="shared" si="79"/>
        <v>0</v>
      </c>
      <c r="H232" s="340">
        <f t="shared" si="79"/>
        <v>0</v>
      </c>
      <c r="I232" s="340">
        <f t="shared" si="79"/>
        <v>0</v>
      </c>
      <c r="J232" s="340">
        <f t="shared" si="79"/>
        <v>0</v>
      </c>
      <c r="K232" s="340">
        <f t="shared" si="79"/>
        <v>0</v>
      </c>
      <c r="L232" s="340">
        <f t="shared" si="79"/>
        <v>0</v>
      </c>
      <c r="M232" s="340">
        <f t="shared" si="79"/>
        <v>0</v>
      </c>
      <c r="N232" s="340">
        <f t="shared" si="79"/>
        <v>0</v>
      </c>
      <c r="O232" s="340">
        <f t="shared" si="79"/>
        <v>0</v>
      </c>
      <c r="P232" s="340">
        <f t="shared" si="79"/>
        <v>0</v>
      </c>
      <c r="Q232" s="341">
        <f>Q233</f>
        <v>0</v>
      </c>
      <c r="S232" s="342">
        <f>S233</f>
        <v>0</v>
      </c>
    </row>
    <row r="233" spans="1:19" outlineLevel="1" x14ac:dyDescent="0.25">
      <c r="A233" s="316" t="s">
        <v>531</v>
      </c>
      <c r="B233" s="317" t="s">
        <v>532</v>
      </c>
      <c r="C233" s="343"/>
      <c r="D233" s="344">
        <f t="shared" si="79"/>
        <v>0</v>
      </c>
      <c r="E233" s="344">
        <f t="shared" si="79"/>
        <v>0</v>
      </c>
      <c r="F233" s="344">
        <f t="shared" si="79"/>
        <v>0</v>
      </c>
      <c r="G233" s="344">
        <f t="shared" si="79"/>
        <v>0</v>
      </c>
      <c r="H233" s="344">
        <f t="shared" si="79"/>
        <v>0</v>
      </c>
      <c r="I233" s="344">
        <f t="shared" si="79"/>
        <v>0</v>
      </c>
      <c r="J233" s="344">
        <f t="shared" si="79"/>
        <v>0</v>
      </c>
      <c r="K233" s="344">
        <f t="shared" si="79"/>
        <v>0</v>
      </c>
      <c r="L233" s="344">
        <f t="shared" si="79"/>
        <v>0</v>
      </c>
      <c r="M233" s="344">
        <f t="shared" si="79"/>
        <v>0</v>
      </c>
      <c r="N233" s="344">
        <f t="shared" si="79"/>
        <v>0</v>
      </c>
      <c r="O233" s="344">
        <f t="shared" si="79"/>
        <v>0</v>
      </c>
      <c r="P233" s="344">
        <f t="shared" si="79"/>
        <v>0</v>
      </c>
      <c r="Q233" s="345">
        <f>SUM(E233:P233)</f>
        <v>0</v>
      </c>
      <c r="S233" s="346">
        <f>D233+Q233</f>
        <v>0</v>
      </c>
    </row>
    <row r="234" spans="1:19" ht="12.6" outlineLevel="1" thickBot="1" x14ac:dyDescent="0.3">
      <c r="A234" s="8" t="s">
        <v>533</v>
      </c>
      <c r="B234" s="9" t="s">
        <v>534</v>
      </c>
      <c r="C234" s="9"/>
      <c r="D234" s="15"/>
      <c r="E234" s="239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5">
        <f>SUM(E234:P234)</f>
        <v>0</v>
      </c>
      <c r="S234" s="11">
        <f>Q234+D234</f>
        <v>0</v>
      </c>
    </row>
    <row r="235" spans="1:19" ht="12.6" collapsed="1" thickBot="1" x14ac:dyDescent="0.3">
      <c r="A235" s="186"/>
      <c r="B235" s="187" t="s">
        <v>535</v>
      </c>
      <c r="C235" s="187"/>
      <c r="D235" s="188">
        <f>SUM(D15,D59,D81,D128,D136,D151,D163,D190,D208,D217+D232)</f>
        <v>0</v>
      </c>
      <c r="E235" s="189">
        <f t="shared" ref="E235:Q235" si="80">SUM(E15,E59,E81,E128,E136,E151,E163,E190,E208,E217,E232)</f>
        <v>0</v>
      </c>
      <c r="F235" s="189">
        <f t="shared" si="80"/>
        <v>0</v>
      </c>
      <c r="G235" s="189">
        <f t="shared" si="80"/>
        <v>0</v>
      </c>
      <c r="H235" s="189">
        <f t="shared" si="80"/>
        <v>0</v>
      </c>
      <c r="I235" s="189">
        <f t="shared" si="80"/>
        <v>0</v>
      </c>
      <c r="J235" s="189">
        <f t="shared" si="80"/>
        <v>0</v>
      </c>
      <c r="K235" s="189">
        <f t="shared" si="80"/>
        <v>0</v>
      </c>
      <c r="L235" s="189">
        <f t="shared" si="80"/>
        <v>0</v>
      </c>
      <c r="M235" s="189">
        <f t="shared" si="80"/>
        <v>0</v>
      </c>
      <c r="N235" s="189">
        <f t="shared" si="80"/>
        <v>0</v>
      </c>
      <c r="O235" s="189">
        <f t="shared" si="80"/>
        <v>0</v>
      </c>
      <c r="P235" s="190">
        <f t="shared" si="80"/>
        <v>0</v>
      </c>
      <c r="Q235" s="191">
        <f t="shared" si="80"/>
        <v>0</v>
      </c>
      <c r="R235" s="12"/>
      <c r="S235" s="189">
        <f>SUM(S15,S59,S81,S128,S136,S151,S163,S190,S208,S217,S232)</f>
        <v>0</v>
      </c>
    </row>
    <row r="236" spans="1:19" ht="12.6" thickBot="1" x14ac:dyDescent="0.3">
      <c r="E236" s="4"/>
      <c r="F236" s="4"/>
      <c r="G236" s="4"/>
      <c r="H236" s="21">
        <f>H235-H176-H167-H165</f>
        <v>0</v>
      </c>
      <c r="I236" s="21">
        <f>I235-I176-I167-I165</f>
        <v>0</v>
      </c>
      <c r="J236" s="21">
        <f>J235-J176-J167-J165</f>
        <v>0</v>
      </c>
      <c r="K236" s="4"/>
      <c r="L236" s="4"/>
      <c r="M236" s="4"/>
      <c r="N236" s="4"/>
      <c r="O236" s="4"/>
      <c r="P236" s="4"/>
      <c r="Q236" s="4"/>
      <c r="S236" s="302"/>
    </row>
    <row r="237" spans="1:19" s="13" customFormat="1" ht="12.6" thickBot="1" x14ac:dyDescent="0.3">
      <c r="A237" s="192"/>
      <c r="B237" s="193" t="s">
        <v>536</v>
      </c>
      <c r="C237" s="193"/>
      <c r="D237" s="193">
        <f t="shared" ref="D237:P237" si="81">D13-D235</f>
        <v>0</v>
      </c>
      <c r="E237" s="194">
        <f t="shared" si="81"/>
        <v>0</v>
      </c>
      <c r="F237" s="194">
        <f t="shared" si="81"/>
        <v>0</v>
      </c>
      <c r="G237" s="194">
        <f t="shared" si="81"/>
        <v>0</v>
      </c>
      <c r="H237" s="194">
        <f t="shared" si="81"/>
        <v>0</v>
      </c>
      <c r="I237" s="194">
        <f t="shared" si="81"/>
        <v>0</v>
      </c>
      <c r="J237" s="194">
        <f t="shared" si="81"/>
        <v>0</v>
      </c>
      <c r="K237" s="194">
        <f t="shared" si="81"/>
        <v>0</v>
      </c>
      <c r="L237" s="194">
        <f t="shared" si="81"/>
        <v>0</v>
      </c>
      <c r="M237" s="194">
        <f t="shared" si="81"/>
        <v>0</v>
      </c>
      <c r="N237" s="194">
        <f t="shared" si="81"/>
        <v>0</v>
      </c>
      <c r="O237" s="194">
        <f t="shared" si="81"/>
        <v>0</v>
      </c>
      <c r="P237" s="194">
        <f t="shared" si="81"/>
        <v>0</v>
      </c>
      <c r="Q237" s="195">
        <f>SUM(E237:P237)</f>
        <v>0</v>
      </c>
      <c r="S237" s="180">
        <f>D237+Q237</f>
        <v>0</v>
      </c>
    </row>
    <row r="238" spans="1:19" x14ac:dyDescent="0.25"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S238" s="2"/>
    </row>
    <row r="239" spans="1:19" x14ac:dyDescent="0.25">
      <c r="A239" s="347"/>
      <c r="B239" s="347" t="s">
        <v>571</v>
      </c>
      <c r="C239" s="348"/>
      <c r="D239" s="349"/>
      <c r="E239" s="350"/>
      <c r="F239" s="350"/>
      <c r="G239" s="350"/>
      <c r="H239" s="350"/>
      <c r="I239" s="350"/>
      <c r="J239" s="350"/>
      <c r="K239" s="350"/>
      <c r="L239" s="350"/>
      <c r="M239" s="350"/>
      <c r="N239" s="350"/>
      <c r="O239" s="350"/>
      <c r="P239" s="350"/>
      <c r="Q239" s="351"/>
      <c r="R239" s="20"/>
      <c r="S239" s="352">
        <f>D239+Q239</f>
        <v>0</v>
      </c>
    </row>
    <row r="240" spans="1:19" x14ac:dyDescent="0.25">
      <c r="A240" s="353"/>
      <c r="B240" s="353" t="s">
        <v>572</v>
      </c>
      <c r="C240" s="354">
        <f>2.88%-1%</f>
        <v>1.8799999999999997E-2</v>
      </c>
      <c r="D240" s="355">
        <f t="shared" ref="D240:P240" si="82">D13*$C240</f>
        <v>0</v>
      </c>
      <c r="E240" s="356">
        <f t="shared" si="82"/>
        <v>0</v>
      </c>
      <c r="F240" s="356">
        <f t="shared" si="82"/>
        <v>0</v>
      </c>
      <c r="G240" s="356">
        <f t="shared" si="82"/>
        <v>0</v>
      </c>
      <c r="H240" s="356">
        <f t="shared" si="82"/>
        <v>0</v>
      </c>
      <c r="I240" s="356">
        <f t="shared" si="82"/>
        <v>0</v>
      </c>
      <c r="J240" s="356">
        <f t="shared" si="82"/>
        <v>0</v>
      </c>
      <c r="K240" s="356">
        <f t="shared" si="82"/>
        <v>0</v>
      </c>
      <c r="L240" s="356">
        <f t="shared" si="82"/>
        <v>0</v>
      </c>
      <c r="M240" s="356">
        <f t="shared" si="82"/>
        <v>0</v>
      </c>
      <c r="N240" s="356">
        <f t="shared" si="82"/>
        <v>0</v>
      </c>
      <c r="O240" s="356">
        <f t="shared" si="82"/>
        <v>0</v>
      </c>
      <c r="P240" s="356">
        <f t="shared" si="82"/>
        <v>0</v>
      </c>
      <c r="Q240" s="351">
        <f>SUM(E240:P240)</f>
        <v>0</v>
      </c>
      <c r="R240" s="20"/>
      <c r="S240" s="352">
        <f>D240+Q240</f>
        <v>0</v>
      </c>
    </row>
    <row r="241" spans="1:19" x14ac:dyDescent="0.25">
      <c r="A241" s="353"/>
      <c r="B241" s="353" t="s">
        <v>125</v>
      </c>
      <c r="C241" s="354">
        <f>4.8%-1.5%</f>
        <v>3.3000000000000002E-2</v>
      </c>
      <c r="D241" s="355">
        <f t="shared" ref="D241:P241" si="83">D13*$C241</f>
        <v>0</v>
      </c>
      <c r="E241" s="356">
        <f t="shared" si="83"/>
        <v>0</v>
      </c>
      <c r="F241" s="356">
        <f t="shared" si="83"/>
        <v>0</v>
      </c>
      <c r="G241" s="356">
        <f t="shared" si="83"/>
        <v>0</v>
      </c>
      <c r="H241" s="356">
        <f t="shared" si="83"/>
        <v>0</v>
      </c>
      <c r="I241" s="356">
        <f t="shared" si="83"/>
        <v>0</v>
      </c>
      <c r="J241" s="356">
        <f t="shared" si="83"/>
        <v>0</v>
      </c>
      <c r="K241" s="356">
        <f t="shared" si="83"/>
        <v>0</v>
      </c>
      <c r="L241" s="356">
        <f t="shared" si="83"/>
        <v>0</v>
      </c>
      <c r="M241" s="356">
        <f t="shared" si="83"/>
        <v>0</v>
      </c>
      <c r="N241" s="356">
        <f t="shared" si="83"/>
        <v>0</v>
      </c>
      <c r="O241" s="356">
        <f t="shared" si="83"/>
        <v>0</v>
      </c>
      <c r="P241" s="356">
        <f t="shared" si="83"/>
        <v>0</v>
      </c>
      <c r="Q241" s="351">
        <f>SUM(E241:P241)</f>
        <v>0</v>
      </c>
      <c r="R241" s="20"/>
      <c r="S241" s="352">
        <f>D241+Q241</f>
        <v>0</v>
      </c>
    </row>
    <row r="242" spans="1:19" x14ac:dyDescent="0.25">
      <c r="A242" s="353"/>
      <c r="B242" s="353" t="s">
        <v>573</v>
      </c>
      <c r="C242" s="357">
        <v>0.1</v>
      </c>
      <c r="D242" s="351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1">
        <f>SUM(E242:P242)</f>
        <v>0</v>
      </c>
      <c r="R242" s="20"/>
      <c r="S242" s="352">
        <f>D242+Q242</f>
        <v>0</v>
      </c>
    </row>
    <row r="243" spans="1:19" x14ac:dyDescent="0.25">
      <c r="A243" s="347"/>
      <c r="B243" s="347" t="s">
        <v>574</v>
      </c>
      <c r="C243" s="347"/>
      <c r="D243" s="349">
        <f t="shared" ref="D243:P243" si="84">SUM(D240:D242)</f>
        <v>0</v>
      </c>
      <c r="E243" s="350">
        <f t="shared" si="84"/>
        <v>0</v>
      </c>
      <c r="F243" s="350">
        <f t="shared" si="84"/>
        <v>0</v>
      </c>
      <c r="G243" s="350">
        <f t="shared" si="84"/>
        <v>0</v>
      </c>
      <c r="H243" s="350">
        <f t="shared" si="84"/>
        <v>0</v>
      </c>
      <c r="I243" s="350">
        <f t="shared" si="84"/>
        <v>0</v>
      </c>
      <c r="J243" s="350">
        <f t="shared" si="84"/>
        <v>0</v>
      </c>
      <c r="K243" s="350">
        <f t="shared" si="84"/>
        <v>0</v>
      </c>
      <c r="L243" s="350">
        <f t="shared" si="84"/>
        <v>0</v>
      </c>
      <c r="M243" s="350">
        <f t="shared" si="84"/>
        <v>0</v>
      </c>
      <c r="N243" s="350">
        <f t="shared" si="84"/>
        <v>0</v>
      </c>
      <c r="O243" s="350">
        <f t="shared" si="84"/>
        <v>0</v>
      </c>
      <c r="P243" s="350">
        <f t="shared" si="84"/>
        <v>0</v>
      </c>
      <c r="Q243" s="351">
        <f>SUM(E243:P243)</f>
        <v>0</v>
      </c>
      <c r="R243" s="20"/>
      <c r="S243" s="352">
        <f>D243+Q243</f>
        <v>0</v>
      </c>
    </row>
    <row r="244" spans="1:19" x14ac:dyDescent="0.25"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S244" s="2"/>
    </row>
    <row r="245" spans="1:19" s="6" customFormat="1" x14ac:dyDescent="0.25">
      <c r="A245" s="359"/>
      <c r="B245" s="360" t="s">
        <v>575</v>
      </c>
      <c r="C245" s="361"/>
      <c r="D245" s="362">
        <f>(D237)-D243</f>
        <v>0</v>
      </c>
      <c r="E245" s="362">
        <f t="shared" ref="E245:P245" si="85">(E237)-E243</f>
        <v>0</v>
      </c>
      <c r="F245" s="362">
        <f t="shared" si="85"/>
        <v>0</v>
      </c>
      <c r="G245" s="362">
        <f t="shared" si="85"/>
        <v>0</v>
      </c>
      <c r="H245" s="362">
        <f t="shared" si="85"/>
        <v>0</v>
      </c>
      <c r="I245" s="362">
        <f t="shared" si="85"/>
        <v>0</v>
      </c>
      <c r="J245" s="362">
        <f t="shared" si="85"/>
        <v>0</v>
      </c>
      <c r="K245" s="362">
        <f t="shared" si="85"/>
        <v>0</v>
      </c>
      <c r="L245" s="362">
        <f t="shared" si="85"/>
        <v>0</v>
      </c>
      <c r="M245" s="362">
        <f t="shared" si="85"/>
        <v>0</v>
      </c>
      <c r="N245" s="362">
        <f t="shared" si="85"/>
        <v>0</v>
      </c>
      <c r="O245" s="362">
        <f t="shared" si="85"/>
        <v>0</v>
      </c>
      <c r="P245" s="362">
        <f t="shared" si="85"/>
        <v>0</v>
      </c>
      <c r="Q245" s="363">
        <f>SUM(E245:P245)</f>
        <v>0</v>
      </c>
      <c r="S245" s="364">
        <f>SUM(D245,Q245)</f>
        <v>0</v>
      </c>
    </row>
    <row r="246" spans="1:19" x14ac:dyDescent="0.25"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S246" s="2"/>
    </row>
    <row r="247" spans="1:19" x14ac:dyDescent="0.25">
      <c r="A247" s="284"/>
      <c r="B247" s="365" t="s">
        <v>537</v>
      </c>
      <c r="C247" s="365"/>
      <c r="D247" s="366"/>
      <c r="E247" s="239"/>
      <c r="F247" s="239"/>
      <c r="G247" s="239"/>
      <c r="H247" s="287"/>
      <c r="I247" s="287"/>
      <c r="J247" s="287"/>
      <c r="K247" s="287"/>
      <c r="L247" s="287"/>
      <c r="M247" s="287"/>
      <c r="N247" s="287"/>
      <c r="O247" s="287"/>
      <c r="P247" s="239"/>
      <c r="Q247" s="288"/>
      <c r="S247" s="293"/>
    </row>
    <row r="248" spans="1:19" x14ac:dyDescent="0.25">
      <c r="A248" s="284"/>
      <c r="B248" s="367" t="s">
        <v>538</v>
      </c>
      <c r="C248" s="367"/>
      <c r="D248" s="291">
        <v>0</v>
      </c>
      <c r="E248" s="368">
        <f>D251</f>
        <v>0</v>
      </c>
      <c r="F248" s="368">
        <f>E251</f>
        <v>0</v>
      </c>
      <c r="G248" s="368">
        <f t="shared" ref="G248:P248" si="86">F251</f>
        <v>0</v>
      </c>
      <c r="H248" s="368">
        <f t="shared" si="86"/>
        <v>0</v>
      </c>
      <c r="I248" s="368">
        <f t="shared" si="86"/>
        <v>0</v>
      </c>
      <c r="J248" s="368">
        <f t="shared" si="86"/>
        <v>0</v>
      </c>
      <c r="K248" s="368">
        <f t="shared" si="86"/>
        <v>0</v>
      </c>
      <c r="L248" s="368">
        <f t="shared" si="86"/>
        <v>0</v>
      </c>
      <c r="M248" s="368">
        <f t="shared" si="86"/>
        <v>0</v>
      </c>
      <c r="N248" s="368">
        <f t="shared" si="86"/>
        <v>0</v>
      </c>
      <c r="O248" s="368">
        <f t="shared" si="86"/>
        <v>0</v>
      </c>
      <c r="P248" s="368">
        <f t="shared" si="86"/>
        <v>0</v>
      </c>
      <c r="Q248" s="369"/>
      <c r="S248" s="293"/>
    </row>
    <row r="249" spans="1:19" x14ac:dyDescent="0.25">
      <c r="A249" s="284"/>
      <c r="B249" s="367" t="s">
        <v>539</v>
      </c>
      <c r="C249" s="367"/>
      <c r="D249" s="366">
        <f t="shared" ref="D249:P249" si="87">D13</f>
        <v>0</v>
      </c>
      <c r="E249" s="370">
        <f t="shared" si="87"/>
        <v>0</v>
      </c>
      <c r="F249" s="370">
        <f t="shared" si="87"/>
        <v>0</v>
      </c>
      <c r="G249" s="370">
        <f t="shared" si="87"/>
        <v>0</v>
      </c>
      <c r="H249" s="370">
        <f t="shared" si="87"/>
        <v>0</v>
      </c>
      <c r="I249" s="370">
        <f t="shared" si="87"/>
        <v>0</v>
      </c>
      <c r="J249" s="370">
        <f t="shared" si="87"/>
        <v>0</v>
      </c>
      <c r="K249" s="370">
        <f t="shared" si="87"/>
        <v>0</v>
      </c>
      <c r="L249" s="370">
        <f t="shared" si="87"/>
        <v>0</v>
      </c>
      <c r="M249" s="370">
        <f t="shared" si="87"/>
        <v>0</v>
      </c>
      <c r="N249" s="370">
        <f t="shared" si="87"/>
        <v>0</v>
      </c>
      <c r="O249" s="370">
        <f t="shared" si="87"/>
        <v>0</v>
      </c>
      <c r="P249" s="370">
        <f t="shared" si="87"/>
        <v>0</v>
      </c>
      <c r="Q249" s="369">
        <f>SUM(E249:P249)</f>
        <v>0</v>
      </c>
      <c r="S249" s="293">
        <f>D249+Q249</f>
        <v>0</v>
      </c>
    </row>
    <row r="250" spans="1:19" x14ac:dyDescent="0.25">
      <c r="A250" s="284"/>
      <c r="B250" s="371" t="s">
        <v>540</v>
      </c>
      <c r="C250" s="371"/>
      <c r="D250" s="372">
        <f>-D235-D243</f>
        <v>0</v>
      </c>
      <c r="E250" s="372">
        <f t="shared" ref="E250:P250" si="88">-E235-E243</f>
        <v>0</v>
      </c>
      <c r="F250" s="372">
        <f t="shared" si="88"/>
        <v>0</v>
      </c>
      <c r="G250" s="372">
        <f t="shared" si="88"/>
        <v>0</v>
      </c>
      <c r="H250" s="372">
        <f t="shared" si="88"/>
        <v>0</v>
      </c>
      <c r="I250" s="372">
        <f t="shared" si="88"/>
        <v>0</v>
      </c>
      <c r="J250" s="372">
        <f t="shared" si="88"/>
        <v>0</v>
      </c>
      <c r="K250" s="372">
        <f t="shared" si="88"/>
        <v>0</v>
      </c>
      <c r="L250" s="372">
        <f t="shared" si="88"/>
        <v>0</v>
      </c>
      <c r="M250" s="372">
        <f t="shared" si="88"/>
        <v>0</v>
      </c>
      <c r="N250" s="372">
        <f t="shared" si="88"/>
        <v>0</v>
      </c>
      <c r="O250" s="372">
        <f t="shared" si="88"/>
        <v>0</v>
      </c>
      <c r="P250" s="372">
        <f t="shared" si="88"/>
        <v>0</v>
      </c>
      <c r="Q250" s="373">
        <f>SUM(E250:P250)</f>
        <v>0</v>
      </c>
      <c r="S250" s="293">
        <f>D250+Q250</f>
        <v>0</v>
      </c>
    </row>
    <row r="251" spans="1:19" x14ac:dyDescent="0.25">
      <c r="A251" s="284"/>
      <c r="B251" s="365" t="s">
        <v>541</v>
      </c>
      <c r="C251" s="365"/>
      <c r="D251" s="372">
        <f>D249+D250</f>
        <v>0</v>
      </c>
      <c r="E251" s="368">
        <f t="shared" ref="E251:P251" si="89">SUM(E248:E250)</f>
        <v>0</v>
      </c>
      <c r="F251" s="368">
        <f t="shared" si="89"/>
        <v>0</v>
      </c>
      <c r="G251" s="368">
        <f t="shared" si="89"/>
        <v>0</v>
      </c>
      <c r="H251" s="368">
        <f t="shared" si="89"/>
        <v>0</v>
      </c>
      <c r="I251" s="368">
        <f t="shared" si="89"/>
        <v>0</v>
      </c>
      <c r="J251" s="368">
        <f t="shared" si="89"/>
        <v>0</v>
      </c>
      <c r="K251" s="368">
        <f t="shared" si="89"/>
        <v>0</v>
      </c>
      <c r="L251" s="368">
        <f t="shared" si="89"/>
        <v>0</v>
      </c>
      <c r="M251" s="368">
        <f t="shared" si="89"/>
        <v>0</v>
      </c>
      <c r="N251" s="368">
        <f t="shared" si="89"/>
        <v>0</v>
      </c>
      <c r="O251" s="368">
        <f t="shared" si="89"/>
        <v>0</v>
      </c>
      <c r="P251" s="368">
        <f t="shared" si="89"/>
        <v>0</v>
      </c>
      <c r="Q251" s="369">
        <f>SUM(Q249:Q250)</f>
        <v>0</v>
      </c>
      <c r="S251" s="374">
        <f>SUM(S249:S250)</f>
        <v>0</v>
      </c>
    </row>
    <row r="252" spans="1:19" x14ac:dyDescent="0.25">
      <c r="A252" s="375"/>
      <c r="B252" s="376"/>
      <c r="C252" s="376"/>
      <c r="D252" s="377"/>
      <c r="E252" s="378"/>
      <c r="F252" s="378"/>
      <c r="G252" s="378"/>
      <c r="H252" s="378"/>
      <c r="I252" s="379"/>
      <c r="J252" s="378"/>
      <c r="K252" s="378"/>
      <c r="L252" s="378"/>
      <c r="M252" s="378"/>
      <c r="N252" s="378"/>
      <c r="O252" s="378"/>
      <c r="P252" s="378"/>
      <c r="Q252" s="378"/>
      <c r="S252" s="2"/>
    </row>
  </sheetData>
  <sheetProtection selectLockedCells="1" selectUnlockedCells="1"/>
  <mergeCells count="3">
    <mergeCell ref="B3:B4"/>
    <mergeCell ref="D3:D4"/>
    <mergeCell ref="S3:S4"/>
  </mergeCells>
  <pageMargins left="0.31527777777777777" right="0.31527777777777777" top="0.39374999999999999" bottom="0.39374999999999999" header="0.51180555555555551" footer="0.51180555555555551"/>
  <pageSetup firstPageNumber="0" orientation="landscape" horizontalDpi="300" verticalDpi="300" r:id="rId1"/>
  <headerFooter alignWithMargins="0"/>
  <ignoredErrors>
    <ignoredError sqref="Q7" formulaRange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529F-4383-4BD9-A6B5-CE851E1DE06D}">
  <dimension ref="A1:BJ432"/>
  <sheetViews>
    <sheetView topLeftCell="A401" zoomScale="130" zoomScaleNormal="130" workbookViewId="0">
      <selection activeCell="B430" sqref="B430"/>
    </sheetView>
  </sheetViews>
  <sheetFormatPr defaultColWidth="10.6640625" defaultRowHeight="14.4" x14ac:dyDescent="0.3"/>
  <cols>
    <col min="1" max="1" width="7" style="79" bestFit="1" customWidth="1"/>
    <col min="2" max="2" width="51" style="79" bestFit="1" customWidth="1"/>
    <col min="3" max="63" width="11.88671875" style="79" customWidth="1"/>
    <col min="64" max="16384" width="10.6640625" style="79"/>
  </cols>
  <sheetData>
    <row r="1" spans="1:61" ht="57" customHeight="1" x14ac:dyDescent="0.3">
      <c r="A1" s="174"/>
      <c r="B1" s="531" t="s">
        <v>576</v>
      </c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1"/>
      <c r="AA1" s="531"/>
      <c r="AB1" s="531"/>
      <c r="AC1" s="531"/>
      <c r="AD1" s="531"/>
      <c r="AE1" s="531"/>
      <c r="AF1" s="531"/>
      <c r="AG1" s="531"/>
      <c r="AH1" s="531"/>
      <c r="AI1" s="531"/>
      <c r="AJ1" s="531"/>
      <c r="AK1" s="531"/>
      <c r="AL1" s="531"/>
      <c r="AM1" s="531"/>
      <c r="AN1" s="531"/>
      <c r="AO1" s="531"/>
      <c r="AP1" s="531"/>
      <c r="AQ1" s="531"/>
      <c r="AR1" s="531"/>
      <c r="AS1" s="531"/>
      <c r="AT1" s="531"/>
      <c r="AU1" s="531"/>
      <c r="AV1" s="531"/>
      <c r="AW1" s="531"/>
      <c r="AX1" s="531"/>
      <c r="AY1" s="531"/>
      <c r="AZ1" s="531"/>
      <c r="BA1" s="531"/>
      <c r="BB1" s="531"/>
      <c r="BC1" s="531"/>
      <c r="BD1" s="173"/>
      <c r="BE1" s="173"/>
      <c r="BF1" s="173"/>
      <c r="BG1" s="173"/>
      <c r="BH1" s="173"/>
      <c r="BI1" s="173"/>
    </row>
    <row r="2" spans="1:61" ht="18.600000000000001" thickBot="1" x14ac:dyDescent="0.4">
      <c r="C2" s="172" t="s">
        <v>577</v>
      </c>
    </row>
    <row r="3" spans="1:61" ht="15" thickBot="1" x14ac:dyDescent="0.35">
      <c r="C3" s="380" t="s">
        <v>578</v>
      </c>
      <c r="D3" s="380" t="s">
        <v>55</v>
      </c>
      <c r="E3" s="380" t="s">
        <v>578</v>
      </c>
      <c r="F3" s="380" t="s">
        <v>55</v>
      </c>
      <c r="G3" s="380" t="s">
        <v>578</v>
      </c>
      <c r="H3" s="380" t="s">
        <v>55</v>
      </c>
      <c r="I3" s="380" t="s">
        <v>578</v>
      </c>
      <c r="J3" s="380" t="s">
        <v>55</v>
      </c>
      <c r="K3" s="171" t="s">
        <v>578</v>
      </c>
      <c r="L3" s="171" t="s">
        <v>55</v>
      </c>
      <c r="M3" s="171" t="s">
        <v>578</v>
      </c>
      <c r="N3" s="171" t="s">
        <v>55</v>
      </c>
      <c r="O3" s="380" t="s">
        <v>578</v>
      </c>
      <c r="P3" s="380" t="s">
        <v>55</v>
      </c>
      <c r="Q3" s="380" t="s">
        <v>578</v>
      </c>
      <c r="R3" s="380" t="s">
        <v>55</v>
      </c>
      <c r="S3" s="380" t="s">
        <v>578</v>
      </c>
      <c r="T3" s="380" t="s">
        <v>55</v>
      </c>
      <c r="U3" s="171" t="s">
        <v>578</v>
      </c>
      <c r="V3" s="171" t="s">
        <v>55</v>
      </c>
      <c r="W3" s="171" t="s">
        <v>578</v>
      </c>
      <c r="X3" s="171" t="s">
        <v>55</v>
      </c>
      <c r="Y3" s="380" t="s">
        <v>578</v>
      </c>
      <c r="Z3" s="170" t="s">
        <v>55</v>
      </c>
      <c r="AA3" s="170" t="s">
        <v>55</v>
      </c>
      <c r="BC3" s="380" t="s">
        <v>55</v>
      </c>
    </row>
    <row r="4" spans="1:61" ht="15" thickTop="1" x14ac:dyDescent="0.3">
      <c r="B4" s="381"/>
      <c r="C4" s="149">
        <v>45292</v>
      </c>
      <c r="D4" s="148">
        <v>45292</v>
      </c>
      <c r="E4" s="149">
        <v>45323</v>
      </c>
      <c r="F4" s="148">
        <v>45323</v>
      </c>
      <c r="G4" s="149">
        <v>45352</v>
      </c>
      <c r="H4" s="148">
        <v>45352</v>
      </c>
      <c r="I4" s="149">
        <v>45383</v>
      </c>
      <c r="J4" s="148">
        <v>45383</v>
      </c>
      <c r="K4" s="149">
        <v>45413</v>
      </c>
      <c r="L4" s="148">
        <v>45413</v>
      </c>
      <c r="M4" s="149">
        <v>45444</v>
      </c>
      <c r="N4" s="148">
        <v>45444</v>
      </c>
      <c r="O4" s="149">
        <v>45474</v>
      </c>
      <c r="P4" s="148">
        <v>45474</v>
      </c>
      <c r="Q4" s="149">
        <v>45505</v>
      </c>
      <c r="R4" s="148">
        <v>45505</v>
      </c>
      <c r="S4" s="149">
        <v>45536</v>
      </c>
      <c r="T4" s="148">
        <v>45536</v>
      </c>
      <c r="U4" s="149">
        <v>45566</v>
      </c>
      <c r="V4" s="148">
        <v>45566</v>
      </c>
      <c r="W4" s="149">
        <v>45597</v>
      </c>
      <c r="X4" s="148">
        <v>45597</v>
      </c>
      <c r="Y4" s="149">
        <v>45627</v>
      </c>
      <c r="Z4" s="148">
        <v>45627</v>
      </c>
      <c r="AA4" s="382">
        <v>44927</v>
      </c>
      <c r="AB4" s="382">
        <v>44958</v>
      </c>
      <c r="AC4" s="382">
        <v>44986</v>
      </c>
      <c r="AD4" s="382">
        <v>45017</v>
      </c>
      <c r="AE4" s="382">
        <v>45047</v>
      </c>
      <c r="AF4" s="382">
        <v>45078</v>
      </c>
      <c r="AG4" s="382">
        <v>45108</v>
      </c>
      <c r="AH4" s="382">
        <v>45139</v>
      </c>
      <c r="AI4" s="382"/>
      <c r="AJ4" s="381" t="s">
        <v>579</v>
      </c>
      <c r="AK4" s="381" t="s">
        <v>580</v>
      </c>
      <c r="AL4" s="381" t="s">
        <v>581</v>
      </c>
      <c r="AM4" s="381" t="s">
        <v>582</v>
      </c>
      <c r="AN4" s="381" t="s">
        <v>583</v>
      </c>
      <c r="AO4" s="383" t="s">
        <v>584</v>
      </c>
      <c r="AP4" s="381" t="s">
        <v>585</v>
      </c>
      <c r="AQ4" s="381" t="s">
        <v>586</v>
      </c>
      <c r="AR4" s="381" t="s">
        <v>587</v>
      </c>
      <c r="AS4" s="381" t="s">
        <v>588</v>
      </c>
      <c r="AT4" s="381" t="s">
        <v>589</v>
      </c>
      <c r="AU4" s="381" t="s">
        <v>590</v>
      </c>
      <c r="AV4" s="381" t="s">
        <v>591</v>
      </c>
      <c r="AW4" s="381" t="s">
        <v>592</v>
      </c>
      <c r="AX4" s="381" t="s">
        <v>593</v>
      </c>
      <c r="AY4" s="381" t="s">
        <v>594</v>
      </c>
      <c r="AZ4" s="381" t="s">
        <v>595</v>
      </c>
      <c r="BA4" s="381" t="s">
        <v>596</v>
      </c>
      <c r="BB4" s="383" t="s">
        <v>597</v>
      </c>
      <c r="BC4" s="382">
        <v>44896</v>
      </c>
    </row>
    <row r="5" spans="1:61" ht="15.6" x14ac:dyDescent="0.3">
      <c r="B5" s="157" t="s">
        <v>598</v>
      </c>
      <c r="C5" s="83"/>
      <c r="D5" s="82"/>
      <c r="E5" s="83"/>
      <c r="F5" s="82"/>
      <c r="G5" s="83"/>
      <c r="H5" s="82"/>
      <c r="I5" s="83"/>
      <c r="J5" s="82"/>
      <c r="K5" s="83"/>
      <c r="L5" s="82"/>
      <c r="M5" s="83"/>
      <c r="N5" s="82"/>
      <c r="O5" s="83"/>
      <c r="P5" s="82"/>
      <c r="Q5" s="83"/>
      <c r="R5" s="82"/>
      <c r="S5" s="83"/>
      <c r="T5" s="82"/>
      <c r="U5" s="83"/>
      <c r="V5" s="82"/>
      <c r="W5" s="83"/>
      <c r="X5" s="82"/>
      <c r="Y5" s="83"/>
      <c r="Z5" s="82"/>
      <c r="AA5" s="384"/>
      <c r="AO5" s="384"/>
      <c r="BB5" s="384"/>
    </row>
    <row r="6" spans="1:61" s="108" customFormat="1" ht="12" x14ac:dyDescent="0.25">
      <c r="B6" s="380" t="s">
        <v>599</v>
      </c>
      <c r="C6" s="143"/>
      <c r="D6" s="385">
        <f>SUM(D7:D14)</f>
        <v>12478915.66</v>
      </c>
      <c r="E6" s="143"/>
      <c r="F6" s="385">
        <f>SUM(F7:F14)</f>
        <v>0</v>
      </c>
      <c r="G6" s="143"/>
      <c r="H6" s="385">
        <f>SUM(H7:H14)</f>
        <v>0</v>
      </c>
      <c r="I6" s="143"/>
      <c r="J6" s="385">
        <f>SUM(J7:J14)</f>
        <v>0</v>
      </c>
      <c r="K6" s="143"/>
      <c r="L6" s="385">
        <f>SUM(L7:L14)</f>
        <v>0</v>
      </c>
      <c r="M6" s="143"/>
      <c r="N6" s="385">
        <f>SUM(N7:N14)</f>
        <v>0</v>
      </c>
      <c r="O6" s="143"/>
      <c r="P6" s="385">
        <f>SUM(P7:P14)</f>
        <v>0</v>
      </c>
      <c r="Q6" s="143"/>
      <c r="R6" s="385">
        <f>SUM(R7:R14)</f>
        <v>0</v>
      </c>
      <c r="S6" s="143"/>
      <c r="T6" s="385">
        <f>SUM(T7:T14)</f>
        <v>0</v>
      </c>
      <c r="U6" s="143"/>
      <c r="V6" s="385">
        <f>SUM(V7:V14)</f>
        <v>0</v>
      </c>
      <c r="W6" s="143"/>
      <c r="X6" s="385">
        <f>SUM(X7:X14)</f>
        <v>0</v>
      </c>
      <c r="Y6" s="143"/>
      <c r="Z6" s="385">
        <f>SUM(Z7:Z14)</f>
        <v>0</v>
      </c>
      <c r="AA6" s="386">
        <v>0</v>
      </c>
      <c r="AB6" s="387">
        <v>0</v>
      </c>
      <c r="AC6" s="387">
        <v>0</v>
      </c>
      <c r="AD6" s="387">
        <v>0</v>
      </c>
      <c r="AE6" s="387">
        <v>0</v>
      </c>
      <c r="AF6" s="387">
        <v>0</v>
      </c>
      <c r="AG6" s="387">
        <v>0</v>
      </c>
      <c r="AH6" s="387">
        <v>0</v>
      </c>
      <c r="AI6" s="387"/>
      <c r="AJ6" s="387">
        <v>0</v>
      </c>
      <c r="AK6" s="387">
        <v>0</v>
      </c>
      <c r="AL6" s="387">
        <v>0</v>
      </c>
      <c r="AM6" s="387">
        <v>0</v>
      </c>
      <c r="AN6" s="387">
        <v>0</v>
      </c>
      <c r="AO6" s="386">
        <v>0</v>
      </c>
      <c r="AP6" s="387">
        <v>0</v>
      </c>
      <c r="AQ6" s="387">
        <v>0</v>
      </c>
      <c r="AR6" s="387">
        <v>0</v>
      </c>
      <c r="AS6" s="387">
        <v>0</v>
      </c>
      <c r="AT6" s="387">
        <v>0</v>
      </c>
      <c r="AU6" s="387">
        <v>0</v>
      </c>
      <c r="AV6" s="387">
        <v>0</v>
      </c>
      <c r="AW6" s="387">
        <v>0</v>
      </c>
      <c r="AX6" s="387">
        <v>0</v>
      </c>
      <c r="AY6" s="387">
        <v>0</v>
      </c>
      <c r="AZ6" s="387">
        <v>0</v>
      </c>
      <c r="BA6" s="387">
        <v>0</v>
      </c>
      <c r="BB6" s="386">
        <v>0</v>
      </c>
      <c r="BC6" s="387">
        <f>SUM(BC7:BC14)</f>
        <v>0</v>
      </c>
    </row>
    <row r="7" spans="1:61" s="108" customFormat="1" ht="12" x14ac:dyDescent="0.25">
      <c r="B7" s="142" t="s">
        <v>600</v>
      </c>
      <c r="C7" s="141"/>
      <c r="D7" s="140"/>
      <c r="E7" s="141"/>
      <c r="F7" s="140"/>
      <c r="G7" s="141"/>
      <c r="H7" s="140"/>
      <c r="I7" s="141"/>
      <c r="J7" s="140"/>
      <c r="K7" s="141"/>
      <c r="L7" s="140"/>
      <c r="M7" s="141"/>
      <c r="N7" s="140"/>
      <c r="O7" s="141"/>
      <c r="P7" s="140"/>
      <c r="Q7" s="141"/>
      <c r="R7" s="140"/>
      <c r="S7" s="141"/>
      <c r="T7" s="140"/>
      <c r="U7" s="141"/>
      <c r="V7" s="140"/>
      <c r="W7" s="141"/>
      <c r="X7" s="140"/>
      <c r="Y7" s="141"/>
      <c r="Z7" s="140"/>
      <c r="AA7" s="139"/>
      <c r="AO7" s="139"/>
      <c r="BB7" s="139"/>
    </row>
    <row r="8" spans="1:61" s="108" customFormat="1" ht="12" x14ac:dyDescent="0.25">
      <c r="A8" s="156">
        <v>0.25345000000000001</v>
      </c>
      <c r="B8" s="138" t="s">
        <v>601</v>
      </c>
      <c r="C8" s="116"/>
      <c r="D8" s="115">
        <v>917226.32</v>
      </c>
      <c r="E8" s="116"/>
      <c r="F8" s="115"/>
      <c r="G8" s="116"/>
      <c r="H8" s="115"/>
      <c r="I8" s="116"/>
      <c r="J8" s="115"/>
      <c r="K8" s="116"/>
      <c r="L8" s="115"/>
      <c r="M8" s="116"/>
      <c r="N8" s="115"/>
      <c r="O8" s="116"/>
      <c r="P8" s="115"/>
      <c r="Q8" s="116"/>
      <c r="R8" s="115"/>
      <c r="S8" s="116"/>
      <c r="T8" s="115"/>
      <c r="U8" s="116"/>
      <c r="V8" s="115"/>
      <c r="W8" s="116"/>
      <c r="X8" s="115"/>
      <c r="Y8" s="116"/>
      <c r="Z8" s="115"/>
      <c r="AA8" s="93">
        <f t="shared" ref="AA8:AH8" si="0">AA6*$A$8</f>
        <v>0</v>
      </c>
      <c r="AB8" s="93">
        <f t="shared" si="0"/>
        <v>0</v>
      </c>
      <c r="AC8" s="93">
        <f t="shared" si="0"/>
        <v>0</v>
      </c>
      <c r="AD8" s="93">
        <f t="shared" si="0"/>
        <v>0</v>
      </c>
      <c r="AE8" s="93">
        <f t="shared" si="0"/>
        <v>0</v>
      </c>
      <c r="AF8" s="93">
        <f t="shared" si="0"/>
        <v>0</v>
      </c>
      <c r="AG8" s="93">
        <f t="shared" si="0"/>
        <v>0</v>
      </c>
      <c r="AH8" s="93">
        <f t="shared" si="0"/>
        <v>0</v>
      </c>
      <c r="AI8" s="93"/>
      <c r="AJ8" s="93">
        <f>AJ6*$A$8</f>
        <v>0</v>
      </c>
      <c r="AK8" s="93">
        <f>AK6*$A$8</f>
        <v>0</v>
      </c>
      <c r="AL8" s="93">
        <f>AL6*$A$8</f>
        <v>0</v>
      </c>
      <c r="AM8" s="93">
        <f>AM6*$A$8</f>
        <v>0</v>
      </c>
      <c r="AN8" s="93">
        <f>AN6*$A$8</f>
        <v>0</v>
      </c>
      <c r="AO8" s="114">
        <f t="shared" ref="AO8:AO14" si="1">SUM(AB8:AN8)</f>
        <v>0</v>
      </c>
      <c r="AP8" s="93">
        <f t="shared" ref="AP8:BA8" si="2">AP6*$A$8</f>
        <v>0</v>
      </c>
      <c r="AQ8" s="93">
        <f t="shared" si="2"/>
        <v>0</v>
      </c>
      <c r="AR8" s="93">
        <f t="shared" si="2"/>
        <v>0</v>
      </c>
      <c r="AS8" s="93">
        <f t="shared" si="2"/>
        <v>0</v>
      </c>
      <c r="AT8" s="93">
        <f t="shared" si="2"/>
        <v>0</v>
      </c>
      <c r="AU8" s="93">
        <f t="shared" si="2"/>
        <v>0</v>
      </c>
      <c r="AV8" s="93">
        <f t="shared" si="2"/>
        <v>0</v>
      </c>
      <c r="AW8" s="93">
        <f t="shared" si="2"/>
        <v>0</v>
      </c>
      <c r="AX8" s="93">
        <f t="shared" si="2"/>
        <v>0</v>
      </c>
      <c r="AY8" s="93">
        <f t="shared" si="2"/>
        <v>0</v>
      </c>
      <c r="AZ8" s="93">
        <f t="shared" si="2"/>
        <v>0</v>
      </c>
      <c r="BA8" s="93">
        <f t="shared" si="2"/>
        <v>0</v>
      </c>
      <c r="BB8" s="114">
        <f t="shared" ref="BB8:BB14" si="3">SUM(AP8:BA8)</f>
        <v>0</v>
      </c>
      <c r="BC8" s="93"/>
    </row>
    <row r="9" spans="1:61" s="108" customFormat="1" ht="12" x14ac:dyDescent="0.25">
      <c r="A9" s="156">
        <v>0</v>
      </c>
      <c r="B9" s="138" t="s">
        <v>602</v>
      </c>
      <c r="C9" s="116"/>
      <c r="D9" s="115"/>
      <c r="E9" s="116"/>
      <c r="F9" s="115"/>
      <c r="G9" s="116"/>
      <c r="H9" s="115"/>
      <c r="I9" s="116"/>
      <c r="J9" s="115"/>
      <c r="K9" s="116"/>
      <c r="L9" s="115"/>
      <c r="M9" s="116"/>
      <c r="N9" s="115"/>
      <c r="O9" s="116"/>
      <c r="P9" s="115"/>
      <c r="Q9" s="116"/>
      <c r="R9" s="115"/>
      <c r="S9" s="116"/>
      <c r="T9" s="115"/>
      <c r="U9" s="116"/>
      <c r="V9" s="115"/>
      <c r="W9" s="116"/>
      <c r="X9" s="115"/>
      <c r="Y9" s="116"/>
      <c r="Z9" s="115"/>
      <c r="AA9" s="93">
        <f t="shared" ref="AA9:AH9" si="4">AA6*$A$9</f>
        <v>0</v>
      </c>
      <c r="AB9" s="93">
        <f t="shared" si="4"/>
        <v>0</v>
      </c>
      <c r="AC9" s="93">
        <f t="shared" si="4"/>
        <v>0</v>
      </c>
      <c r="AD9" s="93">
        <f t="shared" si="4"/>
        <v>0</v>
      </c>
      <c r="AE9" s="93">
        <f t="shared" si="4"/>
        <v>0</v>
      </c>
      <c r="AF9" s="93">
        <f t="shared" si="4"/>
        <v>0</v>
      </c>
      <c r="AG9" s="93">
        <f t="shared" si="4"/>
        <v>0</v>
      </c>
      <c r="AH9" s="93">
        <f t="shared" si="4"/>
        <v>0</v>
      </c>
      <c r="AI9" s="93"/>
      <c r="AJ9" s="93">
        <f>AJ6*$A$9</f>
        <v>0</v>
      </c>
      <c r="AK9" s="93">
        <f>AK6*$A$9</f>
        <v>0</v>
      </c>
      <c r="AL9" s="93">
        <f>AL6*$A$9</f>
        <v>0</v>
      </c>
      <c r="AM9" s="93">
        <f>AM6*$A$9</f>
        <v>0</v>
      </c>
      <c r="AN9" s="93">
        <f>AN6*$A$9</f>
        <v>0</v>
      </c>
      <c r="AO9" s="114">
        <f t="shared" si="1"/>
        <v>0</v>
      </c>
      <c r="AP9" s="93">
        <f t="shared" ref="AP9:BA9" si="5">AP6*$A$9</f>
        <v>0</v>
      </c>
      <c r="AQ9" s="93">
        <f t="shared" si="5"/>
        <v>0</v>
      </c>
      <c r="AR9" s="93">
        <f t="shared" si="5"/>
        <v>0</v>
      </c>
      <c r="AS9" s="93">
        <f t="shared" si="5"/>
        <v>0</v>
      </c>
      <c r="AT9" s="93">
        <f t="shared" si="5"/>
        <v>0</v>
      </c>
      <c r="AU9" s="93">
        <f t="shared" si="5"/>
        <v>0</v>
      </c>
      <c r="AV9" s="93">
        <f t="shared" si="5"/>
        <v>0</v>
      </c>
      <c r="AW9" s="93">
        <f t="shared" si="5"/>
        <v>0</v>
      </c>
      <c r="AX9" s="93">
        <f t="shared" si="5"/>
        <v>0</v>
      </c>
      <c r="AY9" s="93">
        <f t="shared" si="5"/>
        <v>0</v>
      </c>
      <c r="AZ9" s="93">
        <f t="shared" si="5"/>
        <v>0</v>
      </c>
      <c r="BA9" s="93">
        <f t="shared" si="5"/>
        <v>0</v>
      </c>
      <c r="BB9" s="114">
        <f t="shared" si="3"/>
        <v>0</v>
      </c>
      <c r="BC9" s="93"/>
    </row>
    <row r="10" spans="1:61" s="108" customFormat="1" ht="12" x14ac:dyDescent="0.25">
      <c r="A10" s="156">
        <f>71.058%+0.015%</f>
        <v>0.71073000000000008</v>
      </c>
      <c r="B10" s="138" t="s">
        <v>603</v>
      </c>
      <c r="C10" s="116"/>
      <c r="D10" s="115">
        <v>11561689.34</v>
      </c>
      <c r="E10" s="116"/>
      <c r="F10" s="115"/>
      <c r="G10" s="116"/>
      <c r="H10" s="115"/>
      <c r="I10" s="116"/>
      <c r="J10" s="115"/>
      <c r="K10" s="116"/>
      <c r="L10" s="115"/>
      <c r="M10" s="116"/>
      <c r="N10" s="115"/>
      <c r="O10" s="116"/>
      <c r="P10" s="115"/>
      <c r="Q10" s="116"/>
      <c r="R10" s="115"/>
      <c r="S10" s="116"/>
      <c r="T10" s="115"/>
      <c r="U10" s="116"/>
      <c r="V10" s="115"/>
      <c r="W10" s="116"/>
      <c r="X10" s="115"/>
      <c r="Y10" s="116"/>
      <c r="Z10" s="115"/>
      <c r="AA10" s="93">
        <f t="shared" ref="AA10:AH10" si="6">AA6*$A$10</f>
        <v>0</v>
      </c>
      <c r="AB10" s="93">
        <f t="shared" si="6"/>
        <v>0</v>
      </c>
      <c r="AC10" s="93">
        <f t="shared" si="6"/>
        <v>0</v>
      </c>
      <c r="AD10" s="93">
        <f t="shared" si="6"/>
        <v>0</v>
      </c>
      <c r="AE10" s="93">
        <f t="shared" si="6"/>
        <v>0</v>
      </c>
      <c r="AF10" s="93">
        <f t="shared" si="6"/>
        <v>0</v>
      </c>
      <c r="AG10" s="93">
        <f t="shared" si="6"/>
        <v>0</v>
      </c>
      <c r="AH10" s="93">
        <f t="shared" si="6"/>
        <v>0</v>
      </c>
      <c r="AI10" s="93"/>
      <c r="AJ10" s="93">
        <f>AJ6*$A$10</f>
        <v>0</v>
      </c>
      <c r="AK10" s="93">
        <f>AK6*$A$10</f>
        <v>0</v>
      </c>
      <c r="AL10" s="93">
        <f>AL6*$A$10</f>
        <v>0</v>
      </c>
      <c r="AM10" s="93">
        <f>AM6*$A$10</f>
        <v>0</v>
      </c>
      <c r="AN10" s="93">
        <f>AN6*$A$10</f>
        <v>0</v>
      </c>
      <c r="AO10" s="114">
        <f t="shared" si="1"/>
        <v>0</v>
      </c>
      <c r="AP10" s="93">
        <f t="shared" ref="AP10:BA10" si="7">AP6*$A$10</f>
        <v>0</v>
      </c>
      <c r="AQ10" s="93">
        <f t="shared" si="7"/>
        <v>0</v>
      </c>
      <c r="AR10" s="93">
        <f t="shared" si="7"/>
        <v>0</v>
      </c>
      <c r="AS10" s="93">
        <f t="shared" si="7"/>
        <v>0</v>
      </c>
      <c r="AT10" s="93">
        <f t="shared" si="7"/>
        <v>0</v>
      </c>
      <c r="AU10" s="93">
        <f t="shared" si="7"/>
        <v>0</v>
      </c>
      <c r="AV10" s="93">
        <f t="shared" si="7"/>
        <v>0</v>
      </c>
      <c r="AW10" s="93">
        <f t="shared" si="7"/>
        <v>0</v>
      </c>
      <c r="AX10" s="93">
        <f t="shared" si="7"/>
        <v>0</v>
      </c>
      <c r="AY10" s="93">
        <f t="shared" si="7"/>
        <v>0</v>
      </c>
      <c r="AZ10" s="93">
        <f t="shared" si="7"/>
        <v>0</v>
      </c>
      <c r="BA10" s="93">
        <f t="shared" si="7"/>
        <v>0</v>
      </c>
      <c r="BB10" s="114">
        <f t="shared" si="3"/>
        <v>0</v>
      </c>
      <c r="BC10" s="93"/>
    </row>
    <row r="11" spans="1:61" s="108" customFormat="1" ht="12" x14ac:dyDescent="0.25">
      <c r="A11" s="156">
        <v>0</v>
      </c>
      <c r="B11" s="138" t="s">
        <v>604</v>
      </c>
      <c r="C11" s="116"/>
      <c r="D11" s="115"/>
      <c r="E11" s="116"/>
      <c r="F11" s="115"/>
      <c r="G11" s="116"/>
      <c r="H11" s="115"/>
      <c r="I11" s="116"/>
      <c r="J11" s="115"/>
      <c r="K11" s="116"/>
      <c r="L11" s="115"/>
      <c r="M11" s="116"/>
      <c r="N11" s="115"/>
      <c r="O11" s="116"/>
      <c r="P11" s="115"/>
      <c r="Q11" s="116"/>
      <c r="R11" s="115"/>
      <c r="S11" s="116"/>
      <c r="T11" s="115"/>
      <c r="U11" s="116"/>
      <c r="V11" s="115"/>
      <c r="W11" s="116"/>
      <c r="X11" s="115"/>
      <c r="Y11" s="116"/>
      <c r="Z11" s="115"/>
      <c r="AA11" s="93">
        <f t="shared" ref="AA11:AH11" si="8">AA6*$A$11</f>
        <v>0</v>
      </c>
      <c r="AB11" s="93">
        <f t="shared" si="8"/>
        <v>0</v>
      </c>
      <c r="AC11" s="93">
        <f t="shared" si="8"/>
        <v>0</v>
      </c>
      <c r="AD11" s="93">
        <f t="shared" si="8"/>
        <v>0</v>
      </c>
      <c r="AE11" s="93">
        <f t="shared" si="8"/>
        <v>0</v>
      </c>
      <c r="AF11" s="93">
        <f t="shared" si="8"/>
        <v>0</v>
      </c>
      <c r="AG11" s="93">
        <f t="shared" si="8"/>
        <v>0</v>
      </c>
      <c r="AH11" s="93">
        <f t="shared" si="8"/>
        <v>0</v>
      </c>
      <c r="AI11" s="93"/>
      <c r="AJ11" s="93">
        <f>AJ6*$A$11</f>
        <v>0</v>
      </c>
      <c r="AK11" s="93">
        <f>AK6*$A$11</f>
        <v>0</v>
      </c>
      <c r="AL11" s="93">
        <f>AL6*$A$11</f>
        <v>0</v>
      </c>
      <c r="AM11" s="93">
        <f>AM6*$A$11</f>
        <v>0</v>
      </c>
      <c r="AN11" s="93">
        <f>AN6*$A$11</f>
        <v>0</v>
      </c>
      <c r="AO11" s="114">
        <f t="shared" si="1"/>
        <v>0</v>
      </c>
      <c r="AP11" s="93">
        <f t="shared" ref="AP11:BA11" si="9">AP6*$A$11</f>
        <v>0</v>
      </c>
      <c r="AQ11" s="93">
        <f t="shared" si="9"/>
        <v>0</v>
      </c>
      <c r="AR11" s="93">
        <f t="shared" si="9"/>
        <v>0</v>
      </c>
      <c r="AS11" s="93">
        <f t="shared" si="9"/>
        <v>0</v>
      </c>
      <c r="AT11" s="93">
        <f t="shared" si="9"/>
        <v>0</v>
      </c>
      <c r="AU11" s="93">
        <f t="shared" si="9"/>
        <v>0</v>
      </c>
      <c r="AV11" s="93">
        <f t="shared" si="9"/>
        <v>0</v>
      </c>
      <c r="AW11" s="93">
        <f t="shared" si="9"/>
        <v>0</v>
      </c>
      <c r="AX11" s="93">
        <f t="shared" si="9"/>
        <v>0</v>
      </c>
      <c r="AY11" s="93">
        <f t="shared" si="9"/>
        <v>0</v>
      </c>
      <c r="AZ11" s="93">
        <f t="shared" si="9"/>
        <v>0</v>
      </c>
      <c r="BA11" s="93">
        <f t="shared" si="9"/>
        <v>0</v>
      </c>
      <c r="BB11" s="114">
        <f t="shared" si="3"/>
        <v>0</v>
      </c>
      <c r="BC11" s="93"/>
    </row>
    <row r="12" spans="1:61" s="108" customFormat="1" ht="12" x14ac:dyDescent="0.25">
      <c r="A12" s="156">
        <v>1.438E-2</v>
      </c>
      <c r="B12" s="138" t="s">
        <v>605</v>
      </c>
      <c r="C12" s="116"/>
      <c r="D12" s="115"/>
      <c r="E12" s="116"/>
      <c r="F12" s="115"/>
      <c r="G12" s="116"/>
      <c r="H12" s="115"/>
      <c r="I12" s="116"/>
      <c r="J12" s="115"/>
      <c r="K12" s="116"/>
      <c r="L12" s="115"/>
      <c r="M12" s="116"/>
      <c r="N12" s="115"/>
      <c r="O12" s="116"/>
      <c r="P12" s="115"/>
      <c r="Q12" s="116"/>
      <c r="R12" s="115"/>
      <c r="S12" s="116"/>
      <c r="T12" s="115"/>
      <c r="U12" s="116"/>
      <c r="V12" s="115"/>
      <c r="W12" s="116"/>
      <c r="X12" s="115"/>
      <c r="Y12" s="116"/>
      <c r="Z12" s="115"/>
      <c r="AA12" s="93">
        <f t="shared" ref="AA12:AH12" si="10">AA6*$A$12</f>
        <v>0</v>
      </c>
      <c r="AB12" s="93">
        <f t="shared" si="10"/>
        <v>0</v>
      </c>
      <c r="AC12" s="93">
        <f t="shared" si="10"/>
        <v>0</v>
      </c>
      <c r="AD12" s="93">
        <f t="shared" si="10"/>
        <v>0</v>
      </c>
      <c r="AE12" s="93">
        <f t="shared" si="10"/>
        <v>0</v>
      </c>
      <c r="AF12" s="93">
        <f t="shared" si="10"/>
        <v>0</v>
      </c>
      <c r="AG12" s="93">
        <f t="shared" si="10"/>
        <v>0</v>
      </c>
      <c r="AH12" s="93">
        <f t="shared" si="10"/>
        <v>0</v>
      </c>
      <c r="AI12" s="93"/>
      <c r="AJ12" s="93">
        <f>AJ6*$A$12</f>
        <v>0</v>
      </c>
      <c r="AK12" s="93">
        <f>AK6*$A$12</f>
        <v>0</v>
      </c>
      <c r="AL12" s="93">
        <f>AL6*$A$12</f>
        <v>0</v>
      </c>
      <c r="AM12" s="93">
        <f>AM6*$A$12</f>
        <v>0</v>
      </c>
      <c r="AN12" s="93">
        <f>AN6*$A$12</f>
        <v>0</v>
      </c>
      <c r="AO12" s="114">
        <f t="shared" si="1"/>
        <v>0</v>
      </c>
      <c r="AP12" s="93">
        <f t="shared" ref="AP12:BA12" si="11">AP6*$A$12</f>
        <v>0</v>
      </c>
      <c r="AQ12" s="93">
        <f t="shared" si="11"/>
        <v>0</v>
      </c>
      <c r="AR12" s="93">
        <f t="shared" si="11"/>
        <v>0</v>
      </c>
      <c r="AS12" s="93">
        <f t="shared" si="11"/>
        <v>0</v>
      </c>
      <c r="AT12" s="93">
        <f t="shared" si="11"/>
        <v>0</v>
      </c>
      <c r="AU12" s="93">
        <f t="shared" si="11"/>
        <v>0</v>
      </c>
      <c r="AV12" s="93">
        <f t="shared" si="11"/>
        <v>0</v>
      </c>
      <c r="AW12" s="93">
        <f t="shared" si="11"/>
        <v>0</v>
      </c>
      <c r="AX12" s="93">
        <f t="shared" si="11"/>
        <v>0</v>
      </c>
      <c r="AY12" s="93">
        <f t="shared" si="11"/>
        <v>0</v>
      </c>
      <c r="AZ12" s="93">
        <f t="shared" si="11"/>
        <v>0</v>
      </c>
      <c r="BA12" s="93">
        <f t="shared" si="11"/>
        <v>0</v>
      </c>
      <c r="BB12" s="114">
        <f t="shared" si="3"/>
        <v>0</v>
      </c>
      <c r="BC12" s="93"/>
    </row>
    <row r="13" spans="1:61" s="108" customFormat="1" ht="12" x14ac:dyDescent="0.25">
      <c r="A13" s="156"/>
      <c r="B13" s="138" t="s">
        <v>606</v>
      </c>
      <c r="C13" s="116"/>
      <c r="D13" s="115"/>
      <c r="E13" s="116"/>
      <c r="F13" s="115"/>
      <c r="G13" s="116"/>
      <c r="H13" s="115"/>
      <c r="I13" s="116"/>
      <c r="J13" s="115"/>
      <c r="K13" s="116"/>
      <c r="L13" s="115"/>
      <c r="M13" s="116"/>
      <c r="N13" s="115"/>
      <c r="O13" s="116"/>
      <c r="P13" s="115"/>
      <c r="Q13" s="116"/>
      <c r="R13" s="115"/>
      <c r="S13" s="116"/>
      <c r="T13" s="115"/>
      <c r="U13" s="116"/>
      <c r="V13" s="115"/>
      <c r="W13" s="116"/>
      <c r="X13" s="115"/>
      <c r="Y13" s="116"/>
      <c r="Z13" s="115"/>
      <c r="AA13" s="93">
        <f t="shared" ref="AA13:AH13" si="12">AA6*$A$13</f>
        <v>0</v>
      </c>
      <c r="AB13" s="93">
        <f t="shared" si="12"/>
        <v>0</v>
      </c>
      <c r="AC13" s="93">
        <f t="shared" si="12"/>
        <v>0</v>
      </c>
      <c r="AD13" s="93">
        <f t="shared" si="12"/>
        <v>0</v>
      </c>
      <c r="AE13" s="93">
        <f t="shared" si="12"/>
        <v>0</v>
      </c>
      <c r="AF13" s="93">
        <f t="shared" si="12"/>
        <v>0</v>
      </c>
      <c r="AG13" s="93">
        <f t="shared" si="12"/>
        <v>0</v>
      </c>
      <c r="AH13" s="93">
        <f t="shared" si="12"/>
        <v>0</v>
      </c>
      <c r="AI13" s="93"/>
      <c r="AJ13" s="93">
        <f>AJ6*$A$13</f>
        <v>0</v>
      </c>
      <c r="AK13" s="93">
        <f>AK6*$A$13</f>
        <v>0</v>
      </c>
      <c r="AL13" s="93">
        <f>AL6*$A$13</f>
        <v>0</v>
      </c>
      <c r="AM13" s="93">
        <f>AM6*$A$13</f>
        <v>0</v>
      </c>
      <c r="AN13" s="93">
        <f>AN6*$A$13</f>
        <v>0</v>
      </c>
      <c r="AO13" s="114">
        <f t="shared" si="1"/>
        <v>0</v>
      </c>
      <c r="AP13" s="93">
        <f t="shared" ref="AP13:BA13" si="13">AP6*$A$13</f>
        <v>0</v>
      </c>
      <c r="AQ13" s="93">
        <f t="shared" si="13"/>
        <v>0</v>
      </c>
      <c r="AR13" s="93">
        <f t="shared" si="13"/>
        <v>0</v>
      </c>
      <c r="AS13" s="93">
        <f t="shared" si="13"/>
        <v>0</v>
      </c>
      <c r="AT13" s="93">
        <f t="shared" si="13"/>
        <v>0</v>
      </c>
      <c r="AU13" s="93">
        <f t="shared" si="13"/>
        <v>0</v>
      </c>
      <c r="AV13" s="93">
        <f t="shared" si="13"/>
        <v>0</v>
      </c>
      <c r="AW13" s="93">
        <f t="shared" si="13"/>
        <v>0</v>
      </c>
      <c r="AX13" s="93">
        <f t="shared" si="13"/>
        <v>0</v>
      </c>
      <c r="AY13" s="93">
        <f t="shared" si="13"/>
        <v>0</v>
      </c>
      <c r="AZ13" s="93">
        <f t="shared" si="13"/>
        <v>0</v>
      </c>
      <c r="BA13" s="93">
        <f t="shared" si="13"/>
        <v>0</v>
      </c>
      <c r="BB13" s="114">
        <f t="shared" si="3"/>
        <v>0</v>
      </c>
      <c r="BC13" s="93"/>
    </row>
    <row r="14" spans="1:61" s="108" customFormat="1" ht="12" x14ac:dyDescent="0.25">
      <c r="A14" s="156">
        <v>2.0809999999999999E-2</v>
      </c>
      <c r="B14" s="138" t="s">
        <v>607</v>
      </c>
      <c r="C14" s="116"/>
      <c r="D14" s="115"/>
      <c r="E14" s="116"/>
      <c r="F14" s="115"/>
      <c r="G14" s="116"/>
      <c r="H14" s="115"/>
      <c r="I14" s="116"/>
      <c r="J14" s="115"/>
      <c r="K14" s="116"/>
      <c r="L14" s="115"/>
      <c r="M14" s="116"/>
      <c r="N14" s="115"/>
      <c r="O14" s="116"/>
      <c r="P14" s="115"/>
      <c r="Q14" s="116"/>
      <c r="R14" s="115"/>
      <c r="S14" s="116"/>
      <c r="T14" s="115"/>
      <c r="U14" s="116"/>
      <c r="V14" s="115"/>
      <c r="W14" s="116"/>
      <c r="X14" s="115"/>
      <c r="Y14" s="116"/>
      <c r="Z14" s="115"/>
      <c r="AA14" s="93">
        <f t="shared" ref="AA14:AH14" si="14">AA6*$A$14</f>
        <v>0</v>
      </c>
      <c r="AB14" s="93">
        <f t="shared" si="14"/>
        <v>0</v>
      </c>
      <c r="AC14" s="93">
        <f t="shared" si="14"/>
        <v>0</v>
      </c>
      <c r="AD14" s="93">
        <f t="shared" si="14"/>
        <v>0</v>
      </c>
      <c r="AE14" s="93">
        <f t="shared" si="14"/>
        <v>0</v>
      </c>
      <c r="AF14" s="93">
        <f t="shared" si="14"/>
        <v>0</v>
      </c>
      <c r="AG14" s="93">
        <f t="shared" si="14"/>
        <v>0</v>
      </c>
      <c r="AH14" s="93">
        <f t="shared" si="14"/>
        <v>0</v>
      </c>
      <c r="AI14" s="93"/>
      <c r="AJ14" s="93">
        <f>AJ6*$A$14</f>
        <v>0</v>
      </c>
      <c r="AK14" s="93">
        <f>AK6*$A$14</f>
        <v>0</v>
      </c>
      <c r="AL14" s="93">
        <f>AL6*$A$14</f>
        <v>0</v>
      </c>
      <c r="AM14" s="93">
        <f>AM6*$A$14</f>
        <v>0</v>
      </c>
      <c r="AN14" s="93">
        <f>AN6*$A$14</f>
        <v>0</v>
      </c>
      <c r="AO14" s="114">
        <f t="shared" si="1"/>
        <v>0</v>
      </c>
      <c r="AP14" s="93">
        <f t="shared" ref="AP14:BA14" si="15">AP6*$A$14</f>
        <v>0</v>
      </c>
      <c r="AQ14" s="93">
        <f t="shared" si="15"/>
        <v>0</v>
      </c>
      <c r="AR14" s="93">
        <f t="shared" si="15"/>
        <v>0</v>
      </c>
      <c r="AS14" s="93">
        <f t="shared" si="15"/>
        <v>0</v>
      </c>
      <c r="AT14" s="93">
        <f t="shared" si="15"/>
        <v>0</v>
      </c>
      <c r="AU14" s="93">
        <f t="shared" si="15"/>
        <v>0</v>
      </c>
      <c r="AV14" s="93">
        <f t="shared" si="15"/>
        <v>0</v>
      </c>
      <c r="AW14" s="93">
        <f t="shared" si="15"/>
        <v>0</v>
      </c>
      <c r="AX14" s="93">
        <f t="shared" si="15"/>
        <v>0</v>
      </c>
      <c r="AY14" s="93">
        <f t="shared" si="15"/>
        <v>0</v>
      </c>
      <c r="AZ14" s="93">
        <f t="shared" si="15"/>
        <v>0</v>
      </c>
      <c r="BA14" s="93">
        <f t="shared" si="15"/>
        <v>0</v>
      </c>
      <c r="BB14" s="114">
        <f t="shared" si="3"/>
        <v>0</v>
      </c>
      <c r="BC14" s="93"/>
    </row>
    <row r="15" spans="1:61" s="108" customFormat="1" ht="12" x14ac:dyDescent="0.25">
      <c r="A15" s="169"/>
      <c r="B15" s="137" t="s">
        <v>608</v>
      </c>
      <c r="C15" s="136"/>
      <c r="D15" s="168"/>
      <c r="E15" s="136"/>
      <c r="F15" s="135"/>
      <c r="G15" s="136"/>
      <c r="H15" s="135"/>
      <c r="I15" s="136"/>
      <c r="J15" s="135"/>
      <c r="K15" s="136"/>
      <c r="L15" s="135"/>
      <c r="M15" s="136"/>
      <c r="N15" s="135"/>
      <c r="O15" s="136"/>
      <c r="P15" s="135"/>
      <c r="Q15" s="136"/>
      <c r="R15" s="135"/>
      <c r="S15" s="136"/>
      <c r="T15" s="135"/>
      <c r="U15" s="136"/>
      <c r="V15" s="135"/>
      <c r="W15" s="136"/>
      <c r="X15" s="135"/>
      <c r="Y15" s="136"/>
      <c r="Z15" s="135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55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55"/>
      <c r="BC15" s="132"/>
    </row>
    <row r="16" spans="1:61" s="108" customFormat="1" ht="12" x14ac:dyDescent="0.25">
      <c r="A16" s="156">
        <v>0</v>
      </c>
      <c r="B16" s="131" t="s">
        <v>609</v>
      </c>
      <c r="C16" s="130">
        <f>C6*$A$16</f>
        <v>0</v>
      </c>
      <c r="D16" s="129"/>
      <c r="E16" s="130">
        <f>E6*$A$16</f>
        <v>0</v>
      </c>
      <c r="F16" s="129"/>
      <c r="G16" s="130">
        <f>G6*$A$16</f>
        <v>0</v>
      </c>
      <c r="H16" s="129"/>
      <c r="I16" s="130">
        <f>I6*$A$16</f>
        <v>0</v>
      </c>
      <c r="J16" s="129"/>
      <c r="K16" s="130">
        <f>K6*$A$16</f>
        <v>0</v>
      </c>
      <c r="L16" s="129"/>
      <c r="M16" s="130">
        <f>M6*$A$16</f>
        <v>0</v>
      </c>
      <c r="N16" s="129"/>
      <c r="O16" s="130">
        <f>O6*$A$16</f>
        <v>0</v>
      </c>
      <c r="P16" s="129"/>
      <c r="Q16" s="130">
        <f>Q6*$A$16</f>
        <v>0</v>
      </c>
      <c r="R16" s="129"/>
      <c r="S16" s="130">
        <f>S6*$A$16</f>
        <v>0</v>
      </c>
      <c r="T16" s="129"/>
      <c r="U16" s="130">
        <f>U6*$A$16</f>
        <v>0</v>
      </c>
      <c r="V16" s="129"/>
      <c r="W16" s="130">
        <f>W6*$A$16</f>
        <v>0</v>
      </c>
      <c r="X16" s="129"/>
      <c r="Y16" s="130">
        <f>Y6*$A$16</f>
        <v>0</v>
      </c>
      <c r="Z16" s="129"/>
      <c r="AA16" s="126">
        <f t="shared" ref="AA16:AH16" si="16">AA6*$A$16</f>
        <v>0</v>
      </c>
      <c r="AB16" s="126">
        <f t="shared" si="16"/>
        <v>0</v>
      </c>
      <c r="AC16" s="126">
        <f t="shared" si="16"/>
        <v>0</v>
      </c>
      <c r="AD16" s="126">
        <f t="shared" si="16"/>
        <v>0</v>
      </c>
      <c r="AE16" s="126">
        <f t="shared" si="16"/>
        <v>0</v>
      </c>
      <c r="AF16" s="126">
        <f t="shared" si="16"/>
        <v>0</v>
      </c>
      <c r="AG16" s="126">
        <f t="shared" si="16"/>
        <v>0</v>
      </c>
      <c r="AH16" s="126">
        <f t="shared" si="16"/>
        <v>0</v>
      </c>
      <c r="AI16" s="126"/>
      <c r="AJ16" s="126">
        <f>AJ6*$A$16</f>
        <v>0</v>
      </c>
      <c r="AK16" s="126">
        <f>AK6*$A$16</f>
        <v>0</v>
      </c>
      <c r="AL16" s="126">
        <f>AL6*$A$16</f>
        <v>0</v>
      </c>
      <c r="AM16" s="126">
        <f>AM6*$A$16</f>
        <v>0</v>
      </c>
      <c r="AN16" s="126">
        <f>AN6*$A$16</f>
        <v>0</v>
      </c>
      <c r="AO16" s="114">
        <f>SUM(AB16:AN16)</f>
        <v>0</v>
      </c>
      <c r="AP16" s="126">
        <f t="shared" ref="AP16:BA16" si="17">AP6*$A$16</f>
        <v>0</v>
      </c>
      <c r="AQ16" s="126">
        <f t="shared" si="17"/>
        <v>0</v>
      </c>
      <c r="AR16" s="126">
        <f t="shared" si="17"/>
        <v>0</v>
      </c>
      <c r="AS16" s="126">
        <f t="shared" si="17"/>
        <v>0</v>
      </c>
      <c r="AT16" s="126">
        <f t="shared" si="17"/>
        <v>0</v>
      </c>
      <c r="AU16" s="126">
        <f t="shared" si="17"/>
        <v>0</v>
      </c>
      <c r="AV16" s="126">
        <f t="shared" si="17"/>
        <v>0</v>
      </c>
      <c r="AW16" s="126">
        <f t="shared" si="17"/>
        <v>0</v>
      </c>
      <c r="AX16" s="126">
        <f t="shared" si="17"/>
        <v>0</v>
      </c>
      <c r="AY16" s="126">
        <f t="shared" si="17"/>
        <v>0</v>
      </c>
      <c r="AZ16" s="126">
        <f t="shared" si="17"/>
        <v>0</v>
      </c>
      <c r="BA16" s="126">
        <f t="shared" si="17"/>
        <v>0</v>
      </c>
      <c r="BB16" s="114">
        <f>SUM(AP16:BA16)</f>
        <v>0</v>
      </c>
      <c r="BC16" s="126"/>
    </row>
    <row r="17" spans="1:55" s="108" customFormat="1" ht="12" x14ac:dyDescent="0.25">
      <c r="A17" s="156">
        <v>1.4E-2</v>
      </c>
      <c r="B17" s="124" t="s">
        <v>610</v>
      </c>
      <c r="C17" s="112">
        <f t="shared" ref="C17:Y17" si="18">C6*$A$17</f>
        <v>0</v>
      </c>
      <c r="D17" s="111">
        <f t="shared" si="18"/>
        <v>174704.81924000001</v>
      </c>
      <c r="E17" s="112">
        <f t="shared" si="18"/>
        <v>0</v>
      </c>
      <c r="F17" s="111">
        <f t="shared" si="18"/>
        <v>0</v>
      </c>
      <c r="G17" s="112">
        <f t="shared" si="18"/>
        <v>0</v>
      </c>
      <c r="H17" s="111">
        <f t="shared" si="18"/>
        <v>0</v>
      </c>
      <c r="I17" s="112">
        <f t="shared" si="18"/>
        <v>0</v>
      </c>
      <c r="J17" s="111">
        <f t="shared" si="18"/>
        <v>0</v>
      </c>
      <c r="K17" s="112">
        <f t="shared" si="18"/>
        <v>0</v>
      </c>
      <c r="L17" s="111">
        <f t="shared" si="18"/>
        <v>0</v>
      </c>
      <c r="M17" s="112">
        <f t="shared" si="18"/>
        <v>0</v>
      </c>
      <c r="N17" s="111">
        <f t="shared" si="18"/>
        <v>0</v>
      </c>
      <c r="O17" s="112">
        <f t="shared" si="18"/>
        <v>0</v>
      </c>
      <c r="P17" s="111">
        <f t="shared" si="18"/>
        <v>0</v>
      </c>
      <c r="Q17" s="112">
        <f t="shared" si="18"/>
        <v>0</v>
      </c>
      <c r="R17" s="111">
        <f t="shared" si="18"/>
        <v>0</v>
      </c>
      <c r="S17" s="112">
        <f t="shared" si="18"/>
        <v>0</v>
      </c>
      <c r="T17" s="111">
        <f t="shared" si="18"/>
        <v>0</v>
      </c>
      <c r="U17" s="112">
        <f t="shared" si="18"/>
        <v>0</v>
      </c>
      <c r="V17" s="111">
        <f t="shared" si="18"/>
        <v>0</v>
      </c>
      <c r="W17" s="112">
        <f t="shared" si="18"/>
        <v>0</v>
      </c>
      <c r="X17" s="111">
        <f t="shared" si="18"/>
        <v>0</v>
      </c>
      <c r="Y17" s="112">
        <f t="shared" si="18"/>
        <v>0</v>
      </c>
      <c r="Z17" s="111">
        <f>Z6*1.4%</f>
        <v>0</v>
      </c>
      <c r="AA17" s="109">
        <f t="shared" ref="AA17:AH17" si="19">AA6*$A$17</f>
        <v>0</v>
      </c>
      <c r="AB17" s="109">
        <f t="shared" si="19"/>
        <v>0</v>
      </c>
      <c r="AC17" s="109">
        <f t="shared" si="19"/>
        <v>0</v>
      </c>
      <c r="AD17" s="109">
        <f t="shared" si="19"/>
        <v>0</v>
      </c>
      <c r="AE17" s="109">
        <f t="shared" si="19"/>
        <v>0</v>
      </c>
      <c r="AF17" s="109">
        <f t="shared" si="19"/>
        <v>0</v>
      </c>
      <c r="AG17" s="109">
        <f t="shared" si="19"/>
        <v>0</v>
      </c>
      <c r="AH17" s="109">
        <f t="shared" si="19"/>
        <v>0</v>
      </c>
      <c r="AI17" s="109"/>
      <c r="AJ17" s="109">
        <f>AJ6*$A$17</f>
        <v>0</v>
      </c>
      <c r="AK17" s="109">
        <f>AK6*$A$17</f>
        <v>0</v>
      </c>
      <c r="AL17" s="109">
        <f>AL6*$A$17</f>
        <v>0</v>
      </c>
      <c r="AM17" s="109">
        <f>AM6*$A$17</f>
        <v>0</v>
      </c>
      <c r="AN17" s="109">
        <f>AN6*$A$17</f>
        <v>0</v>
      </c>
      <c r="AO17" s="110">
        <f>SUM(AB17:AN17)</f>
        <v>0</v>
      </c>
      <c r="AP17" s="109">
        <f t="shared" ref="AP17:BA17" si="20">AP6*$A$17</f>
        <v>0</v>
      </c>
      <c r="AQ17" s="109">
        <f t="shared" si="20"/>
        <v>0</v>
      </c>
      <c r="AR17" s="109">
        <f t="shared" si="20"/>
        <v>0</v>
      </c>
      <c r="AS17" s="109">
        <f t="shared" si="20"/>
        <v>0</v>
      </c>
      <c r="AT17" s="109">
        <f t="shared" si="20"/>
        <v>0</v>
      </c>
      <c r="AU17" s="109">
        <f t="shared" si="20"/>
        <v>0</v>
      </c>
      <c r="AV17" s="109">
        <f t="shared" si="20"/>
        <v>0</v>
      </c>
      <c r="AW17" s="109">
        <f t="shared" si="20"/>
        <v>0</v>
      </c>
      <c r="AX17" s="109">
        <f t="shared" si="20"/>
        <v>0</v>
      </c>
      <c r="AY17" s="109">
        <f t="shared" si="20"/>
        <v>0</v>
      </c>
      <c r="AZ17" s="109">
        <f t="shared" si="20"/>
        <v>0</v>
      </c>
      <c r="BA17" s="109">
        <f t="shared" si="20"/>
        <v>0</v>
      </c>
      <c r="BB17" s="110">
        <f>SUM(AP17:BA17)</f>
        <v>0</v>
      </c>
      <c r="BC17" s="109"/>
    </row>
    <row r="18" spans="1:55" s="108" customFormat="1" ht="12" x14ac:dyDescent="0.25">
      <c r="A18" s="125"/>
      <c r="B18" s="380" t="s">
        <v>611</v>
      </c>
      <c r="C18" s="123">
        <f t="shared" ref="C18:AH18" si="21">SUM(C16:C17)</f>
        <v>0</v>
      </c>
      <c r="D18" s="388">
        <f t="shared" si="21"/>
        <v>174704.81924000001</v>
      </c>
      <c r="E18" s="123">
        <f t="shared" si="21"/>
        <v>0</v>
      </c>
      <c r="F18" s="388">
        <f t="shared" si="21"/>
        <v>0</v>
      </c>
      <c r="G18" s="123">
        <f t="shared" si="21"/>
        <v>0</v>
      </c>
      <c r="H18" s="388">
        <f t="shared" si="21"/>
        <v>0</v>
      </c>
      <c r="I18" s="123">
        <f t="shared" si="21"/>
        <v>0</v>
      </c>
      <c r="J18" s="388">
        <f t="shared" si="21"/>
        <v>0</v>
      </c>
      <c r="K18" s="123">
        <f t="shared" si="21"/>
        <v>0</v>
      </c>
      <c r="L18" s="388">
        <f t="shared" si="21"/>
        <v>0</v>
      </c>
      <c r="M18" s="123">
        <f t="shared" si="21"/>
        <v>0</v>
      </c>
      <c r="N18" s="388">
        <f t="shared" si="21"/>
        <v>0</v>
      </c>
      <c r="O18" s="123">
        <f t="shared" si="21"/>
        <v>0</v>
      </c>
      <c r="P18" s="388">
        <f t="shared" si="21"/>
        <v>0</v>
      </c>
      <c r="Q18" s="123">
        <f t="shared" si="21"/>
        <v>0</v>
      </c>
      <c r="R18" s="388">
        <f t="shared" si="21"/>
        <v>0</v>
      </c>
      <c r="S18" s="123">
        <f t="shared" si="21"/>
        <v>0</v>
      </c>
      <c r="T18" s="388">
        <f t="shared" si="21"/>
        <v>0</v>
      </c>
      <c r="U18" s="123">
        <f t="shared" si="21"/>
        <v>0</v>
      </c>
      <c r="V18" s="388">
        <f t="shared" si="21"/>
        <v>0</v>
      </c>
      <c r="W18" s="123">
        <f t="shared" si="21"/>
        <v>0</v>
      </c>
      <c r="X18" s="388">
        <f t="shared" si="21"/>
        <v>0</v>
      </c>
      <c r="Y18" s="123">
        <f t="shared" si="21"/>
        <v>0</v>
      </c>
      <c r="Z18" s="388">
        <f t="shared" si="21"/>
        <v>0</v>
      </c>
      <c r="AA18" s="389">
        <f t="shared" si="21"/>
        <v>0</v>
      </c>
      <c r="AB18" s="389">
        <f t="shared" si="21"/>
        <v>0</v>
      </c>
      <c r="AC18" s="389">
        <f t="shared" si="21"/>
        <v>0</v>
      </c>
      <c r="AD18" s="389">
        <f t="shared" si="21"/>
        <v>0</v>
      </c>
      <c r="AE18" s="389">
        <f t="shared" si="21"/>
        <v>0</v>
      </c>
      <c r="AF18" s="389">
        <f t="shared" si="21"/>
        <v>0</v>
      </c>
      <c r="AG18" s="389">
        <f t="shared" si="21"/>
        <v>0</v>
      </c>
      <c r="AH18" s="389">
        <f t="shared" si="21"/>
        <v>0</v>
      </c>
      <c r="AI18" s="389"/>
      <c r="AJ18" s="389">
        <f>SUM(AJ16:AJ17)</f>
        <v>0</v>
      </c>
      <c r="AK18" s="389">
        <f>SUM(AK16:AK17)</f>
        <v>0</v>
      </c>
      <c r="AL18" s="389">
        <f>SUM(AL16:AL17)</f>
        <v>0</v>
      </c>
      <c r="AM18" s="389">
        <f>SUM(AM16:AM17)</f>
        <v>0</v>
      </c>
      <c r="AN18" s="389">
        <f>SUM(AN16:AN17)</f>
        <v>0</v>
      </c>
      <c r="AO18" s="390">
        <f>SUM(AB18:AN18)</f>
        <v>0</v>
      </c>
      <c r="AP18" s="389">
        <f t="shared" ref="AP18:BA18" si="22">SUM(AP16:AP17)</f>
        <v>0</v>
      </c>
      <c r="AQ18" s="389">
        <f t="shared" si="22"/>
        <v>0</v>
      </c>
      <c r="AR18" s="389">
        <f t="shared" si="22"/>
        <v>0</v>
      </c>
      <c r="AS18" s="389">
        <f t="shared" si="22"/>
        <v>0</v>
      </c>
      <c r="AT18" s="389">
        <f t="shared" si="22"/>
        <v>0</v>
      </c>
      <c r="AU18" s="389">
        <f t="shared" si="22"/>
        <v>0</v>
      </c>
      <c r="AV18" s="389">
        <f t="shared" si="22"/>
        <v>0</v>
      </c>
      <c r="AW18" s="389">
        <f t="shared" si="22"/>
        <v>0</v>
      </c>
      <c r="AX18" s="389">
        <f t="shared" si="22"/>
        <v>0</v>
      </c>
      <c r="AY18" s="389">
        <f t="shared" si="22"/>
        <v>0</v>
      </c>
      <c r="AZ18" s="389">
        <f t="shared" si="22"/>
        <v>0</v>
      </c>
      <c r="BA18" s="389">
        <f t="shared" si="22"/>
        <v>0</v>
      </c>
      <c r="BB18" s="390">
        <f>SUM(AP18:BA18)</f>
        <v>0</v>
      </c>
      <c r="BC18" s="389"/>
    </row>
    <row r="19" spans="1:55" s="108" customFormat="1" ht="12" x14ac:dyDescent="0.25">
      <c r="A19" s="125"/>
      <c r="B19" s="167"/>
      <c r="C19" s="166"/>
      <c r="D19" s="165"/>
      <c r="E19" s="166"/>
      <c r="F19" s="165"/>
      <c r="G19" s="166"/>
      <c r="H19" s="165"/>
      <c r="I19" s="166"/>
      <c r="J19" s="165"/>
      <c r="K19" s="166"/>
      <c r="L19" s="165"/>
      <c r="M19" s="166"/>
      <c r="N19" s="165"/>
      <c r="O19" s="166"/>
      <c r="P19" s="165"/>
      <c r="Q19" s="166"/>
      <c r="R19" s="165"/>
      <c r="S19" s="166"/>
      <c r="T19" s="165"/>
      <c r="U19" s="166"/>
      <c r="V19" s="165"/>
      <c r="W19" s="166"/>
      <c r="X19" s="165"/>
      <c r="Y19" s="166"/>
      <c r="Z19" s="165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</row>
    <row r="20" spans="1:55" s="108" customFormat="1" ht="15.6" x14ac:dyDescent="0.3">
      <c r="B20" s="157" t="s">
        <v>612</v>
      </c>
      <c r="C20" s="141"/>
      <c r="D20" s="140"/>
      <c r="E20" s="141"/>
      <c r="F20" s="140"/>
      <c r="G20" s="141"/>
      <c r="H20" s="140"/>
      <c r="I20" s="141"/>
      <c r="J20" s="140"/>
      <c r="K20" s="141"/>
      <c r="L20" s="140"/>
      <c r="M20" s="141"/>
      <c r="N20" s="140"/>
      <c r="O20" s="141"/>
      <c r="P20" s="140"/>
      <c r="Q20" s="141"/>
      <c r="R20" s="140"/>
      <c r="S20" s="141"/>
      <c r="T20" s="140"/>
      <c r="U20" s="141"/>
      <c r="V20" s="140"/>
      <c r="W20" s="141"/>
      <c r="X20" s="140"/>
      <c r="Y20" s="141"/>
      <c r="Z20" s="140"/>
    </row>
    <row r="21" spans="1:55" s="108" customFormat="1" ht="12" x14ac:dyDescent="0.25">
      <c r="B21" s="380" t="s">
        <v>599</v>
      </c>
      <c r="C21" s="143"/>
      <c r="D21" s="385">
        <f>SUM(D22:D29)</f>
        <v>118036.99</v>
      </c>
      <c r="E21" s="143"/>
      <c r="F21" s="385">
        <f>SUM(F22:F29)</f>
        <v>0</v>
      </c>
      <c r="G21" s="143"/>
      <c r="H21" s="385">
        <f>SUM(H22:H29)</f>
        <v>0</v>
      </c>
      <c r="I21" s="143"/>
      <c r="J21" s="385">
        <f>SUM(J22:J29)</f>
        <v>0</v>
      </c>
      <c r="K21" s="143"/>
      <c r="L21" s="385">
        <f>SUM(L22:L29)</f>
        <v>0</v>
      </c>
      <c r="M21" s="143"/>
      <c r="N21" s="385">
        <f>SUM(N22:N29)</f>
        <v>0</v>
      </c>
      <c r="O21" s="143"/>
      <c r="P21" s="385">
        <f>SUM(P22:P29)</f>
        <v>0</v>
      </c>
      <c r="Q21" s="143"/>
      <c r="R21" s="385">
        <f>SUM(R22:R29)</f>
        <v>0</v>
      </c>
      <c r="S21" s="143"/>
      <c r="T21" s="385">
        <f>SUM(T22:T29)</f>
        <v>0</v>
      </c>
      <c r="U21" s="143"/>
      <c r="V21" s="385">
        <f>SUM(V22:V29)</f>
        <v>0</v>
      </c>
      <c r="W21" s="143"/>
      <c r="X21" s="385">
        <f>SUM(X22:X29)</f>
        <v>0</v>
      </c>
      <c r="Y21" s="143"/>
      <c r="Z21" s="385">
        <f>SUM(Z22:Z29)</f>
        <v>0</v>
      </c>
      <c r="AA21" s="387">
        <v>0</v>
      </c>
      <c r="AB21" s="387">
        <v>0</v>
      </c>
      <c r="AC21" s="387">
        <v>0</v>
      </c>
      <c r="AD21" s="387">
        <v>0</v>
      </c>
      <c r="AE21" s="387">
        <v>0</v>
      </c>
      <c r="AF21" s="387">
        <v>0</v>
      </c>
      <c r="AG21" s="387">
        <v>0</v>
      </c>
      <c r="AH21" s="387">
        <v>0</v>
      </c>
      <c r="AI21" s="387"/>
      <c r="AJ21" s="387"/>
      <c r="AK21" s="387" t="e">
        <v>#REF!</v>
      </c>
      <c r="AL21" s="387" t="e">
        <v>#REF!</v>
      </c>
      <c r="AM21" s="387" t="e">
        <v>#REF!</v>
      </c>
      <c r="AN21" s="387" t="e">
        <v>#REF!</v>
      </c>
      <c r="AO21" s="386" t="e">
        <v>#REF!</v>
      </c>
      <c r="AP21" s="387" t="e">
        <v>#REF!</v>
      </c>
      <c r="AQ21" s="387" t="e">
        <v>#REF!</v>
      </c>
      <c r="AR21" s="387" t="e">
        <v>#REF!</v>
      </c>
      <c r="AS21" s="387" t="e">
        <v>#REF!</v>
      </c>
      <c r="AT21" s="387" t="e">
        <v>#REF!</v>
      </c>
      <c r="AU21" s="387" t="e">
        <v>#REF!</v>
      </c>
      <c r="AV21" s="387" t="e">
        <v>#REF!</v>
      </c>
      <c r="AW21" s="387" t="e">
        <v>#REF!</v>
      </c>
      <c r="AX21" s="387" t="e">
        <v>#REF!</v>
      </c>
      <c r="AY21" s="387" t="e">
        <v>#REF!</v>
      </c>
      <c r="AZ21" s="387" t="e">
        <v>#REF!</v>
      </c>
      <c r="BA21" s="387" t="e">
        <v>#REF!</v>
      </c>
      <c r="BB21" s="386" t="e">
        <v>#REF!</v>
      </c>
      <c r="BC21" s="387"/>
    </row>
    <row r="22" spans="1:55" s="108" customFormat="1" ht="12" x14ac:dyDescent="0.25">
      <c r="B22" s="142" t="s">
        <v>600</v>
      </c>
      <c r="C22" s="141"/>
      <c r="D22" s="140"/>
      <c r="E22" s="141"/>
      <c r="F22" s="140"/>
      <c r="G22" s="141"/>
      <c r="H22" s="140"/>
      <c r="I22" s="141"/>
      <c r="J22" s="140"/>
      <c r="K22" s="141"/>
      <c r="L22" s="140"/>
      <c r="M22" s="141"/>
      <c r="N22" s="140"/>
      <c r="O22" s="141"/>
      <c r="P22" s="140"/>
      <c r="Q22" s="141"/>
      <c r="R22" s="140"/>
      <c r="S22" s="141"/>
      <c r="T22" s="140"/>
      <c r="U22" s="141"/>
      <c r="V22" s="140"/>
      <c r="W22" s="141"/>
      <c r="X22" s="140"/>
      <c r="Y22" s="141"/>
      <c r="Z22" s="140"/>
      <c r="AA22" s="139"/>
      <c r="AO22" s="139"/>
      <c r="BB22" s="139"/>
    </row>
    <row r="23" spans="1:55" s="108" customFormat="1" ht="12" x14ac:dyDescent="0.25">
      <c r="A23" s="156">
        <v>0.25345000000000001</v>
      </c>
      <c r="B23" s="138" t="s">
        <v>601</v>
      </c>
      <c r="C23" s="116"/>
      <c r="D23" s="115">
        <v>22979.3</v>
      </c>
      <c r="E23" s="116"/>
      <c r="F23" s="115"/>
      <c r="G23" s="116"/>
      <c r="H23" s="115"/>
      <c r="I23" s="116"/>
      <c r="J23" s="115"/>
      <c r="K23" s="116"/>
      <c r="L23" s="115"/>
      <c r="M23" s="116"/>
      <c r="N23" s="115"/>
      <c r="O23" s="116"/>
      <c r="P23" s="115"/>
      <c r="Q23" s="116"/>
      <c r="R23" s="115"/>
      <c r="S23" s="116"/>
      <c r="T23" s="115"/>
      <c r="U23" s="116"/>
      <c r="V23" s="115"/>
      <c r="W23" s="116"/>
      <c r="X23" s="115"/>
      <c r="Y23" s="116"/>
      <c r="Z23" s="115"/>
      <c r="AA23" s="93"/>
      <c r="AB23" s="93"/>
      <c r="AC23" s="93"/>
      <c r="AD23" s="93"/>
      <c r="AE23" s="93"/>
      <c r="AF23" s="93"/>
      <c r="AG23" s="93"/>
      <c r="AH23" s="93">
        <f>AH21*$A$23</f>
        <v>0</v>
      </c>
      <c r="AI23" s="93"/>
      <c r="AJ23" s="93">
        <f>AJ21*$A$23</f>
        <v>0</v>
      </c>
      <c r="AK23" s="93" t="e">
        <f>AK21*$A$23</f>
        <v>#REF!</v>
      </c>
      <c r="AL23" s="93" t="e">
        <f>AL21*$A$23</f>
        <v>#REF!</v>
      </c>
      <c r="AM23" s="93" t="e">
        <f>AM21*$A$23</f>
        <v>#REF!</v>
      </c>
      <c r="AN23" s="93" t="e">
        <f>AN21*$A$23</f>
        <v>#REF!</v>
      </c>
      <c r="AO23" s="114" t="e">
        <f t="shared" ref="AO23:AO29" si="23">SUM(AB23:AN23)</f>
        <v>#REF!</v>
      </c>
      <c r="AP23" s="93" t="e">
        <f t="shared" ref="AP23:BA23" si="24">AP21*$A$23</f>
        <v>#REF!</v>
      </c>
      <c r="AQ23" s="93" t="e">
        <f t="shared" si="24"/>
        <v>#REF!</v>
      </c>
      <c r="AR23" s="93" t="e">
        <f t="shared" si="24"/>
        <v>#REF!</v>
      </c>
      <c r="AS23" s="93" t="e">
        <f t="shared" si="24"/>
        <v>#REF!</v>
      </c>
      <c r="AT23" s="93" t="e">
        <f t="shared" si="24"/>
        <v>#REF!</v>
      </c>
      <c r="AU23" s="93" t="e">
        <f t="shared" si="24"/>
        <v>#REF!</v>
      </c>
      <c r="AV23" s="93" t="e">
        <f t="shared" si="24"/>
        <v>#REF!</v>
      </c>
      <c r="AW23" s="93" t="e">
        <f t="shared" si="24"/>
        <v>#REF!</v>
      </c>
      <c r="AX23" s="93" t="e">
        <f t="shared" si="24"/>
        <v>#REF!</v>
      </c>
      <c r="AY23" s="93" t="e">
        <f t="shared" si="24"/>
        <v>#REF!</v>
      </c>
      <c r="AZ23" s="93" t="e">
        <f t="shared" si="24"/>
        <v>#REF!</v>
      </c>
      <c r="BA23" s="93" t="e">
        <f t="shared" si="24"/>
        <v>#REF!</v>
      </c>
      <c r="BB23" s="114" t="e">
        <f t="shared" ref="BB23:BB29" si="25">SUM(AP23:BA23)</f>
        <v>#REF!</v>
      </c>
      <c r="BC23" s="93"/>
    </row>
    <row r="24" spans="1:55" s="108" customFormat="1" ht="12" x14ac:dyDescent="0.25">
      <c r="A24" s="156">
        <v>0</v>
      </c>
      <c r="B24" s="138" t="s">
        <v>602</v>
      </c>
      <c r="C24" s="116"/>
      <c r="D24" s="115"/>
      <c r="E24" s="116"/>
      <c r="F24" s="115"/>
      <c r="G24" s="116"/>
      <c r="H24" s="115"/>
      <c r="I24" s="116"/>
      <c r="J24" s="115"/>
      <c r="K24" s="116"/>
      <c r="L24" s="115"/>
      <c r="M24" s="116"/>
      <c r="N24" s="115"/>
      <c r="O24" s="116"/>
      <c r="P24" s="115"/>
      <c r="Q24" s="116"/>
      <c r="R24" s="115"/>
      <c r="S24" s="116"/>
      <c r="T24" s="115"/>
      <c r="U24" s="116"/>
      <c r="V24" s="115"/>
      <c r="W24" s="116"/>
      <c r="X24" s="115"/>
      <c r="Y24" s="116"/>
      <c r="Z24" s="115"/>
      <c r="AA24" s="93"/>
      <c r="AB24" s="93"/>
      <c r="AC24" s="93"/>
      <c r="AD24" s="93"/>
      <c r="AE24" s="93"/>
      <c r="AF24" s="93"/>
      <c r="AG24" s="93"/>
      <c r="AH24" s="93">
        <f>AH21*$A$24</f>
        <v>0</v>
      </c>
      <c r="AI24" s="93"/>
      <c r="AJ24" s="93">
        <f>AJ21*$A$24</f>
        <v>0</v>
      </c>
      <c r="AK24" s="93" t="e">
        <f>AK21*$A$24</f>
        <v>#REF!</v>
      </c>
      <c r="AL24" s="93" t="e">
        <f>AL21*$A$24</f>
        <v>#REF!</v>
      </c>
      <c r="AM24" s="93" t="e">
        <f>AM21*$A$24</f>
        <v>#REF!</v>
      </c>
      <c r="AN24" s="93" t="e">
        <f>AN21*$A$24</f>
        <v>#REF!</v>
      </c>
      <c r="AO24" s="114" t="e">
        <f t="shared" si="23"/>
        <v>#REF!</v>
      </c>
      <c r="AP24" s="93" t="e">
        <f t="shared" ref="AP24:BA24" si="26">AP21*$A$24</f>
        <v>#REF!</v>
      </c>
      <c r="AQ24" s="93" t="e">
        <f t="shared" si="26"/>
        <v>#REF!</v>
      </c>
      <c r="AR24" s="93" t="e">
        <f t="shared" si="26"/>
        <v>#REF!</v>
      </c>
      <c r="AS24" s="93" t="e">
        <f t="shared" si="26"/>
        <v>#REF!</v>
      </c>
      <c r="AT24" s="93" t="e">
        <f t="shared" si="26"/>
        <v>#REF!</v>
      </c>
      <c r="AU24" s="93" t="e">
        <f t="shared" si="26"/>
        <v>#REF!</v>
      </c>
      <c r="AV24" s="93" t="e">
        <f t="shared" si="26"/>
        <v>#REF!</v>
      </c>
      <c r="AW24" s="93" t="e">
        <f t="shared" si="26"/>
        <v>#REF!</v>
      </c>
      <c r="AX24" s="93" t="e">
        <f t="shared" si="26"/>
        <v>#REF!</v>
      </c>
      <c r="AY24" s="93" t="e">
        <f t="shared" si="26"/>
        <v>#REF!</v>
      </c>
      <c r="AZ24" s="93" t="e">
        <f t="shared" si="26"/>
        <v>#REF!</v>
      </c>
      <c r="BA24" s="93" t="e">
        <f t="shared" si="26"/>
        <v>#REF!</v>
      </c>
      <c r="BB24" s="114" t="e">
        <f t="shared" si="25"/>
        <v>#REF!</v>
      </c>
      <c r="BC24" s="93"/>
    </row>
    <row r="25" spans="1:55" s="108" customFormat="1" ht="12" x14ac:dyDescent="0.25">
      <c r="A25" s="156">
        <f>71.058%+0.015%</f>
        <v>0.71073000000000008</v>
      </c>
      <c r="B25" s="138" t="s">
        <v>603</v>
      </c>
      <c r="C25" s="116"/>
      <c r="D25" s="115">
        <v>95057.69</v>
      </c>
      <c r="E25" s="116"/>
      <c r="F25" s="115"/>
      <c r="G25" s="116"/>
      <c r="H25" s="115"/>
      <c r="I25" s="116"/>
      <c r="J25" s="115"/>
      <c r="K25" s="116"/>
      <c r="L25" s="115"/>
      <c r="M25" s="116"/>
      <c r="N25" s="115"/>
      <c r="O25" s="116"/>
      <c r="P25" s="115"/>
      <c r="Q25" s="116"/>
      <c r="R25" s="115"/>
      <c r="S25" s="116"/>
      <c r="T25" s="115"/>
      <c r="U25" s="116"/>
      <c r="V25" s="115"/>
      <c r="W25" s="116"/>
      <c r="X25" s="115"/>
      <c r="Y25" s="116"/>
      <c r="Z25" s="115"/>
      <c r="AA25" s="93"/>
      <c r="AB25" s="93"/>
      <c r="AC25" s="93"/>
      <c r="AD25" s="93"/>
      <c r="AE25" s="93"/>
      <c r="AF25" s="93"/>
      <c r="AG25" s="93"/>
      <c r="AH25" s="93">
        <f>AH21*$A$25</f>
        <v>0</v>
      </c>
      <c r="AI25" s="93"/>
      <c r="AJ25" s="93">
        <f>AJ21*$A$25</f>
        <v>0</v>
      </c>
      <c r="AK25" s="93" t="e">
        <f>AK21*$A$25</f>
        <v>#REF!</v>
      </c>
      <c r="AL25" s="93" t="e">
        <f>AL21*$A$25</f>
        <v>#REF!</v>
      </c>
      <c r="AM25" s="93" t="e">
        <f>AM21*$A$25</f>
        <v>#REF!</v>
      </c>
      <c r="AN25" s="93" t="e">
        <f>AN21*$A$25</f>
        <v>#REF!</v>
      </c>
      <c r="AO25" s="114" t="e">
        <f t="shared" si="23"/>
        <v>#REF!</v>
      </c>
      <c r="AP25" s="93" t="e">
        <f t="shared" ref="AP25:BA25" si="27">AP21*$A$25</f>
        <v>#REF!</v>
      </c>
      <c r="AQ25" s="93" t="e">
        <f t="shared" si="27"/>
        <v>#REF!</v>
      </c>
      <c r="AR25" s="93" t="e">
        <f t="shared" si="27"/>
        <v>#REF!</v>
      </c>
      <c r="AS25" s="93" t="e">
        <f t="shared" si="27"/>
        <v>#REF!</v>
      </c>
      <c r="AT25" s="93" t="e">
        <f t="shared" si="27"/>
        <v>#REF!</v>
      </c>
      <c r="AU25" s="93" t="e">
        <f t="shared" si="27"/>
        <v>#REF!</v>
      </c>
      <c r="AV25" s="93" t="e">
        <f t="shared" si="27"/>
        <v>#REF!</v>
      </c>
      <c r="AW25" s="93" t="e">
        <f t="shared" si="27"/>
        <v>#REF!</v>
      </c>
      <c r="AX25" s="93" t="e">
        <f t="shared" si="27"/>
        <v>#REF!</v>
      </c>
      <c r="AY25" s="93" t="e">
        <f t="shared" si="27"/>
        <v>#REF!</v>
      </c>
      <c r="AZ25" s="93" t="e">
        <f t="shared" si="27"/>
        <v>#REF!</v>
      </c>
      <c r="BA25" s="93" t="e">
        <f t="shared" si="27"/>
        <v>#REF!</v>
      </c>
      <c r="BB25" s="114" t="e">
        <f t="shared" si="25"/>
        <v>#REF!</v>
      </c>
      <c r="BC25" s="93"/>
    </row>
    <row r="26" spans="1:55" s="108" customFormat="1" ht="12" x14ac:dyDescent="0.25">
      <c r="A26" s="156">
        <v>0</v>
      </c>
      <c r="B26" s="138" t="s">
        <v>604</v>
      </c>
      <c r="C26" s="116"/>
      <c r="D26" s="115"/>
      <c r="E26" s="116"/>
      <c r="F26" s="115"/>
      <c r="G26" s="116"/>
      <c r="H26" s="115"/>
      <c r="I26" s="116"/>
      <c r="J26" s="115"/>
      <c r="K26" s="116"/>
      <c r="L26" s="115"/>
      <c r="M26" s="116"/>
      <c r="N26" s="115"/>
      <c r="O26" s="116"/>
      <c r="P26" s="115"/>
      <c r="Q26" s="116"/>
      <c r="R26" s="115"/>
      <c r="S26" s="116"/>
      <c r="T26" s="115"/>
      <c r="U26" s="116"/>
      <c r="V26" s="115"/>
      <c r="W26" s="116"/>
      <c r="X26" s="115"/>
      <c r="Y26" s="116"/>
      <c r="Z26" s="115"/>
      <c r="AA26" s="93"/>
      <c r="AB26" s="93"/>
      <c r="AC26" s="93"/>
      <c r="AD26" s="93"/>
      <c r="AE26" s="93"/>
      <c r="AF26" s="93"/>
      <c r="AG26" s="93"/>
      <c r="AH26" s="93">
        <f>AH21*$A$26</f>
        <v>0</v>
      </c>
      <c r="AI26" s="93"/>
      <c r="AJ26" s="93">
        <f>AJ21*$A$26</f>
        <v>0</v>
      </c>
      <c r="AK26" s="93" t="e">
        <f>AK21*$A$26</f>
        <v>#REF!</v>
      </c>
      <c r="AL26" s="93" t="e">
        <f>AL21*$A$26</f>
        <v>#REF!</v>
      </c>
      <c r="AM26" s="93" t="e">
        <f>AM21*$A$26</f>
        <v>#REF!</v>
      </c>
      <c r="AN26" s="93" t="e">
        <f>AN21*$A$26</f>
        <v>#REF!</v>
      </c>
      <c r="AO26" s="114" t="e">
        <f t="shared" si="23"/>
        <v>#REF!</v>
      </c>
      <c r="AP26" s="93" t="e">
        <f t="shared" ref="AP26:BA26" si="28">AP21*$A$26</f>
        <v>#REF!</v>
      </c>
      <c r="AQ26" s="93" t="e">
        <f t="shared" si="28"/>
        <v>#REF!</v>
      </c>
      <c r="AR26" s="93" t="e">
        <f t="shared" si="28"/>
        <v>#REF!</v>
      </c>
      <c r="AS26" s="93" t="e">
        <f t="shared" si="28"/>
        <v>#REF!</v>
      </c>
      <c r="AT26" s="93" t="e">
        <f t="shared" si="28"/>
        <v>#REF!</v>
      </c>
      <c r="AU26" s="93" t="e">
        <f t="shared" si="28"/>
        <v>#REF!</v>
      </c>
      <c r="AV26" s="93" t="e">
        <f t="shared" si="28"/>
        <v>#REF!</v>
      </c>
      <c r="AW26" s="93" t="e">
        <f t="shared" si="28"/>
        <v>#REF!</v>
      </c>
      <c r="AX26" s="93" t="e">
        <f t="shared" si="28"/>
        <v>#REF!</v>
      </c>
      <c r="AY26" s="93" t="e">
        <f t="shared" si="28"/>
        <v>#REF!</v>
      </c>
      <c r="AZ26" s="93" t="e">
        <f t="shared" si="28"/>
        <v>#REF!</v>
      </c>
      <c r="BA26" s="93" t="e">
        <f t="shared" si="28"/>
        <v>#REF!</v>
      </c>
      <c r="BB26" s="114" t="e">
        <f t="shared" si="25"/>
        <v>#REF!</v>
      </c>
      <c r="BC26" s="93"/>
    </row>
    <row r="27" spans="1:55" s="108" customFormat="1" ht="12" x14ac:dyDescent="0.25">
      <c r="A27" s="156">
        <v>1.438E-2</v>
      </c>
      <c r="B27" s="138" t="s">
        <v>605</v>
      </c>
      <c r="C27" s="116"/>
      <c r="D27" s="115"/>
      <c r="E27" s="116"/>
      <c r="F27" s="115"/>
      <c r="G27" s="116"/>
      <c r="H27" s="115"/>
      <c r="I27" s="116"/>
      <c r="J27" s="115"/>
      <c r="K27" s="116"/>
      <c r="L27" s="115"/>
      <c r="M27" s="116"/>
      <c r="N27" s="115"/>
      <c r="O27" s="116"/>
      <c r="P27" s="115"/>
      <c r="Q27" s="116"/>
      <c r="R27" s="115"/>
      <c r="S27" s="116"/>
      <c r="T27" s="115"/>
      <c r="U27" s="116"/>
      <c r="V27" s="115"/>
      <c r="W27" s="116"/>
      <c r="X27" s="115"/>
      <c r="Y27" s="116"/>
      <c r="Z27" s="115"/>
      <c r="AA27" s="93"/>
      <c r="AB27" s="93"/>
      <c r="AC27" s="93"/>
      <c r="AD27" s="93"/>
      <c r="AE27" s="93"/>
      <c r="AF27" s="93"/>
      <c r="AG27" s="93"/>
      <c r="AH27" s="93">
        <f>AH21*$A$27</f>
        <v>0</v>
      </c>
      <c r="AI27" s="93"/>
      <c r="AJ27" s="93">
        <f>AJ21*$A$27</f>
        <v>0</v>
      </c>
      <c r="AK27" s="93" t="e">
        <f>AK21*$A$27</f>
        <v>#REF!</v>
      </c>
      <c r="AL27" s="93" t="e">
        <f>AL21*$A$27</f>
        <v>#REF!</v>
      </c>
      <c r="AM27" s="93" t="e">
        <f>AM21*$A$27</f>
        <v>#REF!</v>
      </c>
      <c r="AN27" s="93" t="e">
        <f>AN21*$A$27</f>
        <v>#REF!</v>
      </c>
      <c r="AO27" s="114" t="e">
        <f t="shared" si="23"/>
        <v>#REF!</v>
      </c>
      <c r="AP27" s="93" t="e">
        <f t="shared" ref="AP27:BA27" si="29">AP21*$A$27</f>
        <v>#REF!</v>
      </c>
      <c r="AQ27" s="93" t="e">
        <f t="shared" si="29"/>
        <v>#REF!</v>
      </c>
      <c r="AR27" s="93" t="e">
        <f t="shared" si="29"/>
        <v>#REF!</v>
      </c>
      <c r="AS27" s="93" t="e">
        <f t="shared" si="29"/>
        <v>#REF!</v>
      </c>
      <c r="AT27" s="93" t="e">
        <f t="shared" si="29"/>
        <v>#REF!</v>
      </c>
      <c r="AU27" s="93" t="e">
        <f t="shared" si="29"/>
        <v>#REF!</v>
      </c>
      <c r="AV27" s="93" t="e">
        <f t="shared" si="29"/>
        <v>#REF!</v>
      </c>
      <c r="AW27" s="93" t="e">
        <f t="shared" si="29"/>
        <v>#REF!</v>
      </c>
      <c r="AX27" s="93" t="e">
        <f t="shared" si="29"/>
        <v>#REF!</v>
      </c>
      <c r="AY27" s="93" t="e">
        <f t="shared" si="29"/>
        <v>#REF!</v>
      </c>
      <c r="AZ27" s="93" t="e">
        <f t="shared" si="29"/>
        <v>#REF!</v>
      </c>
      <c r="BA27" s="93" t="e">
        <f t="shared" si="29"/>
        <v>#REF!</v>
      </c>
      <c r="BB27" s="114" t="e">
        <f t="shared" si="25"/>
        <v>#REF!</v>
      </c>
      <c r="BC27" s="93"/>
    </row>
    <row r="28" spans="1:55" s="108" customFormat="1" ht="12" x14ac:dyDescent="0.25">
      <c r="A28" s="156">
        <v>6.3000000000000003E-4</v>
      </c>
      <c r="B28" s="138" t="s">
        <v>606</v>
      </c>
      <c r="C28" s="116"/>
      <c r="D28" s="115"/>
      <c r="E28" s="116"/>
      <c r="F28" s="115"/>
      <c r="G28" s="116"/>
      <c r="H28" s="115"/>
      <c r="I28" s="116"/>
      <c r="J28" s="115"/>
      <c r="K28" s="116"/>
      <c r="L28" s="115"/>
      <c r="M28" s="116"/>
      <c r="N28" s="115"/>
      <c r="O28" s="116"/>
      <c r="P28" s="115"/>
      <c r="Q28" s="116"/>
      <c r="R28" s="115"/>
      <c r="S28" s="116"/>
      <c r="T28" s="115"/>
      <c r="U28" s="116"/>
      <c r="V28" s="115"/>
      <c r="W28" s="116"/>
      <c r="X28" s="115"/>
      <c r="Y28" s="116"/>
      <c r="Z28" s="115"/>
      <c r="AA28" s="93"/>
      <c r="AB28" s="93"/>
      <c r="AC28" s="93"/>
      <c r="AD28" s="93"/>
      <c r="AE28" s="93"/>
      <c r="AF28" s="93"/>
      <c r="AG28" s="93"/>
      <c r="AH28" s="93">
        <f>AH21*$A$28</f>
        <v>0</v>
      </c>
      <c r="AI28" s="93"/>
      <c r="AJ28" s="93">
        <f>AJ21*$A$28</f>
        <v>0</v>
      </c>
      <c r="AK28" s="93" t="e">
        <f>AK21*$A$28</f>
        <v>#REF!</v>
      </c>
      <c r="AL28" s="93" t="e">
        <f>AL21*$A$28</f>
        <v>#REF!</v>
      </c>
      <c r="AM28" s="93" t="e">
        <f>AM21*$A$28</f>
        <v>#REF!</v>
      </c>
      <c r="AN28" s="93" t="e">
        <f>AN21*$A$28</f>
        <v>#REF!</v>
      </c>
      <c r="AO28" s="114" t="e">
        <f t="shared" si="23"/>
        <v>#REF!</v>
      </c>
      <c r="AP28" s="93" t="e">
        <f t="shared" ref="AP28:BA28" si="30">AP21*$A$28</f>
        <v>#REF!</v>
      </c>
      <c r="AQ28" s="93" t="e">
        <f t="shared" si="30"/>
        <v>#REF!</v>
      </c>
      <c r="AR28" s="93" t="e">
        <f t="shared" si="30"/>
        <v>#REF!</v>
      </c>
      <c r="AS28" s="93" t="e">
        <f t="shared" si="30"/>
        <v>#REF!</v>
      </c>
      <c r="AT28" s="93" t="e">
        <f t="shared" si="30"/>
        <v>#REF!</v>
      </c>
      <c r="AU28" s="93" t="e">
        <f t="shared" si="30"/>
        <v>#REF!</v>
      </c>
      <c r="AV28" s="93" t="e">
        <f t="shared" si="30"/>
        <v>#REF!</v>
      </c>
      <c r="AW28" s="93" t="e">
        <f t="shared" si="30"/>
        <v>#REF!</v>
      </c>
      <c r="AX28" s="93" t="e">
        <f t="shared" si="30"/>
        <v>#REF!</v>
      </c>
      <c r="AY28" s="93" t="e">
        <f t="shared" si="30"/>
        <v>#REF!</v>
      </c>
      <c r="AZ28" s="93" t="e">
        <f t="shared" si="30"/>
        <v>#REF!</v>
      </c>
      <c r="BA28" s="93" t="e">
        <f t="shared" si="30"/>
        <v>#REF!</v>
      </c>
      <c r="BB28" s="114" t="e">
        <f t="shared" si="25"/>
        <v>#REF!</v>
      </c>
      <c r="BC28" s="93"/>
    </row>
    <row r="29" spans="1:55" s="108" customFormat="1" ht="12" x14ac:dyDescent="0.25">
      <c r="A29" s="156">
        <v>2.0809999999999999E-2</v>
      </c>
      <c r="B29" s="138" t="s">
        <v>607</v>
      </c>
      <c r="C29" s="116"/>
      <c r="D29" s="115"/>
      <c r="E29" s="116"/>
      <c r="F29" s="115"/>
      <c r="G29" s="116"/>
      <c r="H29" s="115"/>
      <c r="I29" s="116"/>
      <c r="J29" s="115"/>
      <c r="K29" s="116"/>
      <c r="L29" s="115"/>
      <c r="M29" s="116"/>
      <c r="N29" s="115"/>
      <c r="O29" s="116"/>
      <c r="P29" s="115"/>
      <c r="Q29" s="116"/>
      <c r="R29" s="115"/>
      <c r="S29" s="116"/>
      <c r="T29" s="115"/>
      <c r="U29" s="116"/>
      <c r="V29" s="115"/>
      <c r="W29" s="116"/>
      <c r="X29" s="115"/>
      <c r="Y29" s="116"/>
      <c r="Z29" s="115"/>
      <c r="AA29" s="93"/>
      <c r="AB29" s="93"/>
      <c r="AC29" s="93"/>
      <c r="AD29" s="93"/>
      <c r="AE29" s="93"/>
      <c r="AF29" s="93"/>
      <c r="AG29" s="93"/>
      <c r="AH29" s="93">
        <f>AH21*$A$29</f>
        <v>0</v>
      </c>
      <c r="AI29" s="93"/>
      <c r="AJ29" s="93">
        <f>AJ21*$A$29</f>
        <v>0</v>
      </c>
      <c r="AK29" s="93" t="e">
        <f>AK21*$A$29</f>
        <v>#REF!</v>
      </c>
      <c r="AL29" s="93" t="e">
        <f>AL21*$A$29</f>
        <v>#REF!</v>
      </c>
      <c r="AM29" s="93" t="e">
        <f>AM21*$A$29</f>
        <v>#REF!</v>
      </c>
      <c r="AN29" s="93" t="e">
        <f>AN21*$A$29</f>
        <v>#REF!</v>
      </c>
      <c r="AO29" s="114" t="e">
        <f t="shared" si="23"/>
        <v>#REF!</v>
      </c>
      <c r="AP29" s="93" t="e">
        <f t="shared" ref="AP29:BA29" si="31">AP21*$A$29</f>
        <v>#REF!</v>
      </c>
      <c r="AQ29" s="93" t="e">
        <f t="shared" si="31"/>
        <v>#REF!</v>
      </c>
      <c r="AR29" s="93" t="e">
        <f t="shared" si="31"/>
        <v>#REF!</v>
      </c>
      <c r="AS29" s="93" t="e">
        <f t="shared" si="31"/>
        <v>#REF!</v>
      </c>
      <c r="AT29" s="93" t="e">
        <f t="shared" si="31"/>
        <v>#REF!</v>
      </c>
      <c r="AU29" s="93" t="e">
        <f t="shared" si="31"/>
        <v>#REF!</v>
      </c>
      <c r="AV29" s="93" t="e">
        <f t="shared" si="31"/>
        <v>#REF!</v>
      </c>
      <c r="AW29" s="93" t="e">
        <f t="shared" si="31"/>
        <v>#REF!</v>
      </c>
      <c r="AX29" s="93" t="e">
        <f t="shared" si="31"/>
        <v>#REF!</v>
      </c>
      <c r="AY29" s="93" t="e">
        <f t="shared" si="31"/>
        <v>#REF!</v>
      </c>
      <c r="AZ29" s="93" t="e">
        <f t="shared" si="31"/>
        <v>#REF!</v>
      </c>
      <c r="BA29" s="93" t="e">
        <f t="shared" si="31"/>
        <v>#REF!</v>
      </c>
      <c r="BB29" s="114" t="e">
        <f t="shared" si="25"/>
        <v>#REF!</v>
      </c>
      <c r="BC29" s="93"/>
    </row>
    <row r="30" spans="1:55" s="108" customFormat="1" ht="12" x14ac:dyDescent="0.25">
      <c r="B30" s="137" t="s">
        <v>608</v>
      </c>
      <c r="C30" s="136"/>
      <c r="D30" s="135"/>
      <c r="E30" s="136"/>
      <c r="F30" s="135"/>
      <c r="G30" s="136"/>
      <c r="H30" s="135"/>
      <c r="I30" s="136"/>
      <c r="J30" s="135"/>
      <c r="K30" s="136"/>
      <c r="L30" s="135"/>
      <c r="M30" s="136"/>
      <c r="N30" s="135"/>
      <c r="O30" s="136"/>
      <c r="P30" s="135"/>
      <c r="Q30" s="136"/>
      <c r="R30" s="135"/>
      <c r="S30" s="136"/>
      <c r="T30" s="135"/>
      <c r="U30" s="136"/>
      <c r="V30" s="135"/>
      <c r="W30" s="136"/>
      <c r="X30" s="135"/>
      <c r="Y30" s="136"/>
      <c r="Z30" s="135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55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55"/>
      <c r="BC30" s="132"/>
    </row>
    <row r="31" spans="1:55" s="108" customFormat="1" ht="12" x14ac:dyDescent="0.25">
      <c r="A31" s="125">
        <v>0</v>
      </c>
      <c r="B31" s="131" t="s">
        <v>609</v>
      </c>
      <c r="C31" s="130">
        <f>C21*$A$31</f>
        <v>0</v>
      </c>
      <c r="D31" s="129"/>
      <c r="E31" s="130">
        <f>E21*$A$31</f>
        <v>0</v>
      </c>
      <c r="F31" s="129"/>
      <c r="G31" s="130">
        <f>G21*$A$31</f>
        <v>0</v>
      </c>
      <c r="H31" s="129"/>
      <c r="I31" s="130">
        <f>I21*$A$31</f>
        <v>0</v>
      </c>
      <c r="J31" s="129"/>
      <c r="K31" s="130">
        <f>K21*$A$31</f>
        <v>0</v>
      </c>
      <c r="L31" s="129"/>
      <c r="M31" s="130">
        <f>M21*$A$31</f>
        <v>0</v>
      </c>
      <c r="N31" s="129"/>
      <c r="O31" s="130">
        <f>O21*$A$31</f>
        <v>0</v>
      </c>
      <c r="P31" s="129"/>
      <c r="Q31" s="130">
        <f>Q21*$A$31</f>
        <v>0</v>
      </c>
      <c r="R31" s="129"/>
      <c r="S31" s="130">
        <f>S21*$A$31</f>
        <v>0</v>
      </c>
      <c r="T31" s="129"/>
      <c r="U31" s="130">
        <f>U21*$A$31</f>
        <v>0</v>
      </c>
      <c r="V31" s="129"/>
      <c r="W31" s="130">
        <f>W21*$A$31</f>
        <v>0</v>
      </c>
      <c r="X31" s="129"/>
      <c r="Y31" s="130">
        <f>Y21*$A$31</f>
        <v>0</v>
      </c>
      <c r="Z31" s="129"/>
      <c r="AA31" s="126">
        <f t="shared" ref="AA31:AH31" si="32">AA21*$A$31</f>
        <v>0</v>
      </c>
      <c r="AB31" s="126">
        <f t="shared" si="32"/>
        <v>0</v>
      </c>
      <c r="AC31" s="126">
        <f t="shared" si="32"/>
        <v>0</v>
      </c>
      <c r="AD31" s="126">
        <f t="shared" si="32"/>
        <v>0</v>
      </c>
      <c r="AE31" s="126">
        <f t="shared" si="32"/>
        <v>0</v>
      </c>
      <c r="AF31" s="126">
        <f t="shared" si="32"/>
        <v>0</v>
      </c>
      <c r="AG31" s="126">
        <f t="shared" si="32"/>
        <v>0</v>
      </c>
      <c r="AH31" s="126">
        <f t="shared" si="32"/>
        <v>0</v>
      </c>
      <c r="AI31" s="126"/>
      <c r="AJ31" s="126">
        <f>AJ21*$A$31</f>
        <v>0</v>
      </c>
      <c r="AK31" s="126" t="e">
        <f>AK21*$A$31</f>
        <v>#REF!</v>
      </c>
      <c r="AL31" s="126" t="e">
        <f>AL21*$A$31</f>
        <v>#REF!</v>
      </c>
      <c r="AM31" s="126" t="e">
        <f>AM21*$A$31</f>
        <v>#REF!</v>
      </c>
      <c r="AN31" s="126" t="e">
        <f>AN21*$A$31</f>
        <v>#REF!</v>
      </c>
      <c r="AO31" s="114" t="e">
        <f>SUM(AB31:AN31)</f>
        <v>#REF!</v>
      </c>
      <c r="AP31" s="126" t="e">
        <f t="shared" ref="AP31:BA31" si="33">AP21*$A$31</f>
        <v>#REF!</v>
      </c>
      <c r="AQ31" s="126" t="e">
        <f t="shared" si="33"/>
        <v>#REF!</v>
      </c>
      <c r="AR31" s="126" t="e">
        <f t="shared" si="33"/>
        <v>#REF!</v>
      </c>
      <c r="AS31" s="126" t="e">
        <f t="shared" si="33"/>
        <v>#REF!</v>
      </c>
      <c r="AT31" s="126" t="e">
        <f t="shared" si="33"/>
        <v>#REF!</v>
      </c>
      <c r="AU31" s="126" t="e">
        <f t="shared" si="33"/>
        <v>#REF!</v>
      </c>
      <c r="AV31" s="126" t="e">
        <f t="shared" si="33"/>
        <v>#REF!</v>
      </c>
      <c r="AW31" s="126" t="e">
        <f t="shared" si="33"/>
        <v>#REF!</v>
      </c>
      <c r="AX31" s="126" t="e">
        <f t="shared" si="33"/>
        <v>#REF!</v>
      </c>
      <c r="AY31" s="126" t="e">
        <f t="shared" si="33"/>
        <v>#REF!</v>
      </c>
      <c r="AZ31" s="126" t="e">
        <f t="shared" si="33"/>
        <v>#REF!</v>
      </c>
      <c r="BA31" s="126" t="e">
        <f t="shared" si="33"/>
        <v>#REF!</v>
      </c>
      <c r="BB31" s="114" t="e">
        <f>SUM(AP31:BA31)</f>
        <v>#REF!</v>
      </c>
      <c r="BC31" s="126"/>
    </row>
    <row r="32" spans="1:55" s="108" customFormat="1" ht="12" x14ac:dyDescent="0.25">
      <c r="A32" s="125">
        <v>1.4999999999999999E-2</v>
      </c>
      <c r="B32" s="124" t="s">
        <v>610</v>
      </c>
      <c r="C32" s="112">
        <f t="shared" ref="C32:AH32" si="34">C21*$A$32</f>
        <v>0</v>
      </c>
      <c r="D32" s="111">
        <f t="shared" si="34"/>
        <v>1770.55485</v>
      </c>
      <c r="E32" s="112">
        <f t="shared" si="34"/>
        <v>0</v>
      </c>
      <c r="F32" s="111">
        <f t="shared" si="34"/>
        <v>0</v>
      </c>
      <c r="G32" s="112">
        <f t="shared" si="34"/>
        <v>0</v>
      </c>
      <c r="H32" s="111">
        <f t="shared" si="34"/>
        <v>0</v>
      </c>
      <c r="I32" s="112">
        <f t="shared" si="34"/>
        <v>0</v>
      </c>
      <c r="J32" s="111">
        <f t="shared" si="34"/>
        <v>0</v>
      </c>
      <c r="K32" s="112">
        <f t="shared" si="34"/>
        <v>0</v>
      </c>
      <c r="L32" s="111">
        <f t="shared" si="34"/>
        <v>0</v>
      </c>
      <c r="M32" s="112">
        <f t="shared" si="34"/>
        <v>0</v>
      </c>
      <c r="N32" s="111">
        <f t="shared" si="34"/>
        <v>0</v>
      </c>
      <c r="O32" s="112">
        <f t="shared" si="34"/>
        <v>0</v>
      </c>
      <c r="P32" s="111">
        <f t="shared" si="34"/>
        <v>0</v>
      </c>
      <c r="Q32" s="112">
        <f t="shared" si="34"/>
        <v>0</v>
      </c>
      <c r="R32" s="111">
        <f t="shared" si="34"/>
        <v>0</v>
      </c>
      <c r="S32" s="112">
        <f t="shared" si="34"/>
        <v>0</v>
      </c>
      <c r="T32" s="111">
        <f t="shared" si="34"/>
        <v>0</v>
      </c>
      <c r="U32" s="112">
        <f t="shared" si="34"/>
        <v>0</v>
      </c>
      <c r="V32" s="111">
        <f t="shared" si="34"/>
        <v>0</v>
      </c>
      <c r="W32" s="112">
        <f t="shared" si="34"/>
        <v>0</v>
      </c>
      <c r="X32" s="111">
        <f t="shared" si="34"/>
        <v>0</v>
      </c>
      <c r="Y32" s="112">
        <f t="shared" si="34"/>
        <v>0</v>
      </c>
      <c r="Z32" s="111">
        <f t="shared" si="34"/>
        <v>0</v>
      </c>
      <c r="AA32" s="109">
        <f t="shared" si="34"/>
        <v>0</v>
      </c>
      <c r="AB32" s="109">
        <f t="shared" si="34"/>
        <v>0</v>
      </c>
      <c r="AC32" s="109">
        <f t="shared" si="34"/>
        <v>0</v>
      </c>
      <c r="AD32" s="109">
        <f t="shared" si="34"/>
        <v>0</v>
      </c>
      <c r="AE32" s="109">
        <f t="shared" si="34"/>
        <v>0</v>
      </c>
      <c r="AF32" s="109">
        <f t="shared" si="34"/>
        <v>0</v>
      </c>
      <c r="AG32" s="109">
        <f t="shared" si="34"/>
        <v>0</v>
      </c>
      <c r="AH32" s="109">
        <f t="shared" si="34"/>
        <v>0</v>
      </c>
      <c r="AI32" s="109"/>
      <c r="AJ32" s="109">
        <f>AJ21*$A$32</f>
        <v>0</v>
      </c>
      <c r="AK32" s="109" t="e">
        <f>AK21*$A$32</f>
        <v>#REF!</v>
      </c>
      <c r="AL32" s="109" t="e">
        <f>AL21*$A$32</f>
        <v>#REF!</v>
      </c>
      <c r="AM32" s="109" t="e">
        <f>AM21*$A$32</f>
        <v>#REF!</v>
      </c>
      <c r="AN32" s="109" t="e">
        <f>AN21*$A$32</f>
        <v>#REF!</v>
      </c>
      <c r="AO32" s="110" t="e">
        <f>SUM(AB32:AN32)</f>
        <v>#REF!</v>
      </c>
      <c r="AP32" s="109" t="e">
        <f t="shared" ref="AP32:BA32" si="35">AP21*$A$32</f>
        <v>#REF!</v>
      </c>
      <c r="AQ32" s="109" t="e">
        <f t="shared" si="35"/>
        <v>#REF!</v>
      </c>
      <c r="AR32" s="109" t="e">
        <f t="shared" si="35"/>
        <v>#REF!</v>
      </c>
      <c r="AS32" s="109" t="e">
        <f t="shared" si="35"/>
        <v>#REF!</v>
      </c>
      <c r="AT32" s="109" t="e">
        <f t="shared" si="35"/>
        <v>#REF!</v>
      </c>
      <c r="AU32" s="109" t="e">
        <f t="shared" si="35"/>
        <v>#REF!</v>
      </c>
      <c r="AV32" s="109" t="e">
        <f t="shared" si="35"/>
        <v>#REF!</v>
      </c>
      <c r="AW32" s="109" t="e">
        <f t="shared" si="35"/>
        <v>#REF!</v>
      </c>
      <c r="AX32" s="109" t="e">
        <f t="shared" si="35"/>
        <v>#REF!</v>
      </c>
      <c r="AY32" s="109" t="e">
        <f t="shared" si="35"/>
        <v>#REF!</v>
      </c>
      <c r="AZ32" s="109" t="e">
        <f t="shared" si="35"/>
        <v>#REF!</v>
      </c>
      <c r="BA32" s="109" t="e">
        <f t="shared" si="35"/>
        <v>#REF!</v>
      </c>
      <c r="BB32" s="110" t="e">
        <f>SUM(AP32:BA32)</f>
        <v>#REF!</v>
      </c>
      <c r="BC32" s="109"/>
    </row>
    <row r="33" spans="1:55" s="108" customFormat="1" ht="12" x14ac:dyDescent="0.25">
      <c r="B33" s="380" t="s">
        <v>611</v>
      </c>
      <c r="C33" s="123">
        <f t="shared" ref="C33:AH33" si="36">SUM(C31:C32)</f>
        <v>0</v>
      </c>
      <c r="D33" s="388">
        <f t="shared" si="36"/>
        <v>1770.55485</v>
      </c>
      <c r="E33" s="123">
        <f t="shared" si="36"/>
        <v>0</v>
      </c>
      <c r="F33" s="388">
        <f t="shared" si="36"/>
        <v>0</v>
      </c>
      <c r="G33" s="123">
        <f t="shared" si="36"/>
        <v>0</v>
      </c>
      <c r="H33" s="388">
        <f t="shared" si="36"/>
        <v>0</v>
      </c>
      <c r="I33" s="123">
        <f t="shared" si="36"/>
        <v>0</v>
      </c>
      <c r="J33" s="388">
        <f t="shared" si="36"/>
        <v>0</v>
      </c>
      <c r="K33" s="123">
        <f t="shared" si="36"/>
        <v>0</v>
      </c>
      <c r="L33" s="388">
        <f t="shared" si="36"/>
        <v>0</v>
      </c>
      <c r="M33" s="123">
        <f t="shared" si="36"/>
        <v>0</v>
      </c>
      <c r="N33" s="388">
        <f t="shared" si="36"/>
        <v>0</v>
      </c>
      <c r="O33" s="123">
        <f t="shared" si="36"/>
        <v>0</v>
      </c>
      <c r="P33" s="388">
        <f t="shared" si="36"/>
        <v>0</v>
      </c>
      <c r="Q33" s="123">
        <f t="shared" si="36"/>
        <v>0</v>
      </c>
      <c r="R33" s="388">
        <f t="shared" si="36"/>
        <v>0</v>
      </c>
      <c r="S33" s="123">
        <f t="shared" si="36"/>
        <v>0</v>
      </c>
      <c r="T33" s="388">
        <f t="shared" si="36"/>
        <v>0</v>
      </c>
      <c r="U33" s="123">
        <f t="shared" si="36"/>
        <v>0</v>
      </c>
      <c r="V33" s="388">
        <f t="shared" si="36"/>
        <v>0</v>
      </c>
      <c r="W33" s="123">
        <f t="shared" si="36"/>
        <v>0</v>
      </c>
      <c r="X33" s="388">
        <f t="shared" si="36"/>
        <v>0</v>
      </c>
      <c r="Y33" s="123">
        <f t="shared" si="36"/>
        <v>0</v>
      </c>
      <c r="Z33" s="388">
        <f t="shared" si="36"/>
        <v>0</v>
      </c>
      <c r="AA33" s="389">
        <f t="shared" si="36"/>
        <v>0</v>
      </c>
      <c r="AB33" s="389">
        <f t="shared" si="36"/>
        <v>0</v>
      </c>
      <c r="AC33" s="389">
        <f t="shared" si="36"/>
        <v>0</v>
      </c>
      <c r="AD33" s="389">
        <f t="shared" si="36"/>
        <v>0</v>
      </c>
      <c r="AE33" s="389">
        <f t="shared" si="36"/>
        <v>0</v>
      </c>
      <c r="AF33" s="389">
        <f t="shared" si="36"/>
        <v>0</v>
      </c>
      <c r="AG33" s="389">
        <f t="shared" si="36"/>
        <v>0</v>
      </c>
      <c r="AH33" s="389">
        <f t="shared" si="36"/>
        <v>0</v>
      </c>
      <c r="AI33" s="389"/>
      <c r="AJ33" s="389">
        <f>SUM(AJ31:AJ32)</f>
        <v>0</v>
      </c>
      <c r="AK33" s="389" t="e">
        <f>SUM(AK31:AK32)</f>
        <v>#REF!</v>
      </c>
      <c r="AL33" s="389" t="e">
        <f>SUM(AL31:AL32)</f>
        <v>#REF!</v>
      </c>
      <c r="AM33" s="389" t="e">
        <f>SUM(AM31:AM32)</f>
        <v>#REF!</v>
      </c>
      <c r="AN33" s="389" t="e">
        <f>SUM(AN31:AN32)</f>
        <v>#REF!</v>
      </c>
      <c r="AO33" s="390" t="e">
        <f>SUM(AB33:AN33)</f>
        <v>#REF!</v>
      </c>
      <c r="AP33" s="389" t="e">
        <f t="shared" ref="AP33:BA33" si="37">SUM(AP31:AP32)</f>
        <v>#REF!</v>
      </c>
      <c r="AQ33" s="389" t="e">
        <f t="shared" si="37"/>
        <v>#REF!</v>
      </c>
      <c r="AR33" s="389" t="e">
        <f t="shared" si="37"/>
        <v>#REF!</v>
      </c>
      <c r="AS33" s="389" t="e">
        <f t="shared" si="37"/>
        <v>#REF!</v>
      </c>
      <c r="AT33" s="389" t="e">
        <f t="shared" si="37"/>
        <v>#REF!</v>
      </c>
      <c r="AU33" s="389" t="e">
        <f t="shared" si="37"/>
        <v>#REF!</v>
      </c>
      <c r="AV33" s="389" t="e">
        <f t="shared" si="37"/>
        <v>#REF!</v>
      </c>
      <c r="AW33" s="389" t="e">
        <f t="shared" si="37"/>
        <v>#REF!</v>
      </c>
      <c r="AX33" s="389" t="e">
        <f t="shared" si="37"/>
        <v>#REF!</v>
      </c>
      <c r="AY33" s="389" t="e">
        <f t="shared" si="37"/>
        <v>#REF!</v>
      </c>
      <c r="AZ33" s="389" t="e">
        <f t="shared" si="37"/>
        <v>#REF!</v>
      </c>
      <c r="BA33" s="389" t="e">
        <f t="shared" si="37"/>
        <v>#REF!</v>
      </c>
      <c r="BB33" s="390" t="e">
        <f>SUM(AP33:BA33)</f>
        <v>#REF!</v>
      </c>
      <c r="BC33" s="389"/>
    </row>
    <row r="34" spans="1:55" s="108" customFormat="1" ht="12" x14ac:dyDescent="0.25">
      <c r="B34" s="167"/>
      <c r="C34" s="166"/>
      <c r="D34" s="165"/>
      <c r="E34" s="166"/>
      <c r="F34" s="165"/>
      <c r="G34" s="166"/>
      <c r="H34" s="165"/>
      <c r="I34" s="166"/>
      <c r="J34" s="165"/>
      <c r="K34" s="166"/>
      <c r="L34" s="165"/>
      <c r="M34" s="166"/>
      <c r="N34" s="165"/>
      <c r="O34" s="166"/>
      <c r="P34" s="165"/>
      <c r="Q34" s="166"/>
      <c r="R34" s="165"/>
      <c r="S34" s="166"/>
      <c r="T34" s="165"/>
      <c r="U34" s="166"/>
      <c r="V34" s="165"/>
      <c r="W34" s="166"/>
      <c r="X34" s="165"/>
      <c r="Y34" s="166"/>
      <c r="Z34" s="165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</row>
    <row r="35" spans="1:55" s="108" customFormat="1" ht="15.6" x14ac:dyDescent="0.3">
      <c r="B35" s="157" t="s">
        <v>613</v>
      </c>
      <c r="C35" s="141"/>
      <c r="D35" s="140"/>
      <c r="E35" s="141"/>
      <c r="F35" s="140"/>
      <c r="G35" s="141"/>
      <c r="H35" s="140"/>
      <c r="I35" s="141"/>
      <c r="J35" s="140"/>
      <c r="K35" s="141"/>
      <c r="L35" s="140"/>
      <c r="M35" s="141"/>
      <c r="N35" s="140"/>
      <c r="O35" s="141"/>
      <c r="P35" s="140"/>
      <c r="Q35" s="141"/>
      <c r="R35" s="140"/>
      <c r="S35" s="141"/>
      <c r="T35" s="140"/>
      <c r="U35" s="141"/>
      <c r="V35" s="140"/>
      <c r="W35" s="141"/>
      <c r="X35" s="140"/>
      <c r="Y35" s="141"/>
      <c r="Z35" s="140"/>
    </row>
    <row r="36" spans="1:55" s="108" customFormat="1" ht="12" x14ac:dyDescent="0.25">
      <c r="B36" s="380" t="s">
        <v>599</v>
      </c>
      <c r="C36" s="143"/>
      <c r="D36" s="385">
        <f>SUM(D37:D44)</f>
        <v>1267527.95</v>
      </c>
      <c r="E36" s="143"/>
      <c r="F36" s="385">
        <f>SUM(F37:F44)</f>
        <v>0</v>
      </c>
      <c r="G36" s="143"/>
      <c r="H36" s="385">
        <f>SUM(H37:H44)</f>
        <v>0</v>
      </c>
      <c r="I36" s="143"/>
      <c r="J36" s="385">
        <f>SUM(J37:J44)</f>
        <v>0</v>
      </c>
      <c r="K36" s="143"/>
      <c r="L36" s="385">
        <f>SUM(L37:L44)</f>
        <v>0</v>
      </c>
      <c r="M36" s="143"/>
      <c r="N36" s="385">
        <f>SUM(N37:N44)</f>
        <v>0</v>
      </c>
      <c r="O36" s="143"/>
      <c r="P36" s="385">
        <f>SUM(P37:P44)</f>
        <v>0</v>
      </c>
      <c r="Q36" s="143"/>
      <c r="R36" s="385">
        <f>SUM(R37:R44)</f>
        <v>0</v>
      </c>
      <c r="S36" s="143"/>
      <c r="T36" s="385">
        <f>SUM(T37:T44)</f>
        <v>0</v>
      </c>
      <c r="U36" s="143"/>
      <c r="V36" s="385">
        <f>SUM(V37:V44)</f>
        <v>0</v>
      </c>
      <c r="W36" s="143"/>
      <c r="X36" s="385">
        <f>SUM(X37:X44)</f>
        <v>0</v>
      </c>
      <c r="Y36" s="143"/>
      <c r="Z36" s="385">
        <f>SUM(Z37:Z44)</f>
        <v>0</v>
      </c>
      <c r="AA36" s="387">
        <v>0</v>
      </c>
      <c r="AB36" s="387">
        <v>0</v>
      </c>
      <c r="AC36" s="387">
        <v>0</v>
      </c>
      <c r="AD36" s="387">
        <v>0</v>
      </c>
      <c r="AE36" s="387">
        <v>0</v>
      </c>
      <c r="AF36" s="387">
        <v>0</v>
      </c>
      <c r="AG36" s="387">
        <v>0</v>
      </c>
      <c r="AH36" s="387">
        <v>0</v>
      </c>
      <c r="AI36" s="387"/>
      <c r="AJ36" s="387">
        <v>0</v>
      </c>
      <c r="AK36" s="387">
        <v>0</v>
      </c>
      <c r="AL36" s="387">
        <v>0</v>
      </c>
      <c r="AM36" s="387">
        <v>0</v>
      </c>
      <c r="AN36" s="387">
        <v>0</v>
      </c>
      <c r="AO36" s="386">
        <v>0</v>
      </c>
      <c r="AP36" s="387">
        <v>0</v>
      </c>
      <c r="AQ36" s="387">
        <v>0</v>
      </c>
      <c r="AR36" s="387">
        <v>0</v>
      </c>
      <c r="AS36" s="387">
        <v>0</v>
      </c>
      <c r="AT36" s="387">
        <v>0</v>
      </c>
      <c r="AU36" s="387">
        <v>0</v>
      </c>
      <c r="AV36" s="387">
        <v>0</v>
      </c>
      <c r="AW36" s="387">
        <v>0</v>
      </c>
      <c r="AX36" s="387">
        <v>0</v>
      </c>
      <c r="AY36" s="387">
        <v>0</v>
      </c>
      <c r="AZ36" s="387">
        <v>0</v>
      </c>
      <c r="BA36" s="387">
        <v>0</v>
      </c>
      <c r="BB36" s="386">
        <v>0</v>
      </c>
      <c r="BC36" s="387"/>
    </row>
    <row r="37" spans="1:55" s="108" customFormat="1" ht="12" x14ac:dyDescent="0.25">
      <c r="B37" s="142" t="s">
        <v>600</v>
      </c>
      <c r="C37" s="141"/>
      <c r="D37" s="140"/>
      <c r="E37" s="141"/>
      <c r="F37" s="140"/>
      <c r="G37" s="141"/>
      <c r="H37" s="140"/>
      <c r="I37" s="141"/>
      <c r="J37" s="140"/>
      <c r="K37" s="141"/>
      <c r="L37" s="140"/>
      <c r="M37" s="141"/>
      <c r="N37" s="140"/>
      <c r="O37" s="141"/>
      <c r="P37" s="140"/>
      <c r="Q37" s="141"/>
      <c r="R37" s="140"/>
      <c r="S37" s="141"/>
      <c r="T37" s="140"/>
      <c r="U37" s="141"/>
      <c r="V37" s="140"/>
      <c r="W37" s="141"/>
      <c r="X37" s="140"/>
      <c r="Y37" s="141"/>
      <c r="Z37" s="140"/>
      <c r="AA37" s="139"/>
      <c r="AO37" s="139"/>
      <c r="BB37" s="139"/>
    </row>
    <row r="38" spans="1:55" s="108" customFormat="1" ht="12" x14ac:dyDescent="0.25">
      <c r="A38" s="156">
        <v>0.25345000000000001</v>
      </c>
      <c r="B38" s="138" t="s">
        <v>601</v>
      </c>
      <c r="C38" s="116"/>
      <c r="D38" s="115">
        <v>70690.5</v>
      </c>
      <c r="E38" s="116"/>
      <c r="F38" s="115"/>
      <c r="G38" s="116"/>
      <c r="H38" s="115"/>
      <c r="I38" s="116"/>
      <c r="J38" s="115"/>
      <c r="K38" s="116"/>
      <c r="L38" s="115"/>
      <c r="M38" s="116"/>
      <c r="N38" s="115"/>
      <c r="O38" s="116"/>
      <c r="P38" s="115"/>
      <c r="Q38" s="116"/>
      <c r="R38" s="115"/>
      <c r="S38" s="116"/>
      <c r="T38" s="115"/>
      <c r="U38" s="116"/>
      <c r="V38" s="115"/>
      <c r="W38" s="116"/>
      <c r="X38" s="115"/>
      <c r="Y38" s="116"/>
      <c r="Z38" s="115"/>
      <c r="AA38" s="93">
        <f t="shared" ref="AA38:AH38" si="38">AA36*$A$38</f>
        <v>0</v>
      </c>
      <c r="AB38" s="93">
        <f t="shared" si="38"/>
        <v>0</v>
      </c>
      <c r="AC38" s="93">
        <f t="shared" si="38"/>
        <v>0</v>
      </c>
      <c r="AD38" s="93">
        <f t="shared" si="38"/>
        <v>0</v>
      </c>
      <c r="AE38" s="93">
        <f t="shared" si="38"/>
        <v>0</v>
      </c>
      <c r="AF38" s="93">
        <f t="shared" si="38"/>
        <v>0</v>
      </c>
      <c r="AG38" s="93">
        <f t="shared" si="38"/>
        <v>0</v>
      </c>
      <c r="AH38" s="93">
        <f t="shared" si="38"/>
        <v>0</v>
      </c>
      <c r="AI38" s="93"/>
      <c r="AJ38" s="93">
        <f>AJ36*$A$38</f>
        <v>0</v>
      </c>
      <c r="AK38" s="93">
        <f>AK36*$A$38</f>
        <v>0</v>
      </c>
      <c r="AL38" s="93">
        <f>AL36*$A$38</f>
        <v>0</v>
      </c>
      <c r="AM38" s="93">
        <f>AM36*$A$38</f>
        <v>0</v>
      </c>
      <c r="AN38" s="93">
        <f>AN36*$A$38</f>
        <v>0</v>
      </c>
      <c r="AO38" s="114">
        <f t="shared" ref="AO38:AO44" si="39">SUM(AB38:AN38)</f>
        <v>0</v>
      </c>
      <c r="AP38" s="93">
        <f t="shared" ref="AP38:BA38" si="40">AP36*$A$38</f>
        <v>0</v>
      </c>
      <c r="AQ38" s="93">
        <f t="shared" si="40"/>
        <v>0</v>
      </c>
      <c r="AR38" s="93">
        <f t="shared" si="40"/>
        <v>0</v>
      </c>
      <c r="AS38" s="93">
        <f t="shared" si="40"/>
        <v>0</v>
      </c>
      <c r="AT38" s="93">
        <f t="shared" si="40"/>
        <v>0</v>
      </c>
      <c r="AU38" s="93">
        <f t="shared" si="40"/>
        <v>0</v>
      </c>
      <c r="AV38" s="93">
        <f t="shared" si="40"/>
        <v>0</v>
      </c>
      <c r="AW38" s="93">
        <f t="shared" si="40"/>
        <v>0</v>
      </c>
      <c r="AX38" s="93">
        <f t="shared" si="40"/>
        <v>0</v>
      </c>
      <c r="AY38" s="93">
        <f t="shared" si="40"/>
        <v>0</v>
      </c>
      <c r="AZ38" s="93">
        <f t="shared" si="40"/>
        <v>0</v>
      </c>
      <c r="BA38" s="93">
        <f t="shared" si="40"/>
        <v>0</v>
      </c>
      <c r="BB38" s="114">
        <f t="shared" ref="BB38:BB44" si="41">SUM(AP38:BA38)</f>
        <v>0</v>
      </c>
      <c r="BC38" s="93"/>
    </row>
    <row r="39" spans="1:55" s="108" customFormat="1" ht="12" x14ac:dyDescent="0.25">
      <c r="A39" s="156">
        <v>0</v>
      </c>
      <c r="B39" s="138" t="s">
        <v>602</v>
      </c>
      <c r="C39" s="116"/>
      <c r="D39" s="115"/>
      <c r="E39" s="116"/>
      <c r="F39" s="115"/>
      <c r="G39" s="116"/>
      <c r="H39" s="115"/>
      <c r="I39" s="116"/>
      <c r="J39" s="115"/>
      <c r="K39" s="116"/>
      <c r="L39" s="115"/>
      <c r="M39" s="116"/>
      <c r="N39" s="115"/>
      <c r="O39" s="116"/>
      <c r="P39" s="115"/>
      <c r="Q39" s="116"/>
      <c r="R39" s="115"/>
      <c r="S39" s="116"/>
      <c r="T39" s="115"/>
      <c r="U39" s="116"/>
      <c r="V39" s="115"/>
      <c r="W39" s="116"/>
      <c r="X39" s="115"/>
      <c r="Y39" s="116"/>
      <c r="Z39" s="115"/>
      <c r="AA39" s="93">
        <f t="shared" ref="AA39:AH39" si="42">AA36*$A$39</f>
        <v>0</v>
      </c>
      <c r="AB39" s="93">
        <f t="shared" si="42"/>
        <v>0</v>
      </c>
      <c r="AC39" s="93">
        <f t="shared" si="42"/>
        <v>0</v>
      </c>
      <c r="AD39" s="93">
        <f t="shared" si="42"/>
        <v>0</v>
      </c>
      <c r="AE39" s="93">
        <f t="shared" si="42"/>
        <v>0</v>
      </c>
      <c r="AF39" s="93">
        <f t="shared" si="42"/>
        <v>0</v>
      </c>
      <c r="AG39" s="93">
        <f t="shared" si="42"/>
        <v>0</v>
      </c>
      <c r="AH39" s="93">
        <f t="shared" si="42"/>
        <v>0</v>
      </c>
      <c r="AI39" s="93"/>
      <c r="AJ39" s="93">
        <f>AJ36*$A$39</f>
        <v>0</v>
      </c>
      <c r="AK39" s="93">
        <f>AK36*$A$39</f>
        <v>0</v>
      </c>
      <c r="AL39" s="93">
        <f>AL36*$A$39</f>
        <v>0</v>
      </c>
      <c r="AM39" s="93">
        <f>AM36*$A$39</f>
        <v>0</v>
      </c>
      <c r="AN39" s="93">
        <f>AN36*$A$39</f>
        <v>0</v>
      </c>
      <c r="AO39" s="114">
        <f t="shared" si="39"/>
        <v>0</v>
      </c>
      <c r="AP39" s="93">
        <f t="shared" ref="AP39:BA39" si="43">AP36*$A$39</f>
        <v>0</v>
      </c>
      <c r="AQ39" s="93">
        <f t="shared" si="43"/>
        <v>0</v>
      </c>
      <c r="AR39" s="93">
        <f t="shared" si="43"/>
        <v>0</v>
      </c>
      <c r="AS39" s="93">
        <f t="shared" si="43"/>
        <v>0</v>
      </c>
      <c r="AT39" s="93">
        <f t="shared" si="43"/>
        <v>0</v>
      </c>
      <c r="AU39" s="93">
        <f t="shared" si="43"/>
        <v>0</v>
      </c>
      <c r="AV39" s="93">
        <f t="shared" si="43"/>
        <v>0</v>
      </c>
      <c r="AW39" s="93">
        <f t="shared" si="43"/>
        <v>0</v>
      </c>
      <c r="AX39" s="93">
        <f t="shared" si="43"/>
        <v>0</v>
      </c>
      <c r="AY39" s="93">
        <f t="shared" si="43"/>
        <v>0</v>
      </c>
      <c r="AZ39" s="93">
        <f t="shared" si="43"/>
        <v>0</v>
      </c>
      <c r="BA39" s="93">
        <f t="shared" si="43"/>
        <v>0</v>
      </c>
      <c r="BB39" s="114">
        <f t="shared" si="41"/>
        <v>0</v>
      </c>
      <c r="BC39" s="93"/>
    </row>
    <row r="40" spans="1:55" s="108" customFormat="1" ht="12" x14ac:dyDescent="0.25">
      <c r="A40" s="156">
        <f>71.058%+0.015%</f>
        <v>0.71073000000000008</v>
      </c>
      <c r="B40" s="138" t="s">
        <v>603</v>
      </c>
      <c r="C40" s="116"/>
      <c r="D40" s="115">
        <v>1196837.45</v>
      </c>
      <c r="E40" s="116"/>
      <c r="F40" s="115"/>
      <c r="G40" s="116"/>
      <c r="H40" s="115"/>
      <c r="I40" s="116"/>
      <c r="J40" s="115"/>
      <c r="K40" s="116"/>
      <c r="L40" s="115"/>
      <c r="M40" s="116"/>
      <c r="N40" s="115"/>
      <c r="O40" s="116"/>
      <c r="P40" s="115"/>
      <c r="Q40" s="116"/>
      <c r="R40" s="115"/>
      <c r="S40" s="116"/>
      <c r="T40" s="115"/>
      <c r="U40" s="116"/>
      <c r="V40" s="115"/>
      <c r="W40" s="116"/>
      <c r="X40" s="115"/>
      <c r="Y40" s="116"/>
      <c r="Z40" s="115"/>
      <c r="AA40" s="93">
        <f t="shared" ref="AA40:AH40" si="44">AA36*$A$40</f>
        <v>0</v>
      </c>
      <c r="AB40" s="93">
        <f t="shared" si="44"/>
        <v>0</v>
      </c>
      <c r="AC40" s="93">
        <f t="shared" si="44"/>
        <v>0</v>
      </c>
      <c r="AD40" s="93">
        <f t="shared" si="44"/>
        <v>0</v>
      </c>
      <c r="AE40" s="93">
        <f t="shared" si="44"/>
        <v>0</v>
      </c>
      <c r="AF40" s="93">
        <f t="shared" si="44"/>
        <v>0</v>
      </c>
      <c r="AG40" s="93">
        <f t="shared" si="44"/>
        <v>0</v>
      </c>
      <c r="AH40" s="93">
        <f t="shared" si="44"/>
        <v>0</v>
      </c>
      <c r="AI40" s="93"/>
      <c r="AJ40" s="93">
        <f>AJ36*$A$40</f>
        <v>0</v>
      </c>
      <c r="AK40" s="93">
        <f>AK36*$A$40</f>
        <v>0</v>
      </c>
      <c r="AL40" s="93">
        <f>AL36*$A$40</f>
        <v>0</v>
      </c>
      <c r="AM40" s="93">
        <f>AM36*$A$40</f>
        <v>0</v>
      </c>
      <c r="AN40" s="93">
        <f>AN36*$A$40</f>
        <v>0</v>
      </c>
      <c r="AO40" s="114">
        <f t="shared" si="39"/>
        <v>0</v>
      </c>
      <c r="AP40" s="93">
        <f t="shared" ref="AP40:BA40" si="45">AP36*$A$40</f>
        <v>0</v>
      </c>
      <c r="AQ40" s="93">
        <f t="shared" si="45"/>
        <v>0</v>
      </c>
      <c r="AR40" s="93">
        <f t="shared" si="45"/>
        <v>0</v>
      </c>
      <c r="AS40" s="93">
        <f t="shared" si="45"/>
        <v>0</v>
      </c>
      <c r="AT40" s="93">
        <f t="shared" si="45"/>
        <v>0</v>
      </c>
      <c r="AU40" s="93">
        <f t="shared" si="45"/>
        <v>0</v>
      </c>
      <c r="AV40" s="93">
        <f t="shared" si="45"/>
        <v>0</v>
      </c>
      <c r="AW40" s="93">
        <f t="shared" si="45"/>
        <v>0</v>
      </c>
      <c r="AX40" s="93">
        <f t="shared" si="45"/>
        <v>0</v>
      </c>
      <c r="AY40" s="93">
        <f t="shared" si="45"/>
        <v>0</v>
      </c>
      <c r="AZ40" s="93">
        <f t="shared" si="45"/>
        <v>0</v>
      </c>
      <c r="BA40" s="93">
        <f t="shared" si="45"/>
        <v>0</v>
      </c>
      <c r="BB40" s="114">
        <f t="shared" si="41"/>
        <v>0</v>
      </c>
      <c r="BC40" s="93"/>
    </row>
    <row r="41" spans="1:55" s="108" customFormat="1" ht="12" x14ac:dyDescent="0.25">
      <c r="A41" s="156">
        <v>0</v>
      </c>
      <c r="B41" s="138" t="s">
        <v>604</v>
      </c>
      <c r="C41" s="116"/>
      <c r="D41" s="115"/>
      <c r="E41" s="116"/>
      <c r="F41" s="115"/>
      <c r="G41" s="116"/>
      <c r="H41" s="115"/>
      <c r="I41" s="116"/>
      <c r="J41" s="115"/>
      <c r="K41" s="116"/>
      <c r="L41" s="115"/>
      <c r="M41" s="116"/>
      <c r="N41" s="115"/>
      <c r="O41" s="116"/>
      <c r="P41" s="115"/>
      <c r="Q41" s="116"/>
      <c r="R41" s="115"/>
      <c r="S41" s="116"/>
      <c r="T41" s="115"/>
      <c r="U41" s="116"/>
      <c r="V41" s="115"/>
      <c r="W41" s="116"/>
      <c r="X41" s="115"/>
      <c r="Y41" s="116"/>
      <c r="Z41" s="115"/>
      <c r="AA41" s="93">
        <f t="shared" ref="AA41:AH41" si="46">AA36*$A$41</f>
        <v>0</v>
      </c>
      <c r="AB41" s="93">
        <f t="shared" si="46"/>
        <v>0</v>
      </c>
      <c r="AC41" s="93">
        <f t="shared" si="46"/>
        <v>0</v>
      </c>
      <c r="AD41" s="93">
        <f t="shared" si="46"/>
        <v>0</v>
      </c>
      <c r="AE41" s="93">
        <f t="shared" si="46"/>
        <v>0</v>
      </c>
      <c r="AF41" s="93">
        <f t="shared" si="46"/>
        <v>0</v>
      </c>
      <c r="AG41" s="93">
        <f t="shared" si="46"/>
        <v>0</v>
      </c>
      <c r="AH41" s="93">
        <f t="shared" si="46"/>
        <v>0</v>
      </c>
      <c r="AI41" s="93"/>
      <c r="AJ41" s="93">
        <f>AJ36*$A$41</f>
        <v>0</v>
      </c>
      <c r="AK41" s="93">
        <f>AK36*$A$41</f>
        <v>0</v>
      </c>
      <c r="AL41" s="93">
        <f>AL36*$A$41</f>
        <v>0</v>
      </c>
      <c r="AM41" s="93">
        <f>AM36*$A$41</f>
        <v>0</v>
      </c>
      <c r="AN41" s="93">
        <f>AN36*$A$41</f>
        <v>0</v>
      </c>
      <c r="AO41" s="114">
        <f t="shared" si="39"/>
        <v>0</v>
      </c>
      <c r="AP41" s="93">
        <f t="shared" ref="AP41:BA41" si="47">AP36*$A$41</f>
        <v>0</v>
      </c>
      <c r="AQ41" s="93">
        <f t="shared" si="47"/>
        <v>0</v>
      </c>
      <c r="AR41" s="93">
        <f t="shared" si="47"/>
        <v>0</v>
      </c>
      <c r="AS41" s="93">
        <f t="shared" si="47"/>
        <v>0</v>
      </c>
      <c r="AT41" s="93">
        <f t="shared" si="47"/>
        <v>0</v>
      </c>
      <c r="AU41" s="93">
        <f t="shared" si="47"/>
        <v>0</v>
      </c>
      <c r="AV41" s="93">
        <f t="shared" si="47"/>
        <v>0</v>
      </c>
      <c r="AW41" s="93">
        <f t="shared" si="47"/>
        <v>0</v>
      </c>
      <c r="AX41" s="93">
        <f t="shared" si="47"/>
        <v>0</v>
      </c>
      <c r="AY41" s="93">
        <f t="shared" si="47"/>
        <v>0</v>
      </c>
      <c r="AZ41" s="93">
        <f t="shared" si="47"/>
        <v>0</v>
      </c>
      <c r="BA41" s="93">
        <f t="shared" si="47"/>
        <v>0</v>
      </c>
      <c r="BB41" s="114">
        <f t="shared" si="41"/>
        <v>0</v>
      </c>
      <c r="BC41" s="93"/>
    </row>
    <row r="42" spans="1:55" s="108" customFormat="1" ht="12" x14ac:dyDescent="0.25">
      <c r="A42" s="156">
        <v>1.438E-2</v>
      </c>
      <c r="B42" s="138" t="s">
        <v>605</v>
      </c>
      <c r="C42" s="116"/>
      <c r="D42" s="115"/>
      <c r="E42" s="116"/>
      <c r="F42" s="115"/>
      <c r="G42" s="116"/>
      <c r="H42" s="115"/>
      <c r="I42" s="116"/>
      <c r="J42" s="115"/>
      <c r="K42" s="116"/>
      <c r="L42" s="115"/>
      <c r="M42" s="116"/>
      <c r="N42" s="115"/>
      <c r="O42" s="116"/>
      <c r="P42" s="115"/>
      <c r="Q42" s="116"/>
      <c r="R42" s="115"/>
      <c r="S42" s="116"/>
      <c r="T42" s="115"/>
      <c r="U42" s="116"/>
      <c r="V42" s="115"/>
      <c r="W42" s="116"/>
      <c r="X42" s="115"/>
      <c r="Y42" s="116"/>
      <c r="Z42" s="115"/>
      <c r="AA42" s="93">
        <f t="shared" ref="AA42:AH42" si="48">AA36*$A$42</f>
        <v>0</v>
      </c>
      <c r="AB42" s="93">
        <f t="shared" si="48"/>
        <v>0</v>
      </c>
      <c r="AC42" s="93">
        <f t="shared" si="48"/>
        <v>0</v>
      </c>
      <c r="AD42" s="93">
        <f t="shared" si="48"/>
        <v>0</v>
      </c>
      <c r="AE42" s="93">
        <f t="shared" si="48"/>
        <v>0</v>
      </c>
      <c r="AF42" s="93">
        <f t="shared" si="48"/>
        <v>0</v>
      </c>
      <c r="AG42" s="93">
        <f t="shared" si="48"/>
        <v>0</v>
      </c>
      <c r="AH42" s="93">
        <f t="shared" si="48"/>
        <v>0</v>
      </c>
      <c r="AI42" s="93"/>
      <c r="AJ42" s="93">
        <f>AJ36*$A$42</f>
        <v>0</v>
      </c>
      <c r="AK42" s="93">
        <f>AK36*$A$42</f>
        <v>0</v>
      </c>
      <c r="AL42" s="93">
        <f>AL36*$A$42</f>
        <v>0</v>
      </c>
      <c r="AM42" s="93">
        <f>AM36*$A$42</f>
        <v>0</v>
      </c>
      <c r="AN42" s="93">
        <f>AN36*$A$42</f>
        <v>0</v>
      </c>
      <c r="AO42" s="114">
        <f t="shared" si="39"/>
        <v>0</v>
      </c>
      <c r="AP42" s="93">
        <f t="shared" ref="AP42:BA42" si="49">AP36*$A$42</f>
        <v>0</v>
      </c>
      <c r="AQ42" s="93">
        <f t="shared" si="49"/>
        <v>0</v>
      </c>
      <c r="AR42" s="93">
        <f t="shared" si="49"/>
        <v>0</v>
      </c>
      <c r="AS42" s="93">
        <f t="shared" si="49"/>
        <v>0</v>
      </c>
      <c r="AT42" s="93">
        <f t="shared" si="49"/>
        <v>0</v>
      </c>
      <c r="AU42" s="93">
        <f t="shared" si="49"/>
        <v>0</v>
      </c>
      <c r="AV42" s="93">
        <f t="shared" si="49"/>
        <v>0</v>
      </c>
      <c r="AW42" s="93">
        <f t="shared" si="49"/>
        <v>0</v>
      </c>
      <c r="AX42" s="93">
        <f t="shared" si="49"/>
        <v>0</v>
      </c>
      <c r="AY42" s="93">
        <f t="shared" si="49"/>
        <v>0</v>
      </c>
      <c r="AZ42" s="93">
        <f t="shared" si="49"/>
        <v>0</v>
      </c>
      <c r="BA42" s="93">
        <f t="shared" si="49"/>
        <v>0</v>
      </c>
      <c r="BB42" s="114">
        <f t="shared" si="41"/>
        <v>0</v>
      </c>
      <c r="BC42" s="93"/>
    </row>
    <row r="43" spans="1:55" s="108" customFormat="1" ht="12" x14ac:dyDescent="0.25">
      <c r="A43" s="156">
        <v>6.3000000000000003E-4</v>
      </c>
      <c r="B43" s="138" t="s">
        <v>606</v>
      </c>
      <c r="C43" s="116"/>
      <c r="D43" s="115"/>
      <c r="E43" s="116"/>
      <c r="F43" s="115"/>
      <c r="G43" s="116"/>
      <c r="H43" s="115"/>
      <c r="I43" s="116"/>
      <c r="J43" s="115"/>
      <c r="K43" s="116"/>
      <c r="L43" s="115"/>
      <c r="M43" s="116"/>
      <c r="N43" s="115"/>
      <c r="O43" s="116"/>
      <c r="P43" s="115"/>
      <c r="Q43" s="116"/>
      <c r="R43" s="115"/>
      <c r="S43" s="116"/>
      <c r="T43" s="115"/>
      <c r="U43" s="116"/>
      <c r="V43" s="115"/>
      <c r="W43" s="116"/>
      <c r="X43" s="115"/>
      <c r="Y43" s="116"/>
      <c r="Z43" s="115"/>
      <c r="AA43" s="93">
        <f t="shared" ref="AA43:AH43" si="50">AA36*$A$43</f>
        <v>0</v>
      </c>
      <c r="AB43" s="93">
        <f t="shared" si="50"/>
        <v>0</v>
      </c>
      <c r="AC43" s="93">
        <f t="shared" si="50"/>
        <v>0</v>
      </c>
      <c r="AD43" s="93">
        <f t="shared" si="50"/>
        <v>0</v>
      </c>
      <c r="AE43" s="93">
        <f t="shared" si="50"/>
        <v>0</v>
      </c>
      <c r="AF43" s="93">
        <f t="shared" si="50"/>
        <v>0</v>
      </c>
      <c r="AG43" s="93">
        <f t="shared" si="50"/>
        <v>0</v>
      </c>
      <c r="AH43" s="93">
        <f t="shared" si="50"/>
        <v>0</v>
      </c>
      <c r="AI43" s="93"/>
      <c r="AJ43" s="93">
        <f>AJ36*$A$43</f>
        <v>0</v>
      </c>
      <c r="AK43" s="93">
        <f>AK36*$A$43</f>
        <v>0</v>
      </c>
      <c r="AL43" s="93">
        <f>AL36*$A$43</f>
        <v>0</v>
      </c>
      <c r="AM43" s="93">
        <f>AM36*$A$43</f>
        <v>0</v>
      </c>
      <c r="AN43" s="93">
        <f>AN36*$A$43</f>
        <v>0</v>
      </c>
      <c r="AO43" s="114">
        <f t="shared" si="39"/>
        <v>0</v>
      </c>
      <c r="AP43" s="93">
        <f t="shared" ref="AP43:BA43" si="51">AP36*$A$43</f>
        <v>0</v>
      </c>
      <c r="AQ43" s="93">
        <f t="shared" si="51"/>
        <v>0</v>
      </c>
      <c r="AR43" s="93">
        <f t="shared" si="51"/>
        <v>0</v>
      </c>
      <c r="AS43" s="93">
        <f t="shared" si="51"/>
        <v>0</v>
      </c>
      <c r="AT43" s="93">
        <f t="shared" si="51"/>
        <v>0</v>
      </c>
      <c r="AU43" s="93">
        <f t="shared" si="51"/>
        <v>0</v>
      </c>
      <c r="AV43" s="93">
        <f t="shared" si="51"/>
        <v>0</v>
      </c>
      <c r="AW43" s="93">
        <f t="shared" si="51"/>
        <v>0</v>
      </c>
      <c r="AX43" s="93">
        <f t="shared" si="51"/>
        <v>0</v>
      </c>
      <c r="AY43" s="93">
        <f t="shared" si="51"/>
        <v>0</v>
      </c>
      <c r="AZ43" s="93">
        <f t="shared" si="51"/>
        <v>0</v>
      </c>
      <c r="BA43" s="93">
        <f t="shared" si="51"/>
        <v>0</v>
      </c>
      <c r="BB43" s="114">
        <f t="shared" si="41"/>
        <v>0</v>
      </c>
      <c r="BC43" s="93"/>
    </row>
    <row r="44" spans="1:55" s="108" customFormat="1" ht="12" x14ac:dyDescent="0.25">
      <c r="A44" s="156">
        <v>2.0809999999999999E-2</v>
      </c>
      <c r="B44" s="138" t="s">
        <v>607</v>
      </c>
      <c r="C44" s="116"/>
      <c r="D44" s="115"/>
      <c r="E44" s="116"/>
      <c r="F44" s="115"/>
      <c r="G44" s="116"/>
      <c r="H44" s="115"/>
      <c r="I44" s="116"/>
      <c r="J44" s="115"/>
      <c r="K44" s="116"/>
      <c r="L44" s="115"/>
      <c r="M44" s="116"/>
      <c r="N44" s="115"/>
      <c r="O44" s="116"/>
      <c r="P44" s="115"/>
      <c r="Q44" s="116"/>
      <c r="R44" s="115"/>
      <c r="S44" s="116"/>
      <c r="T44" s="115"/>
      <c r="U44" s="116"/>
      <c r="V44" s="115"/>
      <c r="W44" s="116"/>
      <c r="X44" s="115"/>
      <c r="Y44" s="116"/>
      <c r="Z44" s="115"/>
      <c r="AA44" s="93">
        <f t="shared" ref="AA44:AH44" si="52">AA36*$A$44</f>
        <v>0</v>
      </c>
      <c r="AB44" s="93">
        <f t="shared" si="52"/>
        <v>0</v>
      </c>
      <c r="AC44" s="93">
        <f t="shared" si="52"/>
        <v>0</v>
      </c>
      <c r="AD44" s="93">
        <f t="shared" si="52"/>
        <v>0</v>
      </c>
      <c r="AE44" s="93">
        <f t="shared" si="52"/>
        <v>0</v>
      </c>
      <c r="AF44" s="93">
        <f t="shared" si="52"/>
        <v>0</v>
      </c>
      <c r="AG44" s="93">
        <f t="shared" si="52"/>
        <v>0</v>
      </c>
      <c r="AH44" s="93">
        <f t="shared" si="52"/>
        <v>0</v>
      </c>
      <c r="AI44" s="93"/>
      <c r="AJ44" s="93">
        <f>AJ36*$A$44</f>
        <v>0</v>
      </c>
      <c r="AK44" s="93">
        <f>AK36*$A$44</f>
        <v>0</v>
      </c>
      <c r="AL44" s="93">
        <f>AL36*$A$44</f>
        <v>0</v>
      </c>
      <c r="AM44" s="93">
        <f>AM36*$A$44</f>
        <v>0</v>
      </c>
      <c r="AN44" s="93">
        <f>AN36*$A$44</f>
        <v>0</v>
      </c>
      <c r="AO44" s="114">
        <f t="shared" si="39"/>
        <v>0</v>
      </c>
      <c r="AP44" s="93">
        <f t="shared" ref="AP44:BA44" si="53">AP36*$A$44</f>
        <v>0</v>
      </c>
      <c r="AQ44" s="93">
        <f t="shared" si="53"/>
        <v>0</v>
      </c>
      <c r="AR44" s="93">
        <f t="shared" si="53"/>
        <v>0</v>
      </c>
      <c r="AS44" s="93">
        <f t="shared" si="53"/>
        <v>0</v>
      </c>
      <c r="AT44" s="93">
        <f t="shared" si="53"/>
        <v>0</v>
      </c>
      <c r="AU44" s="93">
        <f t="shared" si="53"/>
        <v>0</v>
      </c>
      <c r="AV44" s="93">
        <f t="shared" si="53"/>
        <v>0</v>
      </c>
      <c r="AW44" s="93">
        <f t="shared" si="53"/>
        <v>0</v>
      </c>
      <c r="AX44" s="93">
        <f t="shared" si="53"/>
        <v>0</v>
      </c>
      <c r="AY44" s="93">
        <f t="shared" si="53"/>
        <v>0</v>
      </c>
      <c r="AZ44" s="93">
        <f t="shared" si="53"/>
        <v>0</v>
      </c>
      <c r="BA44" s="93">
        <f t="shared" si="53"/>
        <v>0</v>
      </c>
      <c r="BB44" s="114">
        <f t="shared" si="41"/>
        <v>0</v>
      </c>
      <c r="BC44" s="93"/>
    </row>
    <row r="45" spans="1:55" s="108" customFormat="1" ht="12" x14ac:dyDescent="0.25">
      <c r="B45" s="137" t="s">
        <v>608</v>
      </c>
      <c r="C45" s="136"/>
      <c r="D45" s="135"/>
      <c r="E45" s="136"/>
      <c r="F45" s="135"/>
      <c r="G45" s="136"/>
      <c r="H45" s="135"/>
      <c r="I45" s="136"/>
      <c r="J45" s="135"/>
      <c r="K45" s="136"/>
      <c r="L45" s="135"/>
      <c r="M45" s="136"/>
      <c r="N45" s="135"/>
      <c r="O45" s="136"/>
      <c r="P45" s="135"/>
      <c r="Q45" s="136"/>
      <c r="R45" s="135"/>
      <c r="S45" s="136"/>
      <c r="T45" s="135"/>
      <c r="U45" s="136"/>
      <c r="V45" s="135"/>
      <c r="W45" s="136"/>
      <c r="X45" s="135"/>
      <c r="Y45" s="136"/>
      <c r="Z45" s="135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55"/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55"/>
      <c r="BC45" s="132"/>
    </row>
    <row r="46" spans="1:55" s="108" customFormat="1" ht="12" x14ac:dyDescent="0.25">
      <c r="A46" s="125">
        <v>0</v>
      </c>
      <c r="B46" s="131" t="s">
        <v>609</v>
      </c>
      <c r="C46" s="130">
        <f>C36*$A$46</f>
        <v>0</v>
      </c>
      <c r="D46" s="129"/>
      <c r="E46" s="130">
        <f>E36*$A$46</f>
        <v>0</v>
      </c>
      <c r="F46" s="129"/>
      <c r="G46" s="130">
        <f>G36*$A$46</f>
        <v>0</v>
      </c>
      <c r="H46" s="129"/>
      <c r="I46" s="130">
        <f>I36*$A$46</f>
        <v>0</v>
      </c>
      <c r="J46" s="129"/>
      <c r="K46" s="130">
        <f>K36*$A$46</f>
        <v>0</v>
      </c>
      <c r="L46" s="129"/>
      <c r="M46" s="130">
        <f>M36*$A$46</f>
        <v>0</v>
      </c>
      <c r="N46" s="129"/>
      <c r="O46" s="130">
        <f>O36*$A$46</f>
        <v>0</v>
      </c>
      <c r="P46" s="129"/>
      <c r="Q46" s="130">
        <f>Q36*$A$46</f>
        <v>0</v>
      </c>
      <c r="R46" s="129"/>
      <c r="S46" s="130">
        <f>S36*$A$46</f>
        <v>0</v>
      </c>
      <c r="T46" s="129"/>
      <c r="U46" s="130">
        <f>U36*$A$46</f>
        <v>0</v>
      </c>
      <c r="V46" s="129"/>
      <c r="W46" s="130">
        <f>W36*$A$46</f>
        <v>0</v>
      </c>
      <c r="X46" s="129"/>
      <c r="Y46" s="130">
        <f>Y36*$A$46</f>
        <v>0</v>
      </c>
      <c r="Z46" s="129"/>
      <c r="AA46" s="126">
        <f t="shared" ref="AA46:AH46" si="54">AA36*$A$46</f>
        <v>0</v>
      </c>
      <c r="AB46" s="126">
        <f t="shared" si="54"/>
        <v>0</v>
      </c>
      <c r="AC46" s="126">
        <f t="shared" si="54"/>
        <v>0</v>
      </c>
      <c r="AD46" s="126">
        <f t="shared" si="54"/>
        <v>0</v>
      </c>
      <c r="AE46" s="126">
        <f t="shared" si="54"/>
        <v>0</v>
      </c>
      <c r="AF46" s="126">
        <f t="shared" si="54"/>
        <v>0</v>
      </c>
      <c r="AG46" s="126">
        <f t="shared" si="54"/>
        <v>0</v>
      </c>
      <c r="AH46" s="126">
        <f t="shared" si="54"/>
        <v>0</v>
      </c>
      <c r="AI46" s="126"/>
      <c r="AJ46" s="126">
        <f>AJ36*$A$46</f>
        <v>0</v>
      </c>
      <c r="AK46" s="126">
        <f>AK36*$A$46</f>
        <v>0</v>
      </c>
      <c r="AL46" s="126">
        <f>AL36*$A$46</f>
        <v>0</v>
      </c>
      <c r="AM46" s="126">
        <f>AM36*$A$46</f>
        <v>0</v>
      </c>
      <c r="AN46" s="126">
        <f>AN36*$A$46</f>
        <v>0</v>
      </c>
      <c r="AO46" s="114">
        <f>SUM(AB46:AN46)</f>
        <v>0</v>
      </c>
      <c r="AP46" s="126">
        <f t="shared" ref="AP46:BA46" si="55">AP36*$A$46</f>
        <v>0</v>
      </c>
      <c r="AQ46" s="126">
        <f t="shared" si="55"/>
        <v>0</v>
      </c>
      <c r="AR46" s="126">
        <f t="shared" si="55"/>
        <v>0</v>
      </c>
      <c r="AS46" s="126">
        <f t="shared" si="55"/>
        <v>0</v>
      </c>
      <c r="AT46" s="126">
        <f t="shared" si="55"/>
        <v>0</v>
      </c>
      <c r="AU46" s="126">
        <f t="shared" si="55"/>
        <v>0</v>
      </c>
      <c r="AV46" s="126">
        <f t="shared" si="55"/>
        <v>0</v>
      </c>
      <c r="AW46" s="126">
        <f t="shared" si="55"/>
        <v>0</v>
      </c>
      <c r="AX46" s="126">
        <f t="shared" si="55"/>
        <v>0</v>
      </c>
      <c r="AY46" s="126">
        <f t="shared" si="55"/>
        <v>0</v>
      </c>
      <c r="AZ46" s="126">
        <f t="shared" si="55"/>
        <v>0</v>
      </c>
      <c r="BA46" s="126">
        <f t="shared" si="55"/>
        <v>0</v>
      </c>
      <c r="BB46" s="114">
        <f>SUM(AP46:BA46)</f>
        <v>0</v>
      </c>
      <c r="BC46" s="126"/>
    </row>
    <row r="47" spans="1:55" s="108" customFormat="1" ht="12" x14ac:dyDescent="0.25">
      <c r="A47" s="125">
        <v>2.4799999999999999E-2</v>
      </c>
      <c r="B47" s="124" t="s">
        <v>610</v>
      </c>
      <c r="C47" s="112">
        <f t="shared" ref="C47:AH47" si="56">C36*$A$47</f>
        <v>0</v>
      </c>
      <c r="D47" s="111">
        <f t="shared" si="56"/>
        <v>31434.693159999999</v>
      </c>
      <c r="E47" s="112">
        <f t="shared" si="56"/>
        <v>0</v>
      </c>
      <c r="F47" s="111">
        <f t="shared" si="56"/>
        <v>0</v>
      </c>
      <c r="G47" s="112">
        <f t="shared" si="56"/>
        <v>0</v>
      </c>
      <c r="H47" s="111">
        <f t="shared" si="56"/>
        <v>0</v>
      </c>
      <c r="I47" s="112">
        <f t="shared" si="56"/>
        <v>0</v>
      </c>
      <c r="J47" s="111">
        <f t="shared" si="56"/>
        <v>0</v>
      </c>
      <c r="K47" s="112">
        <f t="shared" si="56"/>
        <v>0</v>
      </c>
      <c r="L47" s="111">
        <f t="shared" si="56"/>
        <v>0</v>
      </c>
      <c r="M47" s="112">
        <f t="shared" si="56"/>
        <v>0</v>
      </c>
      <c r="N47" s="111">
        <f t="shared" si="56"/>
        <v>0</v>
      </c>
      <c r="O47" s="112">
        <f t="shared" si="56"/>
        <v>0</v>
      </c>
      <c r="P47" s="111">
        <f t="shared" si="56"/>
        <v>0</v>
      </c>
      <c r="Q47" s="112">
        <f t="shared" si="56"/>
        <v>0</v>
      </c>
      <c r="R47" s="111">
        <f t="shared" si="56"/>
        <v>0</v>
      </c>
      <c r="S47" s="112">
        <f t="shared" si="56"/>
        <v>0</v>
      </c>
      <c r="T47" s="111">
        <f t="shared" si="56"/>
        <v>0</v>
      </c>
      <c r="U47" s="112">
        <f t="shared" si="56"/>
        <v>0</v>
      </c>
      <c r="V47" s="111">
        <f t="shared" si="56"/>
        <v>0</v>
      </c>
      <c r="W47" s="112">
        <f t="shared" si="56"/>
        <v>0</v>
      </c>
      <c r="X47" s="111">
        <f t="shared" si="56"/>
        <v>0</v>
      </c>
      <c r="Y47" s="112">
        <f t="shared" si="56"/>
        <v>0</v>
      </c>
      <c r="Z47" s="111">
        <f t="shared" si="56"/>
        <v>0</v>
      </c>
      <c r="AA47" s="109">
        <f t="shared" si="56"/>
        <v>0</v>
      </c>
      <c r="AB47" s="109">
        <f t="shared" si="56"/>
        <v>0</v>
      </c>
      <c r="AC47" s="109">
        <f t="shared" si="56"/>
        <v>0</v>
      </c>
      <c r="AD47" s="109">
        <f t="shared" si="56"/>
        <v>0</v>
      </c>
      <c r="AE47" s="109">
        <f t="shared" si="56"/>
        <v>0</v>
      </c>
      <c r="AF47" s="109">
        <f t="shared" si="56"/>
        <v>0</v>
      </c>
      <c r="AG47" s="109">
        <f t="shared" si="56"/>
        <v>0</v>
      </c>
      <c r="AH47" s="109">
        <f t="shared" si="56"/>
        <v>0</v>
      </c>
      <c r="AI47" s="109"/>
      <c r="AJ47" s="109">
        <f>AJ36*$A$47</f>
        <v>0</v>
      </c>
      <c r="AK47" s="109">
        <f>AK36*$A$47</f>
        <v>0</v>
      </c>
      <c r="AL47" s="109">
        <f>AL36*$A$47</f>
        <v>0</v>
      </c>
      <c r="AM47" s="109">
        <f>AM36*$A$47</f>
        <v>0</v>
      </c>
      <c r="AN47" s="109">
        <f>AN36*$A$47</f>
        <v>0</v>
      </c>
      <c r="AO47" s="110">
        <f>SUM(AB47:AN47)</f>
        <v>0</v>
      </c>
      <c r="AP47" s="109">
        <f t="shared" ref="AP47:BA47" si="57">AP36*$A$47</f>
        <v>0</v>
      </c>
      <c r="AQ47" s="109">
        <f t="shared" si="57"/>
        <v>0</v>
      </c>
      <c r="AR47" s="109">
        <f t="shared" si="57"/>
        <v>0</v>
      </c>
      <c r="AS47" s="109">
        <f t="shared" si="57"/>
        <v>0</v>
      </c>
      <c r="AT47" s="109">
        <f t="shared" si="57"/>
        <v>0</v>
      </c>
      <c r="AU47" s="109">
        <f t="shared" si="57"/>
        <v>0</v>
      </c>
      <c r="AV47" s="109">
        <f t="shared" si="57"/>
        <v>0</v>
      </c>
      <c r="AW47" s="109">
        <f t="shared" si="57"/>
        <v>0</v>
      </c>
      <c r="AX47" s="109">
        <f t="shared" si="57"/>
        <v>0</v>
      </c>
      <c r="AY47" s="109">
        <f t="shared" si="57"/>
        <v>0</v>
      </c>
      <c r="AZ47" s="109">
        <f t="shared" si="57"/>
        <v>0</v>
      </c>
      <c r="BA47" s="109">
        <f t="shared" si="57"/>
        <v>0</v>
      </c>
      <c r="BB47" s="110">
        <f>SUM(AP47:BA47)</f>
        <v>0</v>
      </c>
      <c r="BC47" s="109"/>
    </row>
    <row r="48" spans="1:55" s="108" customFormat="1" ht="12" x14ac:dyDescent="0.25">
      <c r="B48" s="380" t="s">
        <v>611</v>
      </c>
      <c r="C48" s="123">
        <f t="shared" ref="C48:AH48" si="58">SUM(C46:C47)</f>
        <v>0</v>
      </c>
      <c r="D48" s="388">
        <f t="shared" si="58"/>
        <v>31434.693159999999</v>
      </c>
      <c r="E48" s="123">
        <f t="shared" si="58"/>
        <v>0</v>
      </c>
      <c r="F48" s="388">
        <f t="shared" si="58"/>
        <v>0</v>
      </c>
      <c r="G48" s="123">
        <f t="shared" si="58"/>
        <v>0</v>
      </c>
      <c r="H48" s="388">
        <f t="shared" si="58"/>
        <v>0</v>
      </c>
      <c r="I48" s="123">
        <f t="shared" si="58"/>
        <v>0</v>
      </c>
      <c r="J48" s="388">
        <f t="shared" si="58"/>
        <v>0</v>
      </c>
      <c r="K48" s="123">
        <f t="shared" si="58"/>
        <v>0</v>
      </c>
      <c r="L48" s="388">
        <f t="shared" si="58"/>
        <v>0</v>
      </c>
      <c r="M48" s="123">
        <f t="shared" si="58"/>
        <v>0</v>
      </c>
      <c r="N48" s="388">
        <f t="shared" si="58"/>
        <v>0</v>
      </c>
      <c r="O48" s="123">
        <f t="shared" si="58"/>
        <v>0</v>
      </c>
      <c r="P48" s="388">
        <f t="shared" si="58"/>
        <v>0</v>
      </c>
      <c r="Q48" s="123">
        <f t="shared" si="58"/>
        <v>0</v>
      </c>
      <c r="R48" s="388">
        <f t="shared" si="58"/>
        <v>0</v>
      </c>
      <c r="S48" s="123">
        <f t="shared" si="58"/>
        <v>0</v>
      </c>
      <c r="T48" s="388">
        <f t="shared" si="58"/>
        <v>0</v>
      </c>
      <c r="U48" s="123">
        <f t="shared" si="58"/>
        <v>0</v>
      </c>
      <c r="V48" s="388">
        <f t="shared" si="58"/>
        <v>0</v>
      </c>
      <c r="W48" s="123">
        <f t="shared" si="58"/>
        <v>0</v>
      </c>
      <c r="X48" s="388">
        <f t="shared" si="58"/>
        <v>0</v>
      </c>
      <c r="Y48" s="123">
        <f t="shared" si="58"/>
        <v>0</v>
      </c>
      <c r="Z48" s="388">
        <f t="shared" si="58"/>
        <v>0</v>
      </c>
      <c r="AA48" s="389">
        <f t="shared" si="58"/>
        <v>0</v>
      </c>
      <c r="AB48" s="389">
        <f t="shared" si="58"/>
        <v>0</v>
      </c>
      <c r="AC48" s="389">
        <f t="shared" si="58"/>
        <v>0</v>
      </c>
      <c r="AD48" s="389">
        <f t="shared" si="58"/>
        <v>0</v>
      </c>
      <c r="AE48" s="389">
        <f t="shared" si="58"/>
        <v>0</v>
      </c>
      <c r="AF48" s="389">
        <f t="shared" si="58"/>
        <v>0</v>
      </c>
      <c r="AG48" s="389">
        <f t="shared" si="58"/>
        <v>0</v>
      </c>
      <c r="AH48" s="389">
        <f t="shared" si="58"/>
        <v>0</v>
      </c>
      <c r="AI48" s="389"/>
      <c r="AJ48" s="389">
        <f>SUM(AJ46:AJ47)</f>
        <v>0</v>
      </c>
      <c r="AK48" s="389">
        <f>SUM(AK46:AK47)</f>
        <v>0</v>
      </c>
      <c r="AL48" s="389">
        <f>SUM(AL46:AL47)</f>
        <v>0</v>
      </c>
      <c r="AM48" s="389">
        <f>SUM(AM46:AM47)</f>
        <v>0</v>
      </c>
      <c r="AN48" s="389">
        <f>SUM(AN46:AN47)</f>
        <v>0</v>
      </c>
      <c r="AO48" s="390">
        <f>SUM(AB48:AN48)</f>
        <v>0</v>
      </c>
      <c r="AP48" s="389">
        <f t="shared" ref="AP48:BA48" si="59">SUM(AP46:AP47)</f>
        <v>0</v>
      </c>
      <c r="AQ48" s="389">
        <f t="shared" si="59"/>
        <v>0</v>
      </c>
      <c r="AR48" s="389">
        <f t="shared" si="59"/>
        <v>0</v>
      </c>
      <c r="AS48" s="389">
        <f t="shared" si="59"/>
        <v>0</v>
      </c>
      <c r="AT48" s="389">
        <f t="shared" si="59"/>
        <v>0</v>
      </c>
      <c r="AU48" s="389">
        <f t="shared" si="59"/>
        <v>0</v>
      </c>
      <c r="AV48" s="389">
        <f t="shared" si="59"/>
        <v>0</v>
      </c>
      <c r="AW48" s="389">
        <f t="shared" si="59"/>
        <v>0</v>
      </c>
      <c r="AX48" s="389">
        <f t="shared" si="59"/>
        <v>0</v>
      </c>
      <c r="AY48" s="389">
        <f t="shared" si="59"/>
        <v>0</v>
      </c>
      <c r="AZ48" s="389">
        <f t="shared" si="59"/>
        <v>0</v>
      </c>
      <c r="BA48" s="389">
        <f t="shared" si="59"/>
        <v>0</v>
      </c>
      <c r="BB48" s="390">
        <f>SUM(AP48:BA48)</f>
        <v>0</v>
      </c>
      <c r="BC48" s="389"/>
    </row>
    <row r="49" spans="1:55" s="108" customFormat="1" ht="12" x14ac:dyDescent="0.25">
      <c r="B49" s="167"/>
      <c r="C49" s="166"/>
      <c r="D49" s="165"/>
      <c r="E49" s="166"/>
      <c r="F49" s="165"/>
      <c r="G49" s="166"/>
      <c r="H49" s="165"/>
      <c r="I49" s="166"/>
      <c r="J49" s="165"/>
      <c r="K49" s="166"/>
      <c r="L49" s="165"/>
      <c r="M49" s="166"/>
      <c r="N49" s="165"/>
      <c r="O49" s="166"/>
      <c r="P49" s="165"/>
      <c r="Q49" s="166"/>
      <c r="R49" s="165"/>
      <c r="S49" s="166"/>
      <c r="T49" s="165"/>
      <c r="U49" s="166"/>
      <c r="V49" s="165"/>
      <c r="W49" s="166"/>
      <c r="X49" s="165"/>
      <c r="Y49" s="166"/>
      <c r="Z49" s="165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</row>
    <row r="50" spans="1:55" s="108" customFormat="1" ht="15.6" x14ac:dyDescent="0.3">
      <c r="B50" s="157" t="s">
        <v>614</v>
      </c>
      <c r="C50" s="141"/>
      <c r="D50" s="140"/>
      <c r="E50" s="141"/>
      <c r="F50" s="140"/>
      <c r="G50" s="141"/>
      <c r="H50" s="140"/>
      <c r="I50" s="141"/>
      <c r="J50" s="140"/>
      <c r="K50" s="141"/>
      <c r="L50" s="140"/>
      <c r="M50" s="141"/>
      <c r="N50" s="140"/>
      <c r="O50" s="141"/>
      <c r="P50" s="140"/>
      <c r="Q50" s="141"/>
      <c r="R50" s="140"/>
      <c r="S50" s="141"/>
      <c r="T50" s="140"/>
      <c r="U50" s="141"/>
      <c r="V50" s="140"/>
      <c r="W50" s="141"/>
      <c r="X50" s="140"/>
      <c r="Y50" s="141"/>
      <c r="Z50" s="140"/>
    </row>
    <row r="51" spans="1:55" s="108" customFormat="1" ht="12" x14ac:dyDescent="0.25">
      <c r="B51" s="380" t="s">
        <v>599</v>
      </c>
      <c r="C51" s="143"/>
      <c r="D51" s="385">
        <f>SUM(D52:D59)</f>
        <v>1520269.3</v>
      </c>
      <c r="E51" s="143"/>
      <c r="F51" s="385">
        <f>SUM(F52:F59)</f>
        <v>0</v>
      </c>
      <c r="G51" s="143"/>
      <c r="H51" s="385">
        <f>SUM(H52:H59)</f>
        <v>0</v>
      </c>
      <c r="I51" s="143"/>
      <c r="J51" s="385">
        <f>SUM(J52:J59)</f>
        <v>0</v>
      </c>
      <c r="K51" s="143"/>
      <c r="L51" s="385">
        <f>SUM(L52:L59)</f>
        <v>0</v>
      </c>
      <c r="M51" s="143"/>
      <c r="N51" s="385">
        <f>SUM(N52:N59)</f>
        <v>0</v>
      </c>
      <c r="O51" s="143"/>
      <c r="P51" s="385">
        <f>SUM(P52:P59)</f>
        <v>0</v>
      </c>
      <c r="Q51" s="143"/>
      <c r="R51" s="385">
        <f>SUM(R52:R59)</f>
        <v>0</v>
      </c>
      <c r="S51" s="143"/>
      <c r="T51" s="385">
        <f>SUM(T52:T59)</f>
        <v>0</v>
      </c>
      <c r="U51" s="143"/>
      <c r="V51" s="385">
        <f>SUM(V52:V59)</f>
        <v>0</v>
      </c>
      <c r="W51" s="143"/>
      <c r="X51" s="385">
        <f>SUM(X52:X59)</f>
        <v>0</v>
      </c>
      <c r="Y51" s="143"/>
      <c r="Z51" s="385">
        <f>SUM(Z52:Z59)</f>
        <v>0</v>
      </c>
      <c r="AA51" s="387">
        <v>0</v>
      </c>
      <c r="AB51" s="387">
        <v>0</v>
      </c>
      <c r="AC51" s="387">
        <v>0</v>
      </c>
      <c r="AD51" s="387">
        <v>0</v>
      </c>
      <c r="AE51" s="387">
        <v>0</v>
      </c>
      <c r="AF51" s="387">
        <v>0</v>
      </c>
      <c r="AG51" s="387">
        <v>0</v>
      </c>
      <c r="AH51" s="387">
        <v>0</v>
      </c>
      <c r="AI51" s="387"/>
      <c r="AJ51" s="387">
        <v>0</v>
      </c>
      <c r="AK51" s="387">
        <v>0</v>
      </c>
      <c r="AL51" s="387">
        <v>0</v>
      </c>
      <c r="AM51" s="387">
        <v>0</v>
      </c>
      <c r="AN51" s="387">
        <v>0</v>
      </c>
      <c r="AO51" s="386">
        <v>0</v>
      </c>
      <c r="AP51" s="387">
        <v>0</v>
      </c>
      <c r="AQ51" s="387">
        <v>0</v>
      </c>
      <c r="AR51" s="387">
        <v>0</v>
      </c>
      <c r="AS51" s="387">
        <v>0</v>
      </c>
      <c r="AT51" s="387">
        <v>0</v>
      </c>
      <c r="AU51" s="387">
        <v>0</v>
      </c>
      <c r="AV51" s="387">
        <v>0</v>
      </c>
      <c r="AW51" s="387">
        <v>0</v>
      </c>
      <c r="AX51" s="387">
        <v>0</v>
      </c>
      <c r="AY51" s="387">
        <v>0</v>
      </c>
      <c r="AZ51" s="387">
        <v>0</v>
      </c>
      <c r="BA51" s="387">
        <v>0</v>
      </c>
      <c r="BB51" s="386">
        <v>0</v>
      </c>
      <c r="BC51" s="387"/>
    </row>
    <row r="52" spans="1:55" s="108" customFormat="1" ht="12" x14ac:dyDescent="0.25">
      <c r="B52" s="142" t="s">
        <v>600</v>
      </c>
      <c r="C52" s="141"/>
      <c r="D52" s="140"/>
      <c r="E52" s="141"/>
      <c r="F52" s="140"/>
      <c r="G52" s="141"/>
      <c r="H52" s="140"/>
      <c r="I52" s="141"/>
      <c r="J52" s="140"/>
      <c r="K52" s="141"/>
      <c r="L52" s="140"/>
      <c r="M52" s="141"/>
      <c r="N52" s="140"/>
      <c r="O52" s="141"/>
      <c r="P52" s="140"/>
      <c r="Q52" s="141"/>
      <c r="R52" s="140"/>
      <c r="S52" s="141"/>
      <c r="T52" s="140"/>
      <c r="U52" s="141"/>
      <c r="V52" s="140"/>
      <c r="W52" s="141"/>
      <c r="X52" s="140"/>
      <c r="Y52" s="141"/>
      <c r="Z52" s="140"/>
      <c r="AA52" s="139"/>
      <c r="AO52" s="139"/>
      <c r="BB52" s="139"/>
    </row>
    <row r="53" spans="1:55" s="108" customFormat="1" ht="12" x14ac:dyDescent="0.25">
      <c r="A53" s="156">
        <v>0.25345000000000001</v>
      </c>
      <c r="B53" s="138" t="s">
        <v>601</v>
      </c>
      <c r="C53" s="116"/>
      <c r="D53" s="115">
        <v>279453.84000000003</v>
      </c>
      <c r="E53" s="116"/>
      <c r="F53" s="115"/>
      <c r="G53" s="116"/>
      <c r="H53" s="115"/>
      <c r="I53" s="116"/>
      <c r="J53" s="115"/>
      <c r="K53" s="116"/>
      <c r="L53" s="115"/>
      <c r="M53" s="116"/>
      <c r="N53" s="115"/>
      <c r="O53" s="116"/>
      <c r="P53" s="115"/>
      <c r="Q53" s="116"/>
      <c r="R53" s="115"/>
      <c r="S53" s="116"/>
      <c r="T53" s="115"/>
      <c r="U53" s="116"/>
      <c r="V53" s="115"/>
      <c r="W53" s="116"/>
      <c r="X53" s="115"/>
      <c r="Y53" s="116"/>
      <c r="Z53" s="115"/>
      <c r="AA53" s="93">
        <f t="shared" ref="AA53:AH53" si="60">AA51*$A$53</f>
        <v>0</v>
      </c>
      <c r="AB53" s="93">
        <f t="shared" si="60"/>
        <v>0</v>
      </c>
      <c r="AC53" s="93">
        <f t="shared" si="60"/>
        <v>0</v>
      </c>
      <c r="AD53" s="93">
        <f t="shared" si="60"/>
        <v>0</v>
      </c>
      <c r="AE53" s="93">
        <f t="shared" si="60"/>
        <v>0</v>
      </c>
      <c r="AF53" s="93">
        <f t="shared" si="60"/>
        <v>0</v>
      </c>
      <c r="AG53" s="93">
        <f t="shared" si="60"/>
        <v>0</v>
      </c>
      <c r="AH53" s="93">
        <f t="shared" si="60"/>
        <v>0</v>
      </c>
      <c r="AI53" s="93"/>
      <c r="AJ53" s="93">
        <f>AJ51*$A$53</f>
        <v>0</v>
      </c>
      <c r="AK53" s="93">
        <f>AK51*$A$53</f>
        <v>0</v>
      </c>
      <c r="AL53" s="93">
        <f>AL51*$A$53</f>
        <v>0</v>
      </c>
      <c r="AM53" s="93">
        <f>AM51*$A$53</f>
        <v>0</v>
      </c>
      <c r="AN53" s="93">
        <f>AN51*$A$53</f>
        <v>0</v>
      </c>
      <c r="AO53" s="114">
        <f t="shared" ref="AO53:AO59" si="61">SUM(AB53:AN53)</f>
        <v>0</v>
      </c>
      <c r="AP53" s="93">
        <f t="shared" ref="AP53:BA53" si="62">AP51*$A$53</f>
        <v>0</v>
      </c>
      <c r="AQ53" s="93">
        <f t="shared" si="62"/>
        <v>0</v>
      </c>
      <c r="AR53" s="93">
        <f t="shared" si="62"/>
        <v>0</v>
      </c>
      <c r="AS53" s="93">
        <f t="shared" si="62"/>
        <v>0</v>
      </c>
      <c r="AT53" s="93">
        <f t="shared" si="62"/>
        <v>0</v>
      </c>
      <c r="AU53" s="93">
        <f t="shared" si="62"/>
        <v>0</v>
      </c>
      <c r="AV53" s="93">
        <f t="shared" si="62"/>
        <v>0</v>
      </c>
      <c r="AW53" s="93">
        <f t="shared" si="62"/>
        <v>0</v>
      </c>
      <c r="AX53" s="93">
        <f t="shared" si="62"/>
        <v>0</v>
      </c>
      <c r="AY53" s="93">
        <f t="shared" si="62"/>
        <v>0</v>
      </c>
      <c r="AZ53" s="93">
        <f t="shared" si="62"/>
        <v>0</v>
      </c>
      <c r="BA53" s="93">
        <f t="shared" si="62"/>
        <v>0</v>
      </c>
      <c r="BB53" s="114">
        <f t="shared" ref="BB53:BB59" si="63">SUM(AP53:BA53)</f>
        <v>0</v>
      </c>
      <c r="BC53" s="93"/>
    </row>
    <row r="54" spans="1:55" s="108" customFormat="1" ht="12" x14ac:dyDescent="0.25">
      <c r="A54" s="156">
        <v>0</v>
      </c>
      <c r="B54" s="138" t="s">
        <v>602</v>
      </c>
      <c r="C54" s="116"/>
      <c r="D54" s="115"/>
      <c r="E54" s="116"/>
      <c r="F54" s="115"/>
      <c r="G54" s="116"/>
      <c r="H54" s="115"/>
      <c r="I54" s="116"/>
      <c r="J54" s="115"/>
      <c r="K54" s="116"/>
      <c r="L54" s="115"/>
      <c r="M54" s="116"/>
      <c r="N54" s="115"/>
      <c r="O54" s="116"/>
      <c r="P54" s="115"/>
      <c r="Q54" s="116"/>
      <c r="R54" s="115"/>
      <c r="S54" s="116"/>
      <c r="T54" s="115"/>
      <c r="U54" s="116"/>
      <c r="V54" s="115"/>
      <c r="W54" s="116"/>
      <c r="X54" s="115"/>
      <c r="Y54" s="116"/>
      <c r="Z54" s="115"/>
      <c r="AA54" s="93">
        <f t="shared" ref="AA54:AH54" si="64">AA51*$A$54</f>
        <v>0</v>
      </c>
      <c r="AB54" s="93">
        <f t="shared" si="64"/>
        <v>0</v>
      </c>
      <c r="AC54" s="93">
        <f t="shared" si="64"/>
        <v>0</v>
      </c>
      <c r="AD54" s="93">
        <f t="shared" si="64"/>
        <v>0</v>
      </c>
      <c r="AE54" s="93">
        <f t="shared" si="64"/>
        <v>0</v>
      </c>
      <c r="AF54" s="93">
        <f t="shared" si="64"/>
        <v>0</v>
      </c>
      <c r="AG54" s="93">
        <f t="shared" si="64"/>
        <v>0</v>
      </c>
      <c r="AH54" s="93">
        <f t="shared" si="64"/>
        <v>0</v>
      </c>
      <c r="AI54" s="93"/>
      <c r="AJ54" s="93">
        <f>AJ51*$A$54</f>
        <v>0</v>
      </c>
      <c r="AK54" s="93">
        <f>AK51*$A$54</f>
        <v>0</v>
      </c>
      <c r="AL54" s="93">
        <f>AL51*$A$54</f>
        <v>0</v>
      </c>
      <c r="AM54" s="93">
        <f>AM51*$A$54</f>
        <v>0</v>
      </c>
      <c r="AN54" s="93">
        <f>AN51*$A$54</f>
        <v>0</v>
      </c>
      <c r="AO54" s="114">
        <f t="shared" si="61"/>
        <v>0</v>
      </c>
      <c r="AP54" s="93">
        <f t="shared" ref="AP54:BA54" si="65">AP51*$A$54</f>
        <v>0</v>
      </c>
      <c r="AQ54" s="93">
        <f t="shared" si="65"/>
        <v>0</v>
      </c>
      <c r="AR54" s="93">
        <f t="shared" si="65"/>
        <v>0</v>
      </c>
      <c r="AS54" s="93">
        <f t="shared" si="65"/>
        <v>0</v>
      </c>
      <c r="AT54" s="93">
        <f t="shared" si="65"/>
        <v>0</v>
      </c>
      <c r="AU54" s="93">
        <f t="shared" si="65"/>
        <v>0</v>
      </c>
      <c r="AV54" s="93">
        <f t="shared" si="65"/>
        <v>0</v>
      </c>
      <c r="AW54" s="93">
        <f t="shared" si="65"/>
        <v>0</v>
      </c>
      <c r="AX54" s="93">
        <f t="shared" si="65"/>
        <v>0</v>
      </c>
      <c r="AY54" s="93">
        <f t="shared" si="65"/>
        <v>0</v>
      </c>
      <c r="AZ54" s="93">
        <f t="shared" si="65"/>
        <v>0</v>
      </c>
      <c r="BA54" s="93">
        <f t="shared" si="65"/>
        <v>0</v>
      </c>
      <c r="BB54" s="114">
        <f t="shared" si="63"/>
        <v>0</v>
      </c>
      <c r="BC54" s="93"/>
    </row>
    <row r="55" spans="1:55" s="108" customFormat="1" ht="12" x14ac:dyDescent="0.25">
      <c r="A55" s="156">
        <f>71.058%+0.015%</f>
        <v>0.71073000000000008</v>
      </c>
      <c r="B55" s="138" t="s">
        <v>603</v>
      </c>
      <c r="C55" s="116"/>
      <c r="D55" s="115">
        <v>1240815.46</v>
      </c>
      <c r="E55" s="116"/>
      <c r="F55" s="115"/>
      <c r="G55" s="116"/>
      <c r="H55" s="115"/>
      <c r="I55" s="116"/>
      <c r="J55" s="115"/>
      <c r="K55" s="116"/>
      <c r="L55" s="115"/>
      <c r="M55" s="116"/>
      <c r="N55" s="115"/>
      <c r="O55" s="116"/>
      <c r="P55" s="115"/>
      <c r="Q55" s="116"/>
      <c r="R55" s="115"/>
      <c r="S55" s="116"/>
      <c r="T55" s="115"/>
      <c r="U55" s="116"/>
      <c r="V55" s="115"/>
      <c r="W55" s="116"/>
      <c r="X55" s="115"/>
      <c r="Y55" s="116"/>
      <c r="Z55" s="115"/>
      <c r="AA55" s="93">
        <f t="shared" ref="AA55:AH55" si="66">AA51*$A$55</f>
        <v>0</v>
      </c>
      <c r="AB55" s="93">
        <f t="shared" si="66"/>
        <v>0</v>
      </c>
      <c r="AC55" s="93">
        <f t="shared" si="66"/>
        <v>0</v>
      </c>
      <c r="AD55" s="93">
        <f t="shared" si="66"/>
        <v>0</v>
      </c>
      <c r="AE55" s="93">
        <f t="shared" si="66"/>
        <v>0</v>
      </c>
      <c r="AF55" s="93">
        <f t="shared" si="66"/>
        <v>0</v>
      </c>
      <c r="AG55" s="93">
        <f t="shared" si="66"/>
        <v>0</v>
      </c>
      <c r="AH55" s="93">
        <f t="shared" si="66"/>
        <v>0</v>
      </c>
      <c r="AI55" s="93"/>
      <c r="AJ55" s="93">
        <f>AJ51*$A$55</f>
        <v>0</v>
      </c>
      <c r="AK55" s="93">
        <f>AK51*$A$55</f>
        <v>0</v>
      </c>
      <c r="AL55" s="93">
        <f>AL51*$A$55</f>
        <v>0</v>
      </c>
      <c r="AM55" s="93">
        <f>AM51*$A$55</f>
        <v>0</v>
      </c>
      <c r="AN55" s="93">
        <f>AN51*$A$55</f>
        <v>0</v>
      </c>
      <c r="AO55" s="114">
        <f t="shared" si="61"/>
        <v>0</v>
      </c>
      <c r="AP55" s="93">
        <f t="shared" ref="AP55:BA55" si="67">AP51*$A$55</f>
        <v>0</v>
      </c>
      <c r="AQ55" s="93">
        <f t="shared" si="67"/>
        <v>0</v>
      </c>
      <c r="AR55" s="93">
        <f t="shared" si="67"/>
        <v>0</v>
      </c>
      <c r="AS55" s="93">
        <f t="shared" si="67"/>
        <v>0</v>
      </c>
      <c r="AT55" s="93">
        <f t="shared" si="67"/>
        <v>0</v>
      </c>
      <c r="AU55" s="93">
        <f t="shared" si="67"/>
        <v>0</v>
      </c>
      <c r="AV55" s="93">
        <f t="shared" si="67"/>
        <v>0</v>
      </c>
      <c r="AW55" s="93">
        <f t="shared" si="67"/>
        <v>0</v>
      </c>
      <c r="AX55" s="93">
        <f t="shared" si="67"/>
        <v>0</v>
      </c>
      <c r="AY55" s="93">
        <f t="shared" si="67"/>
        <v>0</v>
      </c>
      <c r="AZ55" s="93">
        <f t="shared" si="67"/>
        <v>0</v>
      </c>
      <c r="BA55" s="93">
        <f t="shared" si="67"/>
        <v>0</v>
      </c>
      <c r="BB55" s="114">
        <f t="shared" si="63"/>
        <v>0</v>
      </c>
      <c r="BC55" s="93"/>
    </row>
    <row r="56" spans="1:55" s="108" customFormat="1" ht="12" x14ac:dyDescent="0.25">
      <c r="A56" s="156">
        <v>0</v>
      </c>
      <c r="B56" s="138" t="s">
        <v>604</v>
      </c>
      <c r="C56" s="116"/>
      <c r="D56" s="115"/>
      <c r="E56" s="116"/>
      <c r="F56" s="115"/>
      <c r="G56" s="116"/>
      <c r="H56" s="115"/>
      <c r="I56" s="116"/>
      <c r="J56" s="115"/>
      <c r="K56" s="116"/>
      <c r="L56" s="115"/>
      <c r="M56" s="116"/>
      <c r="N56" s="115"/>
      <c r="O56" s="116"/>
      <c r="P56" s="115"/>
      <c r="Q56" s="116"/>
      <c r="R56" s="115"/>
      <c r="S56" s="116"/>
      <c r="T56" s="115"/>
      <c r="U56" s="116"/>
      <c r="V56" s="115"/>
      <c r="W56" s="116"/>
      <c r="X56" s="115"/>
      <c r="Y56" s="116"/>
      <c r="Z56" s="115"/>
      <c r="AA56" s="93">
        <f t="shared" ref="AA56:AH56" si="68">AA51*$A$56</f>
        <v>0</v>
      </c>
      <c r="AB56" s="93">
        <f t="shared" si="68"/>
        <v>0</v>
      </c>
      <c r="AC56" s="93">
        <f t="shared" si="68"/>
        <v>0</v>
      </c>
      <c r="AD56" s="93">
        <f t="shared" si="68"/>
        <v>0</v>
      </c>
      <c r="AE56" s="93">
        <f t="shared" si="68"/>
        <v>0</v>
      </c>
      <c r="AF56" s="93">
        <f t="shared" si="68"/>
        <v>0</v>
      </c>
      <c r="AG56" s="93">
        <f t="shared" si="68"/>
        <v>0</v>
      </c>
      <c r="AH56" s="93">
        <f t="shared" si="68"/>
        <v>0</v>
      </c>
      <c r="AI56" s="93"/>
      <c r="AJ56" s="93">
        <f>AJ51*$A$56</f>
        <v>0</v>
      </c>
      <c r="AK56" s="93">
        <f>AK51*$A$56</f>
        <v>0</v>
      </c>
      <c r="AL56" s="93">
        <f>AL51*$A$56</f>
        <v>0</v>
      </c>
      <c r="AM56" s="93">
        <f>AM51*$A$56</f>
        <v>0</v>
      </c>
      <c r="AN56" s="93">
        <f>AN51*$A$56</f>
        <v>0</v>
      </c>
      <c r="AO56" s="114">
        <f t="shared" si="61"/>
        <v>0</v>
      </c>
      <c r="AP56" s="93">
        <f t="shared" ref="AP56:BA56" si="69">AP51*$A$56</f>
        <v>0</v>
      </c>
      <c r="AQ56" s="93">
        <f t="shared" si="69"/>
        <v>0</v>
      </c>
      <c r="AR56" s="93">
        <f t="shared" si="69"/>
        <v>0</v>
      </c>
      <c r="AS56" s="93">
        <f t="shared" si="69"/>
        <v>0</v>
      </c>
      <c r="AT56" s="93">
        <f t="shared" si="69"/>
        <v>0</v>
      </c>
      <c r="AU56" s="93">
        <f t="shared" si="69"/>
        <v>0</v>
      </c>
      <c r="AV56" s="93">
        <f t="shared" si="69"/>
        <v>0</v>
      </c>
      <c r="AW56" s="93">
        <f t="shared" si="69"/>
        <v>0</v>
      </c>
      <c r="AX56" s="93">
        <f t="shared" si="69"/>
        <v>0</v>
      </c>
      <c r="AY56" s="93">
        <f t="shared" si="69"/>
        <v>0</v>
      </c>
      <c r="AZ56" s="93">
        <f t="shared" si="69"/>
        <v>0</v>
      </c>
      <c r="BA56" s="93">
        <f t="shared" si="69"/>
        <v>0</v>
      </c>
      <c r="BB56" s="114">
        <f t="shared" si="63"/>
        <v>0</v>
      </c>
      <c r="BC56" s="93"/>
    </row>
    <row r="57" spans="1:55" s="108" customFormat="1" ht="12" x14ac:dyDescent="0.25">
      <c r="A57" s="156">
        <v>1.438E-2</v>
      </c>
      <c r="B57" s="138" t="s">
        <v>605</v>
      </c>
      <c r="C57" s="116"/>
      <c r="D57" s="115"/>
      <c r="E57" s="116"/>
      <c r="F57" s="115"/>
      <c r="G57" s="116"/>
      <c r="H57" s="115"/>
      <c r="I57" s="116"/>
      <c r="J57" s="115"/>
      <c r="K57" s="116"/>
      <c r="L57" s="115"/>
      <c r="M57" s="116"/>
      <c r="N57" s="115"/>
      <c r="O57" s="116"/>
      <c r="P57" s="115"/>
      <c r="Q57" s="116"/>
      <c r="R57" s="115"/>
      <c r="S57" s="116"/>
      <c r="T57" s="115"/>
      <c r="U57" s="116"/>
      <c r="V57" s="115"/>
      <c r="W57" s="116"/>
      <c r="X57" s="115"/>
      <c r="Y57" s="116"/>
      <c r="Z57" s="115"/>
      <c r="AA57" s="93">
        <f t="shared" ref="AA57:AH57" si="70">AA51*$A$57</f>
        <v>0</v>
      </c>
      <c r="AB57" s="93">
        <f t="shared" si="70"/>
        <v>0</v>
      </c>
      <c r="AC57" s="93">
        <f t="shared" si="70"/>
        <v>0</v>
      </c>
      <c r="AD57" s="93">
        <f t="shared" si="70"/>
        <v>0</v>
      </c>
      <c r="AE57" s="93">
        <f t="shared" si="70"/>
        <v>0</v>
      </c>
      <c r="AF57" s="93">
        <f t="shared" si="70"/>
        <v>0</v>
      </c>
      <c r="AG57" s="93">
        <f t="shared" si="70"/>
        <v>0</v>
      </c>
      <c r="AH57" s="93">
        <f t="shared" si="70"/>
        <v>0</v>
      </c>
      <c r="AI57" s="93"/>
      <c r="AJ57" s="93">
        <f>AJ51*$A$57</f>
        <v>0</v>
      </c>
      <c r="AK57" s="93">
        <f>AK51*$A$57</f>
        <v>0</v>
      </c>
      <c r="AL57" s="93">
        <f>AL51*$A$57</f>
        <v>0</v>
      </c>
      <c r="AM57" s="93">
        <f>AM51*$A$57</f>
        <v>0</v>
      </c>
      <c r="AN57" s="93">
        <f>AN51*$A$57</f>
        <v>0</v>
      </c>
      <c r="AO57" s="114">
        <f t="shared" si="61"/>
        <v>0</v>
      </c>
      <c r="AP57" s="93">
        <f t="shared" ref="AP57:BA57" si="71">AP51*$A$57</f>
        <v>0</v>
      </c>
      <c r="AQ57" s="93">
        <f t="shared" si="71"/>
        <v>0</v>
      </c>
      <c r="AR57" s="93">
        <f t="shared" si="71"/>
        <v>0</v>
      </c>
      <c r="AS57" s="93">
        <f t="shared" si="71"/>
        <v>0</v>
      </c>
      <c r="AT57" s="93">
        <f t="shared" si="71"/>
        <v>0</v>
      </c>
      <c r="AU57" s="93">
        <f t="shared" si="71"/>
        <v>0</v>
      </c>
      <c r="AV57" s="93">
        <f t="shared" si="71"/>
        <v>0</v>
      </c>
      <c r="AW57" s="93">
        <f t="shared" si="71"/>
        <v>0</v>
      </c>
      <c r="AX57" s="93">
        <f t="shared" si="71"/>
        <v>0</v>
      </c>
      <c r="AY57" s="93">
        <f t="shared" si="71"/>
        <v>0</v>
      </c>
      <c r="AZ57" s="93">
        <f t="shared" si="71"/>
        <v>0</v>
      </c>
      <c r="BA57" s="93">
        <f t="shared" si="71"/>
        <v>0</v>
      </c>
      <c r="BB57" s="114">
        <f t="shared" si="63"/>
        <v>0</v>
      </c>
      <c r="BC57" s="93"/>
    </row>
    <row r="58" spans="1:55" s="108" customFormat="1" ht="12" x14ac:dyDescent="0.25">
      <c r="A58" s="156">
        <v>6.3000000000000003E-4</v>
      </c>
      <c r="B58" s="138" t="s">
        <v>606</v>
      </c>
      <c r="C58" s="116"/>
      <c r="D58" s="115"/>
      <c r="E58" s="116"/>
      <c r="F58" s="115"/>
      <c r="G58" s="116"/>
      <c r="H58" s="115"/>
      <c r="I58" s="116"/>
      <c r="J58" s="115"/>
      <c r="K58" s="116"/>
      <c r="L58" s="115"/>
      <c r="M58" s="116"/>
      <c r="N58" s="115"/>
      <c r="O58" s="116"/>
      <c r="P58" s="115"/>
      <c r="Q58" s="116"/>
      <c r="R58" s="115"/>
      <c r="S58" s="116"/>
      <c r="T58" s="115"/>
      <c r="U58" s="116"/>
      <c r="V58" s="115"/>
      <c r="W58" s="116"/>
      <c r="X58" s="115"/>
      <c r="Y58" s="116"/>
      <c r="Z58" s="115"/>
      <c r="AA58" s="93">
        <f t="shared" ref="AA58:AH58" si="72">AA51*$A$58</f>
        <v>0</v>
      </c>
      <c r="AB58" s="93">
        <f t="shared" si="72"/>
        <v>0</v>
      </c>
      <c r="AC58" s="93">
        <f t="shared" si="72"/>
        <v>0</v>
      </c>
      <c r="AD58" s="93">
        <f t="shared" si="72"/>
        <v>0</v>
      </c>
      <c r="AE58" s="93">
        <f t="shared" si="72"/>
        <v>0</v>
      </c>
      <c r="AF58" s="93">
        <f t="shared" si="72"/>
        <v>0</v>
      </c>
      <c r="AG58" s="93">
        <f t="shared" si="72"/>
        <v>0</v>
      </c>
      <c r="AH58" s="93">
        <f t="shared" si="72"/>
        <v>0</v>
      </c>
      <c r="AI58" s="93"/>
      <c r="AJ58" s="93">
        <f>AJ51*$A$58</f>
        <v>0</v>
      </c>
      <c r="AK58" s="93">
        <f>AK51*$A$58</f>
        <v>0</v>
      </c>
      <c r="AL58" s="93">
        <f>AL51*$A$58</f>
        <v>0</v>
      </c>
      <c r="AM58" s="93">
        <f>AM51*$A$58</f>
        <v>0</v>
      </c>
      <c r="AN58" s="93">
        <f>AN51*$A$58</f>
        <v>0</v>
      </c>
      <c r="AO58" s="114">
        <f t="shared" si="61"/>
        <v>0</v>
      </c>
      <c r="AP58" s="93">
        <f t="shared" ref="AP58:BA58" si="73">AP51*$A$58</f>
        <v>0</v>
      </c>
      <c r="AQ58" s="93">
        <f t="shared" si="73"/>
        <v>0</v>
      </c>
      <c r="AR58" s="93">
        <f t="shared" si="73"/>
        <v>0</v>
      </c>
      <c r="AS58" s="93">
        <f t="shared" si="73"/>
        <v>0</v>
      </c>
      <c r="AT58" s="93">
        <f t="shared" si="73"/>
        <v>0</v>
      </c>
      <c r="AU58" s="93">
        <f t="shared" si="73"/>
        <v>0</v>
      </c>
      <c r="AV58" s="93">
        <f t="shared" si="73"/>
        <v>0</v>
      </c>
      <c r="AW58" s="93">
        <f t="shared" si="73"/>
        <v>0</v>
      </c>
      <c r="AX58" s="93">
        <f t="shared" si="73"/>
        <v>0</v>
      </c>
      <c r="AY58" s="93">
        <f t="shared" si="73"/>
        <v>0</v>
      </c>
      <c r="AZ58" s="93">
        <f t="shared" si="73"/>
        <v>0</v>
      </c>
      <c r="BA58" s="93">
        <f t="shared" si="73"/>
        <v>0</v>
      </c>
      <c r="BB58" s="114">
        <f t="shared" si="63"/>
        <v>0</v>
      </c>
      <c r="BC58" s="93"/>
    </row>
    <row r="59" spans="1:55" s="108" customFormat="1" ht="12" x14ac:dyDescent="0.25">
      <c r="A59" s="156">
        <v>2.0809999999999999E-2</v>
      </c>
      <c r="B59" s="138" t="s">
        <v>607</v>
      </c>
      <c r="C59" s="116"/>
      <c r="D59" s="115"/>
      <c r="E59" s="116"/>
      <c r="F59" s="115"/>
      <c r="G59" s="116"/>
      <c r="H59" s="115"/>
      <c r="I59" s="116"/>
      <c r="J59" s="115"/>
      <c r="K59" s="116"/>
      <c r="L59" s="115"/>
      <c r="M59" s="116"/>
      <c r="N59" s="115"/>
      <c r="O59" s="116"/>
      <c r="P59" s="115"/>
      <c r="Q59" s="116"/>
      <c r="R59" s="115"/>
      <c r="S59" s="116"/>
      <c r="T59" s="115"/>
      <c r="U59" s="116"/>
      <c r="V59" s="115"/>
      <c r="W59" s="116"/>
      <c r="X59" s="115"/>
      <c r="Y59" s="116"/>
      <c r="Z59" s="115"/>
      <c r="AA59" s="93">
        <f t="shared" ref="AA59:AH59" si="74">AA51*$A$59</f>
        <v>0</v>
      </c>
      <c r="AB59" s="93">
        <f t="shared" si="74"/>
        <v>0</v>
      </c>
      <c r="AC59" s="93">
        <f t="shared" si="74"/>
        <v>0</v>
      </c>
      <c r="AD59" s="93">
        <f t="shared" si="74"/>
        <v>0</v>
      </c>
      <c r="AE59" s="93">
        <f t="shared" si="74"/>
        <v>0</v>
      </c>
      <c r="AF59" s="93">
        <f t="shared" si="74"/>
        <v>0</v>
      </c>
      <c r="AG59" s="93">
        <f t="shared" si="74"/>
        <v>0</v>
      </c>
      <c r="AH59" s="93">
        <f t="shared" si="74"/>
        <v>0</v>
      </c>
      <c r="AI59" s="93"/>
      <c r="AJ59" s="93">
        <f>AJ51*$A$59</f>
        <v>0</v>
      </c>
      <c r="AK59" s="93">
        <f>AK51*$A$59</f>
        <v>0</v>
      </c>
      <c r="AL59" s="93">
        <f>AL51*$A$59</f>
        <v>0</v>
      </c>
      <c r="AM59" s="93">
        <f>AM51*$A$59</f>
        <v>0</v>
      </c>
      <c r="AN59" s="93">
        <f>AN51*$A$59</f>
        <v>0</v>
      </c>
      <c r="AO59" s="114">
        <f t="shared" si="61"/>
        <v>0</v>
      </c>
      <c r="AP59" s="93">
        <f t="shared" ref="AP59:BA59" si="75">AP51*$A$59</f>
        <v>0</v>
      </c>
      <c r="AQ59" s="93">
        <f t="shared" si="75"/>
        <v>0</v>
      </c>
      <c r="AR59" s="93">
        <f t="shared" si="75"/>
        <v>0</v>
      </c>
      <c r="AS59" s="93">
        <f t="shared" si="75"/>
        <v>0</v>
      </c>
      <c r="AT59" s="93">
        <f t="shared" si="75"/>
        <v>0</v>
      </c>
      <c r="AU59" s="93">
        <f t="shared" si="75"/>
        <v>0</v>
      </c>
      <c r="AV59" s="93">
        <f t="shared" si="75"/>
        <v>0</v>
      </c>
      <c r="AW59" s="93">
        <f t="shared" si="75"/>
        <v>0</v>
      </c>
      <c r="AX59" s="93">
        <f t="shared" si="75"/>
        <v>0</v>
      </c>
      <c r="AY59" s="93">
        <f t="shared" si="75"/>
        <v>0</v>
      </c>
      <c r="AZ59" s="93">
        <f t="shared" si="75"/>
        <v>0</v>
      </c>
      <c r="BA59" s="93">
        <f t="shared" si="75"/>
        <v>0</v>
      </c>
      <c r="BB59" s="114">
        <f t="shared" si="63"/>
        <v>0</v>
      </c>
      <c r="BC59" s="93"/>
    </row>
    <row r="60" spans="1:55" s="108" customFormat="1" ht="12" x14ac:dyDescent="0.25">
      <c r="B60" s="137" t="s">
        <v>608</v>
      </c>
      <c r="C60" s="136"/>
      <c r="D60" s="135"/>
      <c r="E60" s="136"/>
      <c r="F60" s="135"/>
      <c r="G60" s="136"/>
      <c r="H60" s="135"/>
      <c r="I60" s="136"/>
      <c r="J60" s="135"/>
      <c r="K60" s="136"/>
      <c r="L60" s="135"/>
      <c r="M60" s="136"/>
      <c r="N60" s="135"/>
      <c r="O60" s="136"/>
      <c r="P60" s="135"/>
      <c r="Q60" s="136"/>
      <c r="R60" s="135"/>
      <c r="S60" s="136"/>
      <c r="T60" s="135"/>
      <c r="U60" s="136"/>
      <c r="V60" s="135"/>
      <c r="W60" s="136"/>
      <c r="X60" s="135"/>
      <c r="Y60" s="136"/>
      <c r="Z60" s="135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55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55"/>
      <c r="BC60" s="132"/>
    </row>
    <row r="61" spans="1:55" s="108" customFormat="1" ht="12" x14ac:dyDescent="0.25">
      <c r="A61" s="125">
        <v>0</v>
      </c>
      <c r="B61" s="131" t="s">
        <v>609</v>
      </c>
      <c r="C61" s="130">
        <f>((C53+C59)*2%)+(SUM(C54:C58)*1%)</f>
        <v>0</v>
      </c>
      <c r="D61" s="129">
        <v>17995.990000000002</v>
      </c>
      <c r="E61" s="130"/>
      <c r="F61" s="129"/>
      <c r="G61" s="130"/>
      <c r="H61" s="129"/>
      <c r="I61" s="130"/>
      <c r="J61" s="129"/>
      <c r="K61" s="130"/>
      <c r="L61" s="129"/>
      <c r="M61" s="130"/>
      <c r="N61" s="129"/>
      <c r="O61" s="130"/>
      <c r="P61" s="129"/>
      <c r="Q61" s="130"/>
      <c r="R61" s="129"/>
      <c r="S61" s="130"/>
      <c r="T61" s="129"/>
      <c r="U61" s="130"/>
      <c r="V61" s="129"/>
      <c r="W61" s="130"/>
      <c r="X61" s="129"/>
      <c r="Y61" s="130"/>
      <c r="Z61" s="129"/>
      <c r="AA61" s="126">
        <f t="shared" ref="AA61:AH61" si="76">((AA53+AA59)*2%)+(SUM(AA54:AA58)*1%)</f>
        <v>0</v>
      </c>
      <c r="AB61" s="126">
        <f t="shared" si="76"/>
        <v>0</v>
      </c>
      <c r="AC61" s="126">
        <f t="shared" si="76"/>
        <v>0</v>
      </c>
      <c r="AD61" s="126">
        <f t="shared" si="76"/>
        <v>0</v>
      </c>
      <c r="AE61" s="126">
        <f t="shared" si="76"/>
        <v>0</v>
      </c>
      <c r="AF61" s="126">
        <f t="shared" si="76"/>
        <v>0</v>
      </c>
      <c r="AG61" s="126">
        <f t="shared" si="76"/>
        <v>0</v>
      </c>
      <c r="AH61" s="126">
        <f t="shared" si="76"/>
        <v>0</v>
      </c>
      <c r="AI61" s="126"/>
      <c r="AJ61" s="126">
        <f>((AJ53+AJ59)*2%)+(SUM(AJ54:AJ58)*1%)</f>
        <v>0</v>
      </c>
      <c r="AK61" s="126">
        <f>((AK53+AK59)*2%)+(SUM(AK54:AK58)*1%)</f>
        <v>0</v>
      </c>
      <c r="AL61" s="126">
        <f>((AL53+AL59)*2%)+(SUM(AL54:AL58)*1%)</f>
        <v>0</v>
      </c>
      <c r="AM61" s="126">
        <f>((AM53+AM59)*2%)+(SUM(AM54:AM58)*1%)</f>
        <v>0</v>
      </c>
      <c r="AN61" s="126">
        <f>((AN53+AN59)*2%)+(SUM(AN54:AN58)*1%)</f>
        <v>0</v>
      </c>
      <c r="AO61" s="114">
        <f>SUM(AB61:AN61)</f>
        <v>0</v>
      </c>
      <c r="AP61" s="126">
        <f t="shared" ref="AP61:BA61" si="77">((AP53+AP59)*2%)+(SUM(AP54:AP58)*1%)</f>
        <v>0</v>
      </c>
      <c r="AQ61" s="126">
        <f t="shared" si="77"/>
        <v>0</v>
      </c>
      <c r="AR61" s="126">
        <f t="shared" si="77"/>
        <v>0</v>
      </c>
      <c r="AS61" s="126">
        <f t="shared" si="77"/>
        <v>0</v>
      </c>
      <c r="AT61" s="126">
        <f t="shared" si="77"/>
        <v>0</v>
      </c>
      <c r="AU61" s="126">
        <f t="shared" si="77"/>
        <v>0</v>
      </c>
      <c r="AV61" s="126">
        <f t="shared" si="77"/>
        <v>0</v>
      </c>
      <c r="AW61" s="126">
        <f t="shared" si="77"/>
        <v>0</v>
      </c>
      <c r="AX61" s="126">
        <f t="shared" si="77"/>
        <v>0</v>
      </c>
      <c r="AY61" s="126">
        <f t="shared" si="77"/>
        <v>0</v>
      </c>
      <c r="AZ61" s="126">
        <f t="shared" si="77"/>
        <v>0</v>
      </c>
      <c r="BA61" s="126">
        <f t="shared" si="77"/>
        <v>0</v>
      </c>
      <c r="BB61" s="114">
        <f>SUM(AP61:BA61)</f>
        <v>0</v>
      </c>
      <c r="BC61" s="126"/>
    </row>
    <row r="62" spans="1:55" s="108" customFormat="1" ht="12" x14ac:dyDescent="0.25">
      <c r="A62" s="125">
        <v>0</v>
      </c>
      <c r="B62" s="124" t="s">
        <v>610</v>
      </c>
      <c r="C62" s="112">
        <f>C51*$A$62</f>
        <v>0</v>
      </c>
      <c r="D62" s="111">
        <f>D51*$A$62</f>
        <v>0</v>
      </c>
      <c r="E62" s="112">
        <f>E51*$A$62</f>
        <v>0</v>
      </c>
      <c r="F62" s="111"/>
      <c r="G62" s="112">
        <f>G51*$A$62</f>
        <v>0</v>
      </c>
      <c r="H62" s="111"/>
      <c r="I62" s="112">
        <f>I51*$A$62</f>
        <v>0</v>
      </c>
      <c r="J62" s="111"/>
      <c r="K62" s="112">
        <f>K51*$A$62</f>
        <v>0</v>
      </c>
      <c r="L62" s="111"/>
      <c r="M62" s="112">
        <f>M51*$A$62</f>
        <v>0</v>
      </c>
      <c r="N62" s="111"/>
      <c r="O62" s="112">
        <f>O51*$A$62</f>
        <v>0</v>
      </c>
      <c r="P62" s="111"/>
      <c r="Q62" s="112">
        <f>Q51*$A$62</f>
        <v>0</v>
      </c>
      <c r="R62" s="111"/>
      <c r="S62" s="112">
        <f>S51*$A$62</f>
        <v>0</v>
      </c>
      <c r="T62" s="111"/>
      <c r="U62" s="112">
        <f>U51*$A$62</f>
        <v>0</v>
      </c>
      <c r="V62" s="111"/>
      <c r="W62" s="112">
        <f>W51*$A$62</f>
        <v>0</v>
      </c>
      <c r="X62" s="111"/>
      <c r="Y62" s="112">
        <f>Y51*$A$62</f>
        <v>0</v>
      </c>
      <c r="Z62" s="111"/>
      <c r="AA62" s="109">
        <f t="shared" ref="AA62:AH62" si="78">AA51*$A$62</f>
        <v>0</v>
      </c>
      <c r="AB62" s="109">
        <f t="shared" si="78"/>
        <v>0</v>
      </c>
      <c r="AC62" s="109">
        <f t="shared" si="78"/>
        <v>0</v>
      </c>
      <c r="AD62" s="109">
        <f t="shared" si="78"/>
        <v>0</v>
      </c>
      <c r="AE62" s="109">
        <f t="shared" si="78"/>
        <v>0</v>
      </c>
      <c r="AF62" s="109">
        <f t="shared" si="78"/>
        <v>0</v>
      </c>
      <c r="AG62" s="109">
        <f t="shared" si="78"/>
        <v>0</v>
      </c>
      <c r="AH62" s="109">
        <f t="shared" si="78"/>
        <v>0</v>
      </c>
      <c r="AI62" s="109"/>
      <c r="AJ62" s="109">
        <f>AJ51*$A$62</f>
        <v>0</v>
      </c>
      <c r="AK62" s="109">
        <f>AK51*$A$62</f>
        <v>0</v>
      </c>
      <c r="AL62" s="109">
        <f>AL51*$A$62</f>
        <v>0</v>
      </c>
      <c r="AM62" s="109">
        <f>AM51*$A$62</f>
        <v>0</v>
      </c>
      <c r="AN62" s="109">
        <f>AN51*$A$62</f>
        <v>0</v>
      </c>
      <c r="AO62" s="110">
        <f>SUM(AB62:AN62)</f>
        <v>0</v>
      </c>
      <c r="AP62" s="109">
        <f t="shared" ref="AP62:BA62" si="79">AP51*$A$62</f>
        <v>0</v>
      </c>
      <c r="AQ62" s="109">
        <f t="shared" si="79"/>
        <v>0</v>
      </c>
      <c r="AR62" s="109">
        <f t="shared" si="79"/>
        <v>0</v>
      </c>
      <c r="AS62" s="109">
        <f t="shared" si="79"/>
        <v>0</v>
      </c>
      <c r="AT62" s="109">
        <f t="shared" si="79"/>
        <v>0</v>
      </c>
      <c r="AU62" s="109">
        <f t="shared" si="79"/>
        <v>0</v>
      </c>
      <c r="AV62" s="109">
        <f t="shared" si="79"/>
        <v>0</v>
      </c>
      <c r="AW62" s="109">
        <f t="shared" si="79"/>
        <v>0</v>
      </c>
      <c r="AX62" s="109">
        <f t="shared" si="79"/>
        <v>0</v>
      </c>
      <c r="AY62" s="109">
        <f t="shared" si="79"/>
        <v>0</v>
      </c>
      <c r="AZ62" s="109">
        <f t="shared" si="79"/>
        <v>0</v>
      </c>
      <c r="BA62" s="109">
        <f t="shared" si="79"/>
        <v>0</v>
      </c>
      <c r="BB62" s="110">
        <f>SUM(AP62:BA62)</f>
        <v>0</v>
      </c>
      <c r="BC62" s="109"/>
    </row>
    <row r="63" spans="1:55" x14ac:dyDescent="0.3">
      <c r="A63" s="108"/>
      <c r="B63" s="380" t="s">
        <v>611</v>
      </c>
      <c r="C63" s="123">
        <f t="shared" ref="C63:AH63" si="80">SUM(C61:C62)</f>
        <v>0</v>
      </c>
      <c r="D63" s="388">
        <f t="shared" si="80"/>
        <v>17995.990000000002</v>
      </c>
      <c r="E63" s="123">
        <f t="shared" si="80"/>
        <v>0</v>
      </c>
      <c r="F63" s="388">
        <f t="shared" si="80"/>
        <v>0</v>
      </c>
      <c r="G63" s="123">
        <f t="shared" si="80"/>
        <v>0</v>
      </c>
      <c r="H63" s="388">
        <f t="shared" si="80"/>
        <v>0</v>
      </c>
      <c r="I63" s="123">
        <f t="shared" si="80"/>
        <v>0</v>
      </c>
      <c r="J63" s="388">
        <f t="shared" si="80"/>
        <v>0</v>
      </c>
      <c r="K63" s="123">
        <f t="shared" si="80"/>
        <v>0</v>
      </c>
      <c r="L63" s="388">
        <f t="shared" si="80"/>
        <v>0</v>
      </c>
      <c r="M63" s="123">
        <f t="shared" si="80"/>
        <v>0</v>
      </c>
      <c r="N63" s="388">
        <f t="shared" si="80"/>
        <v>0</v>
      </c>
      <c r="O63" s="123">
        <f t="shared" si="80"/>
        <v>0</v>
      </c>
      <c r="P63" s="388">
        <f t="shared" si="80"/>
        <v>0</v>
      </c>
      <c r="Q63" s="123">
        <f t="shared" si="80"/>
        <v>0</v>
      </c>
      <c r="R63" s="388">
        <f t="shared" si="80"/>
        <v>0</v>
      </c>
      <c r="S63" s="123">
        <f t="shared" si="80"/>
        <v>0</v>
      </c>
      <c r="T63" s="388">
        <f t="shared" si="80"/>
        <v>0</v>
      </c>
      <c r="U63" s="123">
        <f t="shared" si="80"/>
        <v>0</v>
      </c>
      <c r="V63" s="388">
        <f t="shared" si="80"/>
        <v>0</v>
      </c>
      <c r="W63" s="123">
        <f t="shared" si="80"/>
        <v>0</v>
      </c>
      <c r="X63" s="388">
        <f t="shared" si="80"/>
        <v>0</v>
      </c>
      <c r="Y63" s="123">
        <f t="shared" si="80"/>
        <v>0</v>
      </c>
      <c r="Z63" s="388">
        <f t="shared" si="80"/>
        <v>0</v>
      </c>
      <c r="AA63" s="389">
        <f t="shared" si="80"/>
        <v>0</v>
      </c>
      <c r="AB63" s="389">
        <f t="shared" si="80"/>
        <v>0</v>
      </c>
      <c r="AC63" s="389">
        <f t="shared" si="80"/>
        <v>0</v>
      </c>
      <c r="AD63" s="389">
        <f t="shared" si="80"/>
        <v>0</v>
      </c>
      <c r="AE63" s="389">
        <f t="shared" si="80"/>
        <v>0</v>
      </c>
      <c r="AF63" s="389">
        <f t="shared" si="80"/>
        <v>0</v>
      </c>
      <c r="AG63" s="389">
        <f t="shared" si="80"/>
        <v>0</v>
      </c>
      <c r="AH63" s="389">
        <f t="shared" si="80"/>
        <v>0</v>
      </c>
      <c r="AI63" s="389"/>
      <c r="AJ63" s="389">
        <f>SUM(AJ61:AJ62)</f>
        <v>0</v>
      </c>
      <c r="AK63" s="389">
        <f>SUM(AK61:AK62)</f>
        <v>0</v>
      </c>
      <c r="AL63" s="389">
        <f>SUM(AL61:AL62)</f>
        <v>0</v>
      </c>
      <c r="AM63" s="389">
        <f>SUM(AM61:AM62)</f>
        <v>0</v>
      </c>
      <c r="AN63" s="389">
        <f>SUM(AN61:AN62)</f>
        <v>0</v>
      </c>
      <c r="AO63" s="390">
        <f>SUM(AB63:AN63)</f>
        <v>0</v>
      </c>
      <c r="AP63" s="389">
        <f t="shared" ref="AP63:BA63" si="81">SUM(AP61:AP62)</f>
        <v>0</v>
      </c>
      <c r="AQ63" s="389">
        <f t="shared" si="81"/>
        <v>0</v>
      </c>
      <c r="AR63" s="389">
        <f t="shared" si="81"/>
        <v>0</v>
      </c>
      <c r="AS63" s="389">
        <f t="shared" si="81"/>
        <v>0</v>
      </c>
      <c r="AT63" s="389">
        <f t="shared" si="81"/>
        <v>0</v>
      </c>
      <c r="AU63" s="389">
        <f t="shared" si="81"/>
        <v>0</v>
      </c>
      <c r="AV63" s="389">
        <f t="shared" si="81"/>
        <v>0</v>
      </c>
      <c r="AW63" s="389">
        <f t="shared" si="81"/>
        <v>0</v>
      </c>
      <c r="AX63" s="389">
        <f t="shared" si="81"/>
        <v>0</v>
      </c>
      <c r="AY63" s="389">
        <f t="shared" si="81"/>
        <v>0</v>
      </c>
      <c r="AZ63" s="389">
        <f t="shared" si="81"/>
        <v>0</v>
      </c>
      <c r="BA63" s="389">
        <f t="shared" si="81"/>
        <v>0</v>
      </c>
      <c r="BB63" s="390">
        <f>SUM(AP63:BA63)</f>
        <v>0</v>
      </c>
      <c r="BC63" s="389"/>
    </row>
    <row r="64" spans="1:55" x14ac:dyDescent="0.3">
      <c r="A64" s="108"/>
      <c r="B64" s="167"/>
      <c r="C64" s="166"/>
      <c r="D64" s="165"/>
      <c r="E64" s="166"/>
      <c r="F64" s="165"/>
      <c r="G64" s="166"/>
      <c r="H64" s="165"/>
      <c r="I64" s="166"/>
      <c r="J64" s="165"/>
      <c r="K64" s="166"/>
      <c r="L64" s="165"/>
      <c r="M64" s="166"/>
      <c r="N64" s="165"/>
      <c r="O64" s="166"/>
      <c r="P64" s="165"/>
      <c r="Q64" s="166"/>
      <c r="R64" s="165"/>
      <c r="S64" s="166"/>
      <c r="T64" s="165"/>
      <c r="U64" s="166"/>
      <c r="V64" s="165"/>
      <c r="W64" s="166"/>
      <c r="X64" s="165"/>
      <c r="Y64" s="166"/>
      <c r="Z64" s="165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</row>
    <row r="65" spans="1:55" ht="15.6" x14ac:dyDescent="0.3">
      <c r="B65" s="157" t="s">
        <v>615</v>
      </c>
      <c r="C65" s="83"/>
      <c r="D65" s="82"/>
      <c r="E65" s="83"/>
      <c r="F65" s="82"/>
      <c r="G65" s="83"/>
      <c r="H65" s="82"/>
      <c r="I65" s="83"/>
      <c r="J65" s="82"/>
      <c r="K65" s="83"/>
      <c r="L65" s="82"/>
      <c r="M65" s="83"/>
      <c r="N65" s="82"/>
      <c r="O65" s="83"/>
      <c r="P65" s="82"/>
      <c r="Q65" s="83"/>
      <c r="R65" s="82"/>
      <c r="S65" s="83"/>
      <c r="T65" s="82"/>
      <c r="U65" s="83"/>
      <c r="V65" s="82"/>
      <c r="W65" s="83"/>
      <c r="X65" s="82"/>
      <c r="Y65" s="83"/>
      <c r="Z65" s="82"/>
    </row>
    <row r="66" spans="1:55" x14ac:dyDescent="0.3">
      <c r="A66" s="108"/>
      <c r="B66" s="380" t="s">
        <v>599</v>
      </c>
      <c r="C66" s="143"/>
      <c r="D66" s="385">
        <f>SUM(D67:D74)</f>
        <v>872491.33000000007</v>
      </c>
      <c r="E66" s="143"/>
      <c r="F66" s="385">
        <f>SUM(F67:F74)</f>
        <v>0</v>
      </c>
      <c r="G66" s="143"/>
      <c r="H66" s="385">
        <f>SUM(H67:H74)</f>
        <v>0</v>
      </c>
      <c r="I66" s="143"/>
      <c r="J66" s="385">
        <f>SUM(J67:J74)</f>
        <v>0</v>
      </c>
      <c r="K66" s="143"/>
      <c r="L66" s="385">
        <f>SUM(L67:L74)</f>
        <v>0</v>
      </c>
      <c r="M66" s="143"/>
      <c r="N66" s="385">
        <f>SUM(N67:N74)</f>
        <v>0</v>
      </c>
      <c r="O66" s="143"/>
      <c r="P66" s="385">
        <f>SUM(P67:P74)</f>
        <v>0</v>
      </c>
      <c r="Q66" s="143"/>
      <c r="R66" s="385">
        <f>SUM(R67:R74)</f>
        <v>0</v>
      </c>
      <c r="S66" s="143"/>
      <c r="T66" s="385">
        <f>SUM(T67:T74)</f>
        <v>0</v>
      </c>
      <c r="U66" s="143"/>
      <c r="V66" s="385">
        <f>SUM(V67:V74)</f>
        <v>0</v>
      </c>
      <c r="W66" s="143"/>
      <c r="X66" s="385">
        <f>SUM(X67:X74)</f>
        <v>0</v>
      </c>
      <c r="Y66" s="143"/>
      <c r="Z66" s="385">
        <f>SUM(Z67:Z74)</f>
        <v>0</v>
      </c>
      <c r="AA66" s="387">
        <v>0</v>
      </c>
      <c r="AB66" s="387">
        <v>0</v>
      </c>
      <c r="AC66" s="387">
        <v>0</v>
      </c>
      <c r="AD66" s="387">
        <v>0</v>
      </c>
      <c r="AE66" s="387">
        <v>0</v>
      </c>
      <c r="AF66" s="387">
        <v>0</v>
      </c>
      <c r="AG66" s="387">
        <v>0</v>
      </c>
      <c r="AH66" s="387">
        <v>0</v>
      </c>
      <c r="AI66" s="387"/>
      <c r="AJ66" s="387">
        <v>0</v>
      </c>
      <c r="AK66" s="387">
        <v>0</v>
      </c>
      <c r="AL66" s="387">
        <v>0</v>
      </c>
      <c r="AM66" s="387">
        <v>0</v>
      </c>
      <c r="AN66" s="387">
        <v>0</v>
      </c>
      <c r="AO66" s="386">
        <v>0</v>
      </c>
      <c r="AP66" s="387">
        <v>0</v>
      </c>
      <c r="AQ66" s="387">
        <v>0</v>
      </c>
      <c r="AR66" s="387">
        <v>0</v>
      </c>
      <c r="AS66" s="387">
        <v>0</v>
      </c>
      <c r="AT66" s="387">
        <v>0</v>
      </c>
      <c r="AU66" s="387">
        <v>0</v>
      </c>
      <c r="AV66" s="387">
        <v>0</v>
      </c>
      <c r="AW66" s="387">
        <v>0</v>
      </c>
      <c r="AX66" s="387">
        <v>0</v>
      </c>
      <c r="AY66" s="387">
        <v>0</v>
      </c>
      <c r="AZ66" s="387">
        <v>0</v>
      </c>
      <c r="BA66" s="387">
        <v>0</v>
      </c>
      <c r="BB66" s="386">
        <v>0</v>
      </c>
      <c r="BC66" s="387"/>
    </row>
    <row r="67" spans="1:55" x14ac:dyDescent="0.3">
      <c r="A67" s="108"/>
      <c r="B67" s="142" t="s">
        <v>600</v>
      </c>
      <c r="C67" s="141"/>
      <c r="D67" s="140"/>
      <c r="E67" s="141"/>
      <c r="F67" s="140"/>
      <c r="G67" s="141"/>
      <c r="H67" s="140"/>
      <c r="I67" s="141"/>
      <c r="J67" s="140"/>
      <c r="K67" s="141"/>
      <c r="L67" s="140"/>
      <c r="M67" s="141"/>
      <c r="N67" s="140"/>
      <c r="O67" s="141"/>
      <c r="P67" s="140"/>
      <c r="Q67" s="141"/>
      <c r="R67" s="140"/>
      <c r="S67" s="141"/>
      <c r="T67" s="140"/>
      <c r="U67" s="141"/>
      <c r="V67" s="140"/>
      <c r="W67" s="141"/>
      <c r="X67" s="140"/>
      <c r="Y67" s="141"/>
      <c r="Z67" s="140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39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39"/>
      <c r="BC67" s="108"/>
    </row>
    <row r="68" spans="1:55" x14ac:dyDescent="0.3">
      <c r="A68" s="156">
        <v>0.25345000000000001</v>
      </c>
      <c r="B68" s="138" t="s">
        <v>601</v>
      </c>
      <c r="C68" s="116"/>
      <c r="D68" s="115">
        <v>126846.29</v>
      </c>
      <c r="E68" s="116"/>
      <c r="F68" s="115"/>
      <c r="G68" s="116"/>
      <c r="H68" s="115"/>
      <c r="I68" s="116"/>
      <c r="J68" s="115"/>
      <c r="K68" s="116"/>
      <c r="L68" s="115"/>
      <c r="M68" s="116"/>
      <c r="N68" s="115"/>
      <c r="O68" s="116"/>
      <c r="P68" s="115"/>
      <c r="Q68" s="116"/>
      <c r="R68" s="115"/>
      <c r="S68" s="116"/>
      <c r="T68" s="115"/>
      <c r="U68" s="116"/>
      <c r="V68" s="115"/>
      <c r="W68" s="116"/>
      <c r="X68" s="115"/>
      <c r="Y68" s="116"/>
      <c r="Z68" s="115"/>
      <c r="AA68" s="93">
        <f t="shared" ref="AA68:AH68" si="82">AA66*$A$68</f>
        <v>0</v>
      </c>
      <c r="AB68" s="93">
        <f t="shared" si="82"/>
        <v>0</v>
      </c>
      <c r="AC68" s="93">
        <f t="shared" si="82"/>
        <v>0</v>
      </c>
      <c r="AD68" s="93">
        <f t="shared" si="82"/>
        <v>0</v>
      </c>
      <c r="AE68" s="93">
        <f t="shared" si="82"/>
        <v>0</v>
      </c>
      <c r="AF68" s="93">
        <f t="shared" si="82"/>
        <v>0</v>
      </c>
      <c r="AG68" s="93">
        <f t="shared" si="82"/>
        <v>0</v>
      </c>
      <c r="AH68" s="93">
        <f t="shared" si="82"/>
        <v>0</v>
      </c>
      <c r="AI68" s="93"/>
      <c r="AJ68" s="93">
        <f>AJ66*$A$68</f>
        <v>0</v>
      </c>
      <c r="AK68" s="93">
        <f>AK66*$A$68</f>
        <v>0</v>
      </c>
      <c r="AL68" s="93">
        <f>AL66*$A$68</f>
        <v>0</v>
      </c>
      <c r="AM68" s="93">
        <f>AM66*$A$68</f>
        <v>0</v>
      </c>
      <c r="AN68" s="93">
        <f>AN66*$A$68</f>
        <v>0</v>
      </c>
      <c r="AO68" s="114">
        <f t="shared" ref="AO68:AO74" si="83">SUM(AB68:AN68)</f>
        <v>0</v>
      </c>
      <c r="AP68" s="93">
        <f t="shared" ref="AP68:BA68" si="84">AP66*$A$68</f>
        <v>0</v>
      </c>
      <c r="AQ68" s="93">
        <f t="shared" si="84"/>
        <v>0</v>
      </c>
      <c r="AR68" s="93">
        <f t="shared" si="84"/>
        <v>0</v>
      </c>
      <c r="AS68" s="93">
        <f t="shared" si="84"/>
        <v>0</v>
      </c>
      <c r="AT68" s="93">
        <f t="shared" si="84"/>
        <v>0</v>
      </c>
      <c r="AU68" s="93">
        <f t="shared" si="84"/>
        <v>0</v>
      </c>
      <c r="AV68" s="93">
        <f t="shared" si="84"/>
        <v>0</v>
      </c>
      <c r="AW68" s="93">
        <f t="shared" si="84"/>
        <v>0</v>
      </c>
      <c r="AX68" s="93">
        <f t="shared" si="84"/>
        <v>0</v>
      </c>
      <c r="AY68" s="93">
        <f t="shared" si="84"/>
        <v>0</v>
      </c>
      <c r="AZ68" s="93">
        <f t="shared" si="84"/>
        <v>0</v>
      </c>
      <c r="BA68" s="93">
        <f t="shared" si="84"/>
        <v>0</v>
      </c>
      <c r="BB68" s="114">
        <f t="shared" ref="BB68:BB74" si="85">SUM(AP68:BA68)</f>
        <v>0</v>
      </c>
      <c r="BC68" s="93"/>
    </row>
    <row r="69" spans="1:55" x14ac:dyDescent="0.3">
      <c r="A69" s="156">
        <v>0</v>
      </c>
      <c r="B69" s="138" t="s">
        <v>602</v>
      </c>
      <c r="C69" s="116"/>
      <c r="D69" s="115"/>
      <c r="E69" s="116"/>
      <c r="F69" s="115"/>
      <c r="G69" s="116"/>
      <c r="H69" s="115"/>
      <c r="I69" s="116"/>
      <c r="J69" s="115"/>
      <c r="K69" s="116"/>
      <c r="L69" s="115"/>
      <c r="M69" s="116"/>
      <c r="N69" s="115"/>
      <c r="O69" s="116"/>
      <c r="P69" s="115"/>
      <c r="Q69" s="116"/>
      <c r="R69" s="115"/>
      <c r="S69" s="116"/>
      <c r="T69" s="115"/>
      <c r="U69" s="116"/>
      <c r="V69" s="115"/>
      <c r="W69" s="116"/>
      <c r="X69" s="115"/>
      <c r="Y69" s="116"/>
      <c r="Z69" s="115"/>
      <c r="AA69" s="93">
        <f t="shared" ref="AA69:AH69" si="86">AA66*$A$69</f>
        <v>0</v>
      </c>
      <c r="AB69" s="93">
        <f t="shared" si="86"/>
        <v>0</v>
      </c>
      <c r="AC69" s="93">
        <f t="shared" si="86"/>
        <v>0</v>
      </c>
      <c r="AD69" s="93">
        <f t="shared" si="86"/>
        <v>0</v>
      </c>
      <c r="AE69" s="93">
        <f t="shared" si="86"/>
        <v>0</v>
      </c>
      <c r="AF69" s="93">
        <f t="shared" si="86"/>
        <v>0</v>
      </c>
      <c r="AG69" s="93">
        <f t="shared" si="86"/>
        <v>0</v>
      </c>
      <c r="AH69" s="93">
        <f t="shared" si="86"/>
        <v>0</v>
      </c>
      <c r="AI69" s="93"/>
      <c r="AJ69" s="93">
        <f>AJ66*$A$69</f>
        <v>0</v>
      </c>
      <c r="AK69" s="93">
        <f>AK66*$A$69</f>
        <v>0</v>
      </c>
      <c r="AL69" s="93">
        <f>AL66*$A$69</f>
        <v>0</v>
      </c>
      <c r="AM69" s="93">
        <f>AM66*$A$69</f>
        <v>0</v>
      </c>
      <c r="AN69" s="93">
        <f>AN66*$A$69</f>
        <v>0</v>
      </c>
      <c r="AO69" s="114">
        <f t="shared" si="83"/>
        <v>0</v>
      </c>
      <c r="AP69" s="93">
        <f t="shared" ref="AP69:BA69" si="87">AP66*$A$69</f>
        <v>0</v>
      </c>
      <c r="AQ69" s="93">
        <f t="shared" si="87"/>
        <v>0</v>
      </c>
      <c r="AR69" s="93">
        <f t="shared" si="87"/>
        <v>0</v>
      </c>
      <c r="AS69" s="93">
        <f t="shared" si="87"/>
        <v>0</v>
      </c>
      <c r="AT69" s="93">
        <f t="shared" si="87"/>
        <v>0</v>
      </c>
      <c r="AU69" s="93">
        <f t="shared" si="87"/>
        <v>0</v>
      </c>
      <c r="AV69" s="93">
        <f t="shared" si="87"/>
        <v>0</v>
      </c>
      <c r="AW69" s="93">
        <f t="shared" si="87"/>
        <v>0</v>
      </c>
      <c r="AX69" s="93">
        <f t="shared" si="87"/>
        <v>0</v>
      </c>
      <c r="AY69" s="93">
        <f t="shared" si="87"/>
        <v>0</v>
      </c>
      <c r="AZ69" s="93">
        <f t="shared" si="87"/>
        <v>0</v>
      </c>
      <c r="BA69" s="93">
        <f t="shared" si="87"/>
        <v>0</v>
      </c>
      <c r="BB69" s="114">
        <f t="shared" si="85"/>
        <v>0</v>
      </c>
      <c r="BC69" s="93"/>
    </row>
    <row r="70" spans="1:55" x14ac:dyDescent="0.3">
      <c r="A70" s="156">
        <f>71.058%+0.015%</f>
        <v>0.71073000000000008</v>
      </c>
      <c r="B70" s="138" t="s">
        <v>603</v>
      </c>
      <c r="C70" s="116"/>
      <c r="D70" s="115">
        <v>745645.04</v>
      </c>
      <c r="E70" s="116"/>
      <c r="F70" s="115"/>
      <c r="G70" s="116"/>
      <c r="H70" s="115"/>
      <c r="I70" s="116"/>
      <c r="J70" s="115"/>
      <c r="K70" s="116"/>
      <c r="L70" s="115"/>
      <c r="M70" s="116"/>
      <c r="N70" s="115"/>
      <c r="O70" s="116"/>
      <c r="P70" s="115"/>
      <c r="Q70" s="116"/>
      <c r="R70" s="115"/>
      <c r="S70" s="116"/>
      <c r="T70" s="115"/>
      <c r="U70" s="116"/>
      <c r="V70" s="115"/>
      <c r="W70" s="116"/>
      <c r="X70" s="115"/>
      <c r="Y70" s="116"/>
      <c r="Z70" s="115"/>
      <c r="AA70" s="93">
        <f t="shared" ref="AA70:AH70" si="88">AA66*$A$70</f>
        <v>0</v>
      </c>
      <c r="AB70" s="93">
        <f t="shared" si="88"/>
        <v>0</v>
      </c>
      <c r="AC70" s="93">
        <f t="shared" si="88"/>
        <v>0</v>
      </c>
      <c r="AD70" s="93">
        <f t="shared" si="88"/>
        <v>0</v>
      </c>
      <c r="AE70" s="93">
        <f t="shared" si="88"/>
        <v>0</v>
      </c>
      <c r="AF70" s="93">
        <f t="shared" si="88"/>
        <v>0</v>
      </c>
      <c r="AG70" s="93">
        <f t="shared" si="88"/>
        <v>0</v>
      </c>
      <c r="AH70" s="93">
        <f t="shared" si="88"/>
        <v>0</v>
      </c>
      <c r="AI70" s="93"/>
      <c r="AJ70" s="93">
        <f>AJ66*$A$70</f>
        <v>0</v>
      </c>
      <c r="AK70" s="93">
        <f>AK66*$A$70</f>
        <v>0</v>
      </c>
      <c r="AL70" s="93">
        <f>AL66*$A$70</f>
        <v>0</v>
      </c>
      <c r="AM70" s="93">
        <f>AM66*$A$70</f>
        <v>0</v>
      </c>
      <c r="AN70" s="93">
        <f>AN66*$A$70</f>
        <v>0</v>
      </c>
      <c r="AO70" s="114">
        <f t="shared" si="83"/>
        <v>0</v>
      </c>
      <c r="AP70" s="93">
        <f t="shared" ref="AP70:BA70" si="89">AP66*$A$70</f>
        <v>0</v>
      </c>
      <c r="AQ70" s="93">
        <f t="shared" si="89"/>
        <v>0</v>
      </c>
      <c r="AR70" s="93">
        <f t="shared" si="89"/>
        <v>0</v>
      </c>
      <c r="AS70" s="93">
        <f t="shared" si="89"/>
        <v>0</v>
      </c>
      <c r="AT70" s="93">
        <f t="shared" si="89"/>
        <v>0</v>
      </c>
      <c r="AU70" s="93">
        <f t="shared" si="89"/>
        <v>0</v>
      </c>
      <c r="AV70" s="93">
        <f t="shared" si="89"/>
        <v>0</v>
      </c>
      <c r="AW70" s="93">
        <f t="shared" si="89"/>
        <v>0</v>
      </c>
      <c r="AX70" s="93">
        <f t="shared" si="89"/>
        <v>0</v>
      </c>
      <c r="AY70" s="93">
        <f t="shared" si="89"/>
        <v>0</v>
      </c>
      <c r="AZ70" s="93">
        <f t="shared" si="89"/>
        <v>0</v>
      </c>
      <c r="BA70" s="93">
        <f t="shared" si="89"/>
        <v>0</v>
      </c>
      <c r="BB70" s="114">
        <f t="shared" si="85"/>
        <v>0</v>
      </c>
      <c r="BC70" s="93"/>
    </row>
    <row r="71" spans="1:55" x14ac:dyDescent="0.3">
      <c r="A71" s="156">
        <v>0</v>
      </c>
      <c r="B71" s="138" t="s">
        <v>604</v>
      </c>
      <c r="C71" s="116"/>
      <c r="D71" s="115"/>
      <c r="E71" s="116"/>
      <c r="F71" s="115"/>
      <c r="G71" s="116"/>
      <c r="H71" s="115"/>
      <c r="I71" s="116"/>
      <c r="J71" s="115"/>
      <c r="K71" s="116"/>
      <c r="L71" s="115"/>
      <c r="M71" s="116"/>
      <c r="N71" s="115"/>
      <c r="O71" s="116"/>
      <c r="P71" s="115"/>
      <c r="Q71" s="116"/>
      <c r="R71" s="115"/>
      <c r="S71" s="116"/>
      <c r="T71" s="115"/>
      <c r="U71" s="116"/>
      <c r="V71" s="115"/>
      <c r="W71" s="116"/>
      <c r="X71" s="115"/>
      <c r="Y71" s="116"/>
      <c r="Z71" s="115"/>
      <c r="AA71" s="93">
        <f t="shared" ref="AA71:AH71" si="90">AA66*$A$71</f>
        <v>0</v>
      </c>
      <c r="AB71" s="93">
        <f t="shared" si="90"/>
        <v>0</v>
      </c>
      <c r="AC71" s="93">
        <f t="shared" si="90"/>
        <v>0</v>
      </c>
      <c r="AD71" s="93">
        <f t="shared" si="90"/>
        <v>0</v>
      </c>
      <c r="AE71" s="93">
        <f t="shared" si="90"/>
        <v>0</v>
      </c>
      <c r="AF71" s="93">
        <f t="shared" si="90"/>
        <v>0</v>
      </c>
      <c r="AG71" s="93">
        <f t="shared" si="90"/>
        <v>0</v>
      </c>
      <c r="AH71" s="93">
        <f t="shared" si="90"/>
        <v>0</v>
      </c>
      <c r="AI71" s="93"/>
      <c r="AJ71" s="93">
        <f>AJ66*$A$71</f>
        <v>0</v>
      </c>
      <c r="AK71" s="93">
        <f>AK66*$A$71</f>
        <v>0</v>
      </c>
      <c r="AL71" s="93">
        <f>AL66*$A$71</f>
        <v>0</v>
      </c>
      <c r="AM71" s="93">
        <f>AM66*$A$71</f>
        <v>0</v>
      </c>
      <c r="AN71" s="93">
        <f>AN66*$A$71</f>
        <v>0</v>
      </c>
      <c r="AO71" s="114">
        <f t="shared" si="83"/>
        <v>0</v>
      </c>
      <c r="AP71" s="93">
        <f t="shared" ref="AP71:BA71" si="91">AP66*$A$71</f>
        <v>0</v>
      </c>
      <c r="AQ71" s="93">
        <f t="shared" si="91"/>
        <v>0</v>
      </c>
      <c r="AR71" s="93">
        <f t="shared" si="91"/>
        <v>0</v>
      </c>
      <c r="AS71" s="93">
        <f t="shared" si="91"/>
        <v>0</v>
      </c>
      <c r="AT71" s="93">
        <f t="shared" si="91"/>
        <v>0</v>
      </c>
      <c r="AU71" s="93">
        <f t="shared" si="91"/>
        <v>0</v>
      </c>
      <c r="AV71" s="93">
        <f t="shared" si="91"/>
        <v>0</v>
      </c>
      <c r="AW71" s="93">
        <f t="shared" si="91"/>
        <v>0</v>
      </c>
      <c r="AX71" s="93">
        <f t="shared" si="91"/>
        <v>0</v>
      </c>
      <c r="AY71" s="93">
        <f t="shared" si="91"/>
        <v>0</v>
      </c>
      <c r="AZ71" s="93">
        <f t="shared" si="91"/>
        <v>0</v>
      </c>
      <c r="BA71" s="93">
        <f t="shared" si="91"/>
        <v>0</v>
      </c>
      <c r="BB71" s="114">
        <f t="shared" si="85"/>
        <v>0</v>
      </c>
      <c r="BC71" s="93"/>
    </row>
    <row r="72" spans="1:55" x14ac:dyDescent="0.3">
      <c r="A72" s="156">
        <v>1.438E-2</v>
      </c>
      <c r="B72" s="138" t="s">
        <v>605</v>
      </c>
      <c r="C72" s="116"/>
      <c r="D72" s="115"/>
      <c r="E72" s="116"/>
      <c r="F72" s="115"/>
      <c r="G72" s="116"/>
      <c r="H72" s="115"/>
      <c r="I72" s="116"/>
      <c r="J72" s="115"/>
      <c r="K72" s="116"/>
      <c r="L72" s="115"/>
      <c r="M72" s="116"/>
      <c r="N72" s="115"/>
      <c r="O72" s="116"/>
      <c r="P72" s="115"/>
      <c r="Q72" s="116"/>
      <c r="R72" s="115"/>
      <c r="S72" s="116"/>
      <c r="T72" s="115"/>
      <c r="U72" s="116"/>
      <c r="V72" s="115"/>
      <c r="W72" s="116"/>
      <c r="X72" s="115"/>
      <c r="Y72" s="116"/>
      <c r="Z72" s="115"/>
      <c r="AA72" s="93">
        <f t="shared" ref="AA72:AH72" si="92">AA66*$A$72</f>
        <v>0</v>
      </c>
      <c r="AB72" s="93">
        <f t="shared" si="92"/>
        <v>0</v>
      </c>
      <c r="AC72" s="93">
        <f t="shared" si="92"/>
        <v>0</v>
      </c>
      <c r="AD72" s="93">
        <f t="shared" si="92"/>
        <v>0</v>
      </c>
      <c r="AE72" s="93">
        <f t="shared" si="92"/>
        <v>0</v>
      </c>
      <c r="AF72" s="93">
        <f t="shared" si="92"/>
        <v>0</v>
      </c>
      <c r="AG72" s="93">
        <f t="shared" si="92"/>
        <v>0</v>
      </c>
      <c r="AH72" s="93">
        <f t="shared" si="92"/>
        <v>0</v>
      </c>
      <c r="AI72" s="93"/>
      <c r="AJ72" s="93">
        <f>AJ66*$A$72</f>
        <v>0</v>
      </c>
      <c r="AK72" s="93">
        <f>AK66*$A$72</f>
        <v>0</v>
      </c>
      <c r="AL72" s="93">
        <f>AL66*$A$72</f>
        <v>0</v>
      </c>
      <c r="AM72" s="93">
        <f>AM66*$A$72</f>
        <v>0</v>
      </c>
      <c r="AN72" s="93">
        <f>AN66*$A$72</f>
        <v>0</v>
      </c>
      <c r="AO72" s="114">
        <f t="shared" si="83"/>
        <v>0</v>
      </c>
      <c r="AP72" s="93">
        <f t="shared" ref="AP72:BA72" si="93">AP66*$A$72</f>
        <v>0</v>
      </c>
      <c r="AQ72" s="93">
        <f t="shared" si="93"/>
        <v>0</v>
      </c>
      <c r="AR72" s="93">
        <f t="shared" si="93"/>
        <v>0</v>
      </c>
      <c r="AS72" s="93">
        <f t="shared" si="93"/>
        <v>0</v>
      </c>
      <c r="AT72" s="93">
        <f t="shared" si="93"/>
        <v>0</v>
      </c>
      <c r="AU72" s="93">
        <f t="shared" si="93"/>
        <v>0</v>
      </c>
      <c r="AV72" s="93">
        <f t="shared" si="93"/>
        <v>0</v>
      </c>
      <c r="AW72" s="93">
        <f t="shared" si="93"/>
        <v>0</v>
      </c>
      <c r="AX72" s="93">
        <f t="shared" si="93"/>
        <v>0</v>
      </c>
      <c r="AY72" s="93">
        <f t="shared" si="93"/>
        <v>0</v>
      </c>
      <c r="AZ72" s="93">
        <f t="shared" si="93"/>
        <v>0</v>
      </c>
      <c r="BA72" s="93">
        <f t="shared" si="93"/>
        <v>0</v>
      </c>
      <c r="BB72" s="114">
        <f t="shared" si="85"/>
        <v>0</v>
      </c>
      <c r="BC72" s="93"/>
    </row>
    <row r="73" spans="1:55" x14ac:dyDescent="0.3">
      <c r="A73" s="156">
        <v>6.3000000000000003E-4</v>
      </c>
      <c r="B73" s="138" t="s">
        <v>606</v>
      </c>
      <c r="C73" s="116"/>
      <c r="D73" s="115"/>
      <c r="E73" s="116"/>
      <c r="F73" s="115"/>
      <c r="G73" s="116"/>
      <c r="H73" s="115"/>
      <c r="I73" s="116"/>
      <c r="J73" s="115"/>
      <c r="K73" s="116"/>
      <c r="L73" s="115"/>
      <c r="M73" s="116"/>
      <c r="N73" s="115"/>
      <c r="O73" s="116"/>
      <c r="P73" s="115"/>
      <c r="Q73" s="116"/>
      <c r="R73" s="115"/>
      <c r="S73" s="116"/>
      <c r="T73" s="115"/>
      <c r="U73" s="116"/>
      <c r="V73" s="115"/>
      <c r="W73" s="116"/>
      <c r="X73" s="115"/>
      <c r="Y73" s="116"/>
      <c r="Z73" s="115"/>
      <c r="AA73" s="93">
        <f t="shared" ref="AA73:AH73" si="94">AA66*$A$73</f>
        <v>0</v>
      </c>
      <c r="AB73" s="93">
        <f t="shared" si="94"/>
        <v>0</v>
      </c>
      <c r="AC73" s="93">
        <f t="shared" si="94"/>
        <v>0</v>
      </c>
      <c r="AD73" s="93">
        <f t="shared" si="94"/>
        <v>0</v>
      </c>
      <c r="AE73" s="93">
        <f t="shared" si="94"/>
        <v>0</v>
      </c>
      <c r="AF73" s="93">
        <f t="shared" si="94"/>
        <v>0</v>
      </c>
      <c r="AG73" s="93">
        <f t="shared" si="94"/>
        <v>0</v>
      </c>
      <c r="AH73" s="93">
        <f t="shared" si="94"/>
        <v>0</v>
      </c>
      <c r="AI73" s="93"/>
      <c r="AJ73" s="93">
        <f>AJ66*$A$73</f>
        <v>0</v>
      </c>
      <c r="AK73" s="93">
        <f>AK66*$A$73</f>
        <v>0</v>
      </c>
      <c r="AL73" s="93">
        <f>AL66*$A$73</f>
        <v>0</v>
      </c>
      <c r="AM73" s="93">
        <f>AM66*$A$73</f>
        <v>0</v>
      </c>
      <c r="AN73" s="93">
        <f>AN66*$A$73</f>
        <v>0</v>
      </c>
      <c r="AO73" s="114">
        <f t="shared" si="83"/>
        <v>0</v>
      </c>
      <c r="AP73" s="93">
        <f t="shared" ref="AP73:BA73" si="95">AP66*$A$73</f>
        <v>0</v>
      </c>
      <c r="AQ73" s="93">
        <f t="shared" si="95"/>
        <v>0</v>
      </c>
      <c r="AR73" s="93">
        <f t="shared" si="95"/>
        <v>0</v>
      </c>
      <c r="AS73" s="93">
        <f t="shared" si="95"/>
        <v>0</v>
      </c>
      <c r="AT73" s="93">
        <f t="shared" si="95"/>
        <v>0</v>
      </c>
      <c r="AU73" s="93">
        <f t="shared" si="95"/>
        <v>0</v>
      </c>
      <c r="AV73" s="93">
        <f t="shared" si="95"/>
        <v>0</v>
      </c>
      <c r="AW73" s="93">
        <f t="shared" si="95"/>
        <v>0</v>
      </c>
      <c r="AX73" s="93">
        <f t="shared" si="95"/>
        <v>0</v>
      </c>
      <c r="AY73" s="93">
        <f t="shared" si="95"/>
        <v>0</v>
      </c>
      <c r="AZ73" s="93">
        <f t="shared" si="95"/>
        <v>0</v>
      </c>
      <c r="BA73" s="93">
        <f t="shared" si="95"/>
        <v>0</v>
      </c>
      <c r="BB73" s="114">
        <f t="shared" si="85"/>
        <v>0</v>
      </c>
      <c r="BC73" s="93"/>
    </row>
    <row r="74" spans="1:55" x14ac:dyDescent="0.3">
      <c r="A74" s="156">
        <v>2.0809999999999999E-2</v>
      </c>
      <c r="B74" s="138" t="s">
        <v>607</v>
      </c>
      <c r="C74" s="116"/>
      <c r="D74" s="115"/>
      <c r="E74" s="116"/>
      <c r="F74" s="115"/>
      <c r="G74" s="116"/>
      <c r="H74" s="115"/>
      <c r="I74" s="116"/>
      <c r="J74" s="115"/>
      <c r="K74" s="116"/>
      <c r="L74" s="115"/>
      <c r="M74" s="116"/>
      <c r="N74" s="115"/>
      <c r="O74" s="116"/>
      <c r="P74" s="115"/>
      <c r="Q74" s="116"/>
      <c r="R74" s="115"/>
      <c r="S74" s="116"/>
      <c r="T74" s="115"/>
      <c r="U74" s="116"/>
      <c r="V74" s="115"/>
      <c r="W74" s="116"/>
      <c r="X74" s="115"/>
      <c r="Y74" s="116"/>
      <c r="Z74" s="115"/>
      <c r="AA74" s="93">
        <f t="shared" ref="AA74:AH74" si="96">AA66*$A$74</f>
        <v>0</v>
      </c>
      <c r="AB74" s="93">
        <f t="shared" si="96"/>
        <v>0</v>
      </c>
      <c r="AC74" s="93">
        <f t="shared" si="96"/>
        <v>0</v>
      </c>
      <c r="AD74" s="93">
        <f t="shared" si="96"/>
        <v>0</v>
      </c>
      <c r="AE74" s="93">
        <f t="shared" si="96"/>
        <v>0</v>
      </c>
      <c r="AF74" s="93">
        <f t="shared" si="96"/>
        <v>0</v>
      </c>
      <c r="AG74" s="93">
        <f t="shared" si="96"/>
        <v>0</v>
      </c>
      <c r="AH74" s="93">
        <f t="shared" si="96"/>
        <v>0</v>
      </c>
      <c r="AI74" s="93"/>
      <c r="AJ74" s="93">
        <f>AJ66*$A$74</f>
        <v>0</v>
      </c>
      <c r="AK74" s="93">
        <f>AK66*$A$74</f>
        <v>0</v>
      </c>
      <c r="AL74" s="93">
        <f>AL66*$A$74</f>
        <v>0</v>
      </c>
      <c r="AM74" s="93">
        <f>AM66*$A$74</f>
        <v>0</v>
      </c>
      <c r="AN74" s="93">
        <f>AN66*$A$74</f>
        <v>0</v>
      </c>
      <c r="AO74" s="114">
        <f t="shared" si="83"/>
        <v>0</v>
      </c>
      <c r="AP74" s="93">
        <f t="shared" ref="AP74:BA74" si="97">AP66*$A$74</f>
        <v>0</v>
      </c>
      <c r="AQ74" s="93">
        <f t="shared" si="97"/>
        <v>0</v>
      </c>
      <c r="AR74" s="93">
        <f t="shared" si="97"/>
        <v>0</v>
      </c>
      <c r="AS74" s="93">
        <f t="shared" si="97"/>
        <v>0</v>
      </c>
      <c r="AT74" s="93">
        <f t="shared" si="97"/>
        <v>0</v>
      </c>
      <c r="AU74" s="93">
        <f t="shared" si="97"/>
        <v>0</v>
      </c>
      <c r="AV74" s="93">
        <f t="shared" si="97"/>
        <v>0</v>
      </c>
      <c r="AW74" s="93">
        <f t="shared" si="97"/>
        <v>0</v>
      </c>
      <c r="AX74" s="93">
        <f t="shared" si="97"/>
        <v>0</v>
      </c>
      <c r="AY74" s="93">
        <f t="shared" si="97"/>
        <v>0</v>
      </c>
      <c r="AZ74" s="93">
        <f t="shared" si="97"/>
        <v>0</v>
      </c>
      <c r="BA74" s="93">
        <f t="shared" si="97"/>
        <v>0</v>
      </c>
      <c r="BB74" s="114">
        <f t="shared" si="85"/>
        <v>0</v>
      </c>
      <c r="BC74" s="93"/>
    </row>
    <row r="75" spans="1:55" x14ac:dyDescent="0.3">
      <c r="A75" s="108"/>
      <c r="B75" s="137" t="s">
        <v>608</v>
      </c>
      <c r="C75" s="136"/>
      <c r="D75" s="135"/>
      <c r="E75" s="136"/>
      <c r="F75" s="135"/>
      <c r="G75" s="136"/>
      <c r="H75" s="135"/>
      <c r="I75" s="136"/>
      <c r="J75" s="135"/>
      <c r="K75" s="136"/>
      <c r="L75" s="135"/>
      <c r="M75" s="136"/>
      <c r="N75" s="135"/>
      <c r="O75" s="136"/>
      <c r="P75" s="135"/>
      <c r="Q75" s="136"/>
      <c r="R75" s="135"/>
      <c r="S75" s="136"/>
      <c r="T75" s="135"/>
      <c r="U75" s="136"/>
      <c r="V75" s="135"/>
      <c r="W75" s="136"/>
      <c r="X75" s="135"/>
      <c r="Y75" s="136"/>
      <c r="Z75" s="135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55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55"/>
      <c r="BC75" s="132"/>
    </row>
    <row r="76" spans="1:55" x14ac:dyDescent="0.3">
      <c r="A76" s="125">
        <v>0</v>
      </c>
      <c r="B76" s="131" t="s">
        <v>609</v>
      </c>
      <c r="C76" s="130">
        <f>C66*$A$76</f>
        <v>0</v>
      </c>
      <c r="D76" s="129"/>
      <c r="E76" s="130">
        <f>E66*$A$76</f>
        <v>0</v>
      </c>
      <c r="F76" s="129"/>
      <c r="G76" s="130">
        <f>G66*$A$76</f>
        <v>0</v>
      </c>
      <c r="H76" s="129"/>
      <c r="I76" s="130">
        <f>I66*$A$76</f>
        <v>0</v>
      </c>
      <c r="J76" s="129"/>
      <c r="K76" s="130">
        <f>K66*$A$76</f>
        <v>0</v>
      </c>
      <c r="L76" s="129"/>
      <c r="M76" s="130">
        <f>M66*$A$76</f>
        <v>0</v>
      </c>
      <c r="N76" s="129"/>
      <c r="O76" s="130">
        <f>O66*$A$76</f>
        <v>0</v>
      </c>
      <c r="P76" s="129"/>
      <c r="Q76" s="130">
        <f>Q66*$A$76</f>
        <v>0</v>
      </c>
      <c r="R76" s="129"/>
      <c r="S76" s="130">
        <f>S66*$A$76</f>
        <v>0</v>
      </c>
      <c r="T76" s="129"/>
      <c r="U76" s="130">
        <f>U66*$A$76</f>
        <v>0</v>
      </c>
      <c r="V76" s="129"/>
      <c r="W76" s="130">
        <f>W66*$A$76</f>
        <v>0</v>
      </c>
      <c r="X76" s="129"/>
      <c r="Y76" s="130">
        <f>Y66*$A$76</f>
        <v>0</v>
      </c>
      <c r="Z76" s="129"/>
      <c r="AA76" s="126">
        <f t="shared" ref="AA76:AH76" si="98">AA66*$A$76</f>
        <v>0</v>
      </c>
      <c r="AB76" s="126">
        <f t="shared" si="98"/>
        <v>0</v>
      </c>
      <c r="AC76" s="126">
        <f t="shared" si="98"/>
        <v>0</v>
      </c>
      <c r="AD76" s="126">
        <f t="shared" si="98"/>
        <v>0</v>
      </c>
      <c r="AE76" s="126">
        <f t="shared" si="98"/>
        <v>0</v>
      </c>
      <c r="AF76" s="126">
        <f t="shared" si="98"/>
        <v>0</v>
      </c>
      <c r="AG76" s="126">
        <f t="shared" si="98"/>
        <v>0</v>
      </c>
      <c r="AH76" s="126">
        <f t="shared" si="98"/>
        <v>0</v>
      </c>
      <c r="AI76" s="126"/>
      <c r="AJ76" s="126">
        <f>AJ66*$A$76</f>
        <v>0</v>
      </c>
      <c r="AK76" s="126">
        <f>AK66*$A$76</f>
        <v>0</v>
      </c>
      <c r="AL76" s="126">
        <f>AL66*$A$76</f>
        <v>0</v>
      </c>
      <c r="AM76" s="126">
        <f>AM66*$A$76</f>
        <v>0</v>
      </c>
      <c r="AN76" s="126">
        <f>AN66*$A$76</f>
        <v>0</v>
      </c>
      <c r="AO76" s="114">
        <f>SUM(AB76:AN76)</f>
        <v>0</v>
      </c>
      <c r="AP76" s="126">
        <f t="shared" ref="AP76:BA76" si="99">AP66*$A$76</f>
        <v>0</v>
      </c>
      <c r="AQ76" s="126">
        <f t="shared" si="99"/>
        <v>0</v>
      </c>
      <c r="AR76" s="126">
        <f t="shared" si="99"/>
        <v>0</v>
      </c>
      <c r="AS76" s="126">
        <f t="shared" si="99"/>
        <v>0</v>
      </c>
      <c r="AT76" s="126">
        <f t="shared" si="99"/>
        <v>0</v>
      </c>
      <c r="AU76" s="126">
        <f t="shared" si="99"/>
        <v>0</v>
      </c>
      <c r="AV76" s="126">
        <f t="shared" si="99"/>
        <v>0</v>
      </c>
      <c r="AW76" s="126">
        <f t="shared" si="99"/>
        <v>0</v>
      </c>
      <c r="AX76" s="126">
        <f t="shared" si="99"/>
        <v>0</v>
      </c>
      <c r="AY76" s="126">
        <f t="shared" si="99"/>
        <v>0</v>
      </c>
      <c r="AZ76" s="126">
        <f t="shared" si="99"/>
        <v>0</v>
      </c>
      <c r="BA76" s="126">
        <f t="shared" si="99"/>
        <v>0</v>
      </c>
      <c r="BB76" s="114">
        <f>SUM(AP76:BA76)</f>
        <v>0</v>
      </c>
      <c r="BC76" s="126"/>
    </row>
    <row r="77" spans="1:55" x14ac:dyDescent="0.3">
      <c r="A77" s="125">
        <v>8.9999999999999993E-3</v>
      </c>
      <c r="B77" s="124" t="s">
        <v>610</v>
      </c>
      <c r="C77" s="112">
        <f t="shared" ref="C77:AH77" si="100">C66*$A$77</f>
        <v>0</v>
      </c>
      <c r="D77" s="111">
        <f t="shared" si="100"/>
        <v>7852.4219700000003</v>
      </c>
      <c r="E77" s="112">
        <f t="shared" si="100"/>
        <v>0</v>
      </c>
      <c r="F77" s="111">
        <f t="shared" si="100"/>
        <v>0</v>
      </c>
      <c r="G77" s="112">
        <f t="shared" si="100"/>
        <v>0</v>
      </c>
      <c r="H77" s="111">
        <f t="shared" si="100"/>
        <v>0</v>
      </c>
      <c r="I77" s="112">
        <f t="shared" si="100"/>
        <v>0</v>
      </c>
      <c r="J77" s="111">
        <f t="shared" si="100"/>
        <v>0</v>
      </c>
      <c r="K77" s="112">
        <f t="shared" si="100"/>
        <v>0</v>
      </c>
      <c r="L77" s="111">
        <f t="shared" si="100"/>
        <v>0</v>
      </c>
      <c r="M77" s="112">
        <f t="shared" si="100"/>
        <v>0</v>
      </c>
      <c r="N77" s="111">
        <f t="shared" si="100"/>
        <v>0</v>
      </c>
      <c r="O77" s="112">
        <f t="shared" si="100"/>
        <v>0</v>
      </c>
      <c r="P77" s="111">
        <f t="shared" si="100"/>
        <v>0</v>
      </c>
      <c r="Q77" s="112">
        <f t="shared" si="100"/>
        <v>0</v>
      </c>
      <c r="R77" s="111">
        <f t="shared" si="100"/>
        <v>0</v>
      </c>
      <c r="S77" s="112">
        <f t="shared" si="100"/>
        <v>0</v>
      </c>
      <c r="T77" s="111">
        <f t="shared" si="100"/>
        <v>0</v>
      </c>
      <c r="U77" s="112">
        <f t="shared" si="100"/>
        <v>0</v>
      </c>
      <c r="V77" s="111">
        <f t="shared" si="100"/>
        <v>0</v>
      </c>
      <c r="W77" s="112">
        <f t="shared" si="100"/>
        <v>0</v>
      </c>
      <c r="X77" s="111">
        <f t="shared" si="100"/>
        <v>0</v>
      </c>
      <c r="Y77" s="112">
        <f t="shared" si="100"/>
        <v>0</v>
      </c>
      <c r="Z77" s="111">
        <f t="shared" si="100"/>
        <v>0</v>
      </c>
      <c r="AA77" s="109">
        <f t="shared" si="100"/>
        <v>0</v>
      </c>
      <c r="AB77" s="109">
        <f t="shared" si="100"/>
        <v>0</v>
      </c>
      <c r="AC77" s="109">
        <f t="shared" si="100"/>
        <v>0</v>
      </c>
      <c r="AD77" s="109">
        <f t="shared" si="100"/>
        <v>0</v>
      </c>
      <c r="AE77" s="109">
        <f t="shared" si="100"/>
        <v>0</v>
      </c>
      <c r="AF77" s="109">
        <f t="shared" si="100"/>
        <v>0</v>
      </c>
      <c r="AG77" s="109">
        <f t="shared" si="100"/>
        <v>0</v>
      </c>
      <c r="AH77" s="109">
        <f t="shared" si="100"/>
        <v>0</v>
      </c>
      <c r="AI77" s="109"/>
      <c r="AJ77" s="109">
        <f>AJ66*$A$77</f>
        <v>0</v>
      </c>
      <c r="AK77" s="109">
        <f>AK66*$A$77</f>
        <v>0</v>
      </c>
      <c r="AL77" s="109">
        <f>AL66*$A$77</f>
        <v>0</v>
      </c>
      <c r="AM77" s="109">
        <f>AM66*$A$77</f>
        <v>0</v>
      </c>
      <c r="AN77" s="109">
        <f>AN66*$A$77</f>
        <v>0</v>
      </c>
      <c r="AO77" s="110">
        <f>SUM(AB77:AN77)</f>
        <v>0</v>
      </c>
      <c r="AP77" s="109">
        <f t="shared" ref="AP77:BA77" si="101">AP66*$A$77</f>
        <v>0</v>
      </c>
      <c r="AQ77" s="109">
        <f t="shared" si="101"/>
        <v>0</v>
      </c>
      <c r="AR77" s="109">
        <f t="shared" si="101"/>
        <v>0</v>
      </c>
      <c r="AS77" s="109">
        <f t="shared" si="101"/>
        <v>0</v>
      </c>
      <c r="AT77" s="109">
        <f t="shared" si="101"/>
        <v>0</v>
      </c>
      <c r="AU77" s="109">
        <f t="shared" si="101"/>
        <v>0</v>
      </c>
      <c r="AV77" s="109">
        <f t="shared" si="101"/>
        <v>0</v>
      </c>
      <c r="AW77" s="109">
        <f t="shared" si="101"/>
        <v>0</v>
      </c>
      <c r="AX77" s="109">
        <f t="shared" si="101"/>
        <v>0</v>
      </c>
      <c r="AY77" s="109">
        <f t="shared" si="101"/>
        <v>0</v>
      </c>
      <c r="AZ77" s="109">
        <f t="shared" si="101"/>
        <v>0</v>
      </c>
      <c r="BA77" s="109">
        <f t="shared" si="101"/>
        <v>0</v>
      </c>
      <c r="BB77" s="110">
        <f>SUM(AP77:BA77)</f>
        <v>0</v>
      </c>
      <c r="BC77" s="109"/>
    </row>
    <row r="78" spans="1:55" x14ac:dyDescent="0.3">
      <c r="A78" s="108"/>
      <c r="B78" s="380" t="s">
        <v>611</v>
      </c>
      <c r="C78" s="123">
        <f t="shared" ref="C78:AH78" si="102">SUM(C76:C77)</f>
        <v>0</v>
      </c>
      <c r="D78" s="388">
        <f t="shared" si="102"/>
        <v>7852.4219700000003</v>
      </c>
      <c r="E78" s="123">
        <f t="shared" si="102"/>
        <v>0</v>
      </c>
      <c r="F78" s="388">
        <f t="shared" si="102"/>
        <v>0</v>
      </c>
      <c r="G78" s="123">
        <f t="shared" si="102"/>
        <v>0</v>
      </c>
      <c r="H78" s="388">
        <f t="shared" si="102"/>
        <v>0</v>
      </c>
      <c r="I78" s="123">
        <f t="shared" si="102"/>
        <v>0</v>
      </c>
      <c r="J78" s="388">
        <f t="shared" si="102"/>
        <v>0</v>
      </c>
      <c r="K78" s="123">
        <f t="shared" si="102"/>
        <v>0</v>
      </c>
      <c r="L78" s="388">
        <f t="shared" si="102"/>
        <v>0</v>
      </c>
      <c r="M78" s="123">
        <f t="shared" si="102"/>
        <v>0</v>
      </c>
      <c r="N78" s="388">
        <f t="shared" si="102"/>
        <v>0</v>
      </c>
      <c r="O78" s="123">
        <f t="shared" si="102"/>
        <v>0</v>
      </c>
      <c r="P78" s="388">
        <f t="shared" si="102"/>
        <v>0</v>
      </c>
      <c r="Q78" s="123">
        <f t="shared" si="102"/>
        <v>0</v>
      </c>
      <c r="R78" s="388">
        <f t="shared" si="102"/>
        <v>0</v>
      </c>
      <c r="S78" s="123">
        <f t="shared" si="102"/>
        <v>0</v>
      </c>
      <c r="T78" s="388">
        <f t="shared" si="102"/>
        <v>0</v>
      </c>
      <c r="U78" s="123">
        <f t="shared" si="102"/>
        <v>0</v>
      </c>
      <c r="V78" s="388">
        <f t="shared" si="102"/>
        <v>0</v>
      </c>
      <c r="W78" s="123">
        <f t="shared" si="102"/>
        <v>0</v>
      </c>
      <c r="X78" s="388">
        <f t="shared" si="102"/>
        <v>0</v>
      </c>
      <c r="Y78" s="123">
        <f t="shared" si="102"/>
        <v>0</v>
      </c>
      <c r="Z78" s="388">
        <f t="shared" si="102"/>
        <v>0</v>
      </c>
      <c r="AA78" s="389">
        <f t="shared" si="102"/>
        <v>0</v>
      </c>
      <c r="AB78" s="389">
        <f t="shared" si="102"/>
        <v>0</v>
      </c>
      <c r="AC78" s="389">
        <f t="shared" si="102"/>
        <v>0</v>
      </c>
      <c r="AD78" s="389">
        <f t="shared" si="102"/>
        <v>0</v>
      </c>
      <c r="AE78" s="389">
        <f t="shared" si="102"/>
        <v>0</v>
      </c>
      <c r="AF78" s="389">
        <f t="shared" si="102"/>
        <v>0</v>
      </c>
      <c r="AG78" s="389">
        <f t="shared" si="102"/>
        <v>0</v>
      </c>
      <c r="AH78" s="389">
        <f t="shared" si="102"/>
        <v>0</v>
      </c>
      <c r="AI78" s="389"/>
      <c r="AJ78" s="389">
        <f>SUM(AJ76:AJ77)</f>
        <v>0</v>
      </c>
      <c r="AK78" s="389">
        <f>SUM(AK76:AK77)</f>
        <v>0</v>
      </c>
      <c r="AL78" s="389">
        <f>SUM(AL76:AL77)</f>
        <v>0</v>
      </c>
      <c r="AM78" s="389">
        <f>SUM(AM76:AM77)</f>
        <v>0</v>
      </c>
      <c r="AN78" s="389">
        <f>SUM(AN76:AN77)</f>
        <v>0</v>
      </c>
      <c r="AO78" s="390">
        <f>SUM(AB78:AN78)</f>
        <v>0</v>
      </c>
      <c r="AP78" s="389">
        <f t="shared" ref="AP78:BA78" si="103">SUM(AP76:AP77)</f>
        <v>0</v>
      </c>
      <c r="AQ78" s="389">
        <f t="shared" si="103"/>
        <v>0</v>
      </c>
      <c r="AR78" s="389">
        <f t="shared" si="103"/>
        <v>0</v>
      </c>
      <c r="AS78" s="389">
        <f t="shared" si="103"/>
        <v>0</v>
      </c>
      <c r="AT78" s="389">
        <f t="shared" si="103"/>
        <v>0</v>
      </c>
      <c r="AU78" s="389">
        <f t="shared" si="103"/>
        <v>0</v>
      </c>
      <c r="AV78" s="389">
        <f t="shared" si="103"/>
        <v>0</v>
      </c>
      <c r="AW78" s="389">
        <f t="shared" si="103"/>
        <v>0</v>
      </c>
      <c r="AX78" s="389">
        <f t="shared" si="103"/>
        <v>0</v>
      </c>
      <c r="AY78" s="389">
        <f t="shared" si="103"/>
        <v>0</v>
      </c>
      <c r="AZ78" s="389">
        <f t="shared" si="103"/>
        <v>0</v>
      </c>
      <c r="BA78" s="389">
        <f t="shared" si="103"/>
        <v>0</v>
      </c>
      <c r="BB78" s="390">
        <f>SUM(AP78:BA78)</f>
        <v>0</v>
      </c>
      <c r="BC78" s="389"/>
    </row>
    <row r="79" spans="1:55" x14ac:dyDescent="0.3">
      <c r="A79" s="108"/>
      <c r="B79" s="167"/>
      <c r="C79" s="166"/>
      <c r="D79" s="165"/>
      <c r="E79" s="166"/>
      <c r="F79" s="165"/>
      <c r="G79" s="166"/>
      <c r="H79" s="165"/>
      <c r="I79" s="166"/>
      <c r="J79" s="165"/>
      <c r="K79" s="166"/>
      <c r="L79" s="165"/>
      <c r="M79" s="166"/>
      <c r="N79" s="165"/>
      <c r="O79" s="166"/>
      <c r="P79" s="165"/>
      <c r="Q79" s="166"/>
      <c r="R79" s="165"/>
      <c r="S79" s="166"/>
      <c r="T79" s="165"/>
      <c r="U79" s="166"/>
      <c r="V79" s="165"/>
      <c r="W79" s="166"/>
      <c r="X79" s="165"/>
      <c r="Y79" s="166"/>
      <c r="Z79" s="165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</row>
    <row r="80" spans="1:55" ht="15.6" x14ac:dyDescent="0.3">
      <c r="B80" s="157" t="s">
        <v>616</v>
      </c>
      <c r="C80" s="83"/>
      <c r="D80" s="82"/>
      <c r="E80" s="83"/>
      <c r="F80" s="82"/>
      <c r="G80" s="83"/>
      <c r="H80" s="82"/>
      <c r="I80" s="83"/>
      <c r="J80" s="82"/>
      <c r="K80" s="83"/>
      <c r="L80" s="82"/>
      <c r="M80" s="83"/>
      <c r="N80" s="82"/>
      <c r="O80" s="83"/>
      <c r="P80" s="82"/>
      <c r="Q80" s="83"/>
      <c r="R80" s="82"/>
      <c r="S80" s="83"/>
      <c r="T80" s="82"/>
      <c r="U80" s="83"/>
      <c r="V80" s="82"/>
      <c r="W80" s="83"/>
      <c r="X80" s="82"/>
      <c r="Y80" s="83"/>
      <c r="Z80" s="82"/>
    </row>
    <row r="81" spans="1:55" x14ac:dyDescent="0.3">
      <c r="A81" s="108"/>
      <c r="B81" s="380" t="s">
        <v>599</v>
      </c>
      <c r="C81" s="143">
        <v>0</v>
      </c>
      <c r="D81" s="385">
        <f>SUM(D82:D89)</f>
        <v>925610.36</v>
      </c>
      <c r="E81" s="143"/>
      <c r="F81" s="385">
        <f>SUM(F82:F89)</f>
        <v>0</v>
      </c>
      <c r="G81" s="143"/>
      <c r="H81" s="385">
        <f>SUM(H82:H89)</f>
        <v>0</v>
      </c>
      <c r="I81" s="143"/>
      <c r="J81" s="385">
        <f>SUM(J82:J89)</f>
        <v>0</v>
      </c>
      <c r="K81" s="143"/>
      <c r="L81" s="385">
        <f>SUM(L82:L89)</f>
        <v>0</v>
      </c>
      <c r="M81" s="143"/>
      <c r="N81" s="385">
        <f>SUM(N82:N89)</f>
        <v>0</v>
      </c>
      <c r="O81" s="143"/>
      <c r="P81" s="385">
        <f>SUM(P82:P89)</f>
        <v>0</v>
      </c>
      <c r="Q81" s="143"/>
      <c r="R81" s="385">
        <f>SUM(R82:R89)</f>
        <v>0</v>
      </c>
      <c r="S81" s="143"/>
      <c r="T81" s="385">
        <f>SUM(T82:T89)</f>
        <v>0</v>
      </c>
      <c r="U81" s="143"/>
      <c r="V81" s="385">
        <f>SUM(V82:V89)</f>
        <v>0</v>
      </c>
      <c r="W81" s="143"/>
      <c r="X81" s="385">
        <f>SUM(X82:X89)</f>
        <v>0</v>
      </c>
      <c r="Y81" s="143"/>
      <c r="Z81" s="385">
        <f>SUM(Z82:Z89)</f>
        <v>0</v>
      </c>
      <c r="AA81" s="387">
        <v>0</v>
      </c>
      <c r="AB81" s="387">
        <v>0</v>
      </c>
      <c r="AC81" s="387">
        <v>0</v>
      </c>
      <c r="AD81" s="387">
        <v>0</v>
      </c>
      <c r="AE81" s="387">
        <v>0</v>
      </c>
      <c r="AF81" s="387">
        <v>0</v>
      </c>
      <c r="AG81" s="387">
        <v>0</v>
      </c>
      <c r="AH81" s="387">
        <v>0</v>
      </c>
      <c r="AI81" s="387"/>
      <c r="AJ81" s="387">
        <v>0</v>
      </c>
      <c r="AK81" s="387">
        <v>0</v>
      </c>
      <c r="AL81" s="387">
        <v>0</v>
      </c>
      <c r="AM81" s="387">
        <v>0</v>
      </c>
      <c r="AN81" s="387">
        <v>0</v>
      </c>
      <c r="AO81" s="386">
        <v>0</v>
      </c>
      <c r="AP81" s="387">
        <v>0</v>
      </c>
      <c r="AQ81" s="387">
        <v>0</v>
      </c>
      <c r="AR81" s="387">
        <v>0</v>
      </c>
      <c r="AS81" s="387">
        <v>0</v>
      </c>
      <c r="AT81" s="387">
        <v>0</v>
      </c>
      <c r="AU81" s="387">
        <v>0</v>
      </c>
      <c r="AV81" s="387">
        <v>0</v>
      </c>
      <c r="AW81" s="387">
        <v>0</v>
      </c>
      <c r="AX81" s="387">
        <v>0</v>
      </c>
      <c r="AY81" s="387">
        <v>0</v>
      </c>
      <c r="AZ81" s="387">
        <v>0</v>
      </c>
      <c r="BA81" s="387">
        <v>0</v>
      </c>
      <c r="BB81" s="386">
        <v>0</v>
      </c>
      <c r="BC81" s="387"/>
    </row>
    <row r="82" spans="1:55" x14ac:dyDescent="0.3">
      <c r="A82" s="108"/>
      <c r="B82" s="142" t="s">
        <v>600</v>
      </c>
      <c r="C82" s="141"/>
      <c r="D82" s="140"/>
      <c r="E82" s="141"/>
      <c r="F82" s="140"/>
      <c r="G82" s="141"/>
      <c r="H82" s="140"/>
      <c r="I82" s="141"/>
      <c r="J82" s="140"/>
      <c r="K82" s="141"/>
      <c r="L82" s="140"/>
      <c r="M82" s="141"/>
      <c r="N82" s="140"/>
      <c r="O82" s="141"/>
      <c r="P82" s="140"/>
      <c r="Q82" s="141"/>
      <c r="R82" s="140"/>
      <c r="S82" s="141"/>
      <c r="T82" s="140"/>
      <c r="U82" s="141"/>
      <c r="V82" s="140"/>
      <c r="W82" s="141"/>
      <c r="X82" s="140"/>
      <c r="Y82" s="141"/>
      <c r="Z82" s="140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39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39"/>
      <c r="BC82" s="108"/>
    </row>
    <row r="83" spans="1:55" x14ac:dyDescent="0.3">
      <c r="A83" s="156">
        <v>0.25345000000000001</v>
      </c>
      <c r="B83" s="138" t="s">
        <v>601</v>
      </c>
      <c r="C83" s="116">
        <f>C81*$A$83</f>
        <v>0</v>
      </c>
      <c r="D83" s="115">
        <v>130178.58</v>
      </c>
      <c r="E83" s="116"/>
      <c r="F83" s="115"/>
      <c r="G83" s="116"/>
      <c r="H83" s="115"/>
      <c r="I83" s="116"/>
      <c r="J83" s="115"/>
      <c r="K83" s="116"/>
      <c r="L83" s="115"/>
      <c r="M83" s="116"/>
      <c r="N83" s="115"/>
      <c r="O83" s="116"/>
      <c r="P83" s="115"/>
      <c r="Q83" s="116"/>
      <c r="R83" s="115"/>
      <c r="S83" s="116"/>
      <c r="T83" s="115"/>
      <c r="U83" s="116"/>
      <c r="V83" s="115"/>
      <c r="W83" s="116"/>
      <c r="X83" s="115"/>
      <c r="Y83" s="116"/>
      <c r="Z83" s="115"/>
      <c r="AA83" s="93">
        <f t="shared" ref="AA83:AH83" si="104">AA81*$A$83</f>
        <v>0</v>
      </c>
      <c r="AB83" s="93">
        <f t="shared" si="104"/>
        <v>0</v>
      </c>
      <c r="AC83" s="93">
        <f t="shared" si="104"/>
        <v>0</v>
      </c>
      <c r="AD83" s="93">
        <f t="shared" si="104"/>
        <v>0</v>
      </c>
      <c r="AE83" s="93">
        <f t="shared" si="104"/>
        <v>0</v>
      </c>
      <c r="AF83" s="93">
        <f t="shared" si="104"/>
        <v>0</v>
      </c>
      <c r="AG83" s="93">
        <f t="shared" si="104"/>
        <v>0</v>
      </c>
      <c r="AH83" s="93">
        <f t="shared" si="104"/>
        <v>0</v>
      </c>
      <c r="AI83" s="93"/>
      <c r="AJ83" s="93">
        <f>AJ81*$A$83</f>
        <v>0</v>
      </c>
      <c r="AK83" s="93">
        <f>AK81*$A$83</f>
        <v>0</v>
      </c>
      <c r="AL83" s="93">
        <f>AL81*$A$83</f>
        <v>0</v>
      </c>
      <c r="AM83" s="93">
        <f>AM81*$A$83</f>
        <v>0</v>
      </c>
      <c r="AN83" s="93">
        <f>AN81*$A$83</f>
        <v>0</v>
      </c>
      <c r="AO83" s="114">
        <f t="shared" ref="AO83:AO89" si="105">SUM(AB83:AN83)</f>
        <v>0</v>
      </c>
      <c r="AP83" s="93">
        <f t="shared" ref="AP83:BA83" si="106">AP81*$A$83</f>
        <v>0</v>
      </c>
      <c r="AQ83" s="93">
        <f t="shared" si="106"/>
        <v>0</v>
      </c>
      <c r="AR83" s="93">
        <f t="shared" si="106"/>
        <v>0</v>
      </c>
      <c r="AS83" s="93">
        <f t="shared" si="106"/>
        <v>0</v>
      </c>
      <c r="AT83" s="93">
        <f t="shared" si="106"/>
        <v>0</v>
      </c>
      <c r="AU83" s="93">
        <f t="shared" si="106"/>
        <v>0</v>
      </c>
      <c r="AV83" s="93">
        <f t="shared" si="106"/>
        <v>0</v>
      </c>
      <c r="AW83" s="93">
        <f t="shared" si="106"/>
        <v>0</v>
      </c>
      <c r="AX83" s="93">
        <f t="shared" si="106"/>
        <v>0</v>
      </c>
      <c r="AY83" s="93">
        <f t="shared" si="106"/>
        <v>0</v>
      </c>
      <c r="AZ83" s="93">
        <f t="shared" si="106"/>
        <v>0</v>
      </c>
      <c r="BA83" s="93">
        <f t="shared" si="106"/>
        <v>0</v>
      </c>
      <c r="BB83" s="114">
        <f t="shared" ref="BB83:BB89" si="107">SUM(AP83:BA83)</f>
        <v>0</v>
      </c>
      <c r="BC83" s="93"/>
    </row>
    <row r="84" spans="1:55" x14ac:dyDescent="0.3">
      <c r="A84" s="156">
        <v>0</v>
      </c>
      <c r="B84" s="138" t="s">
        <v>602</v>
      </c>
      <c r="C84" s="116">
        <f>C81*$A$84</f>
        <v>0</v>
      </c>
      <c r="D84" s="115"/>
      <c r="E84" s="116"/>
      <c r="F84" s="115"/>
      <c r="G84" s="116"/>
      <c r="H84" s="115"/>
      <c r="I84" s="116"/>
      <c r="J84" s="115"/>
      <c r="K84" s="116"/>
      <c r="L84" s="115"/>
      <c r="M84" s="116"/>
      <c r="N84" s="115"/>
      <c r="O84" s="116"/>
      <c r="P84" s="115"/>
      <c r="Q84" s="116"/>
      <c r="R84" s="115"/>
      <c r="S84" s="116"/>
      <c r="T84" s="115"/>
      <c r="U84" s="116"/>
      <c r="V84" s="115"/>
      <c r="W84" s="116"/>
      <c r="X84" s="115"/>
      <c r="Y84" s="116"/>
      <c r="Z84" s="115"/>
      <c r="AA84" s="93">
        <f t="shared" ref="AA84:AH84" si="108">AA81*$A$84</f>
        <v>0</v>
      </c>
      <c r="AB84" s="93">
        <f t="shared" si="108"/>
        <v>0</v>
      </c>
      <c r="AC84" s="93">
        <f t="shared" si="108"/>
        <v>0</v>
      </c>
      <c r="AD84" s="93">
        <f t="shared" si="108"/>
        <v>0</v>
      </c>
      <c r="AE84" s="93">
        <f t="shared" si="108"/>
        <v>0</v>
      </c>
      <c r="AF84" s="93">
        <f t="shared" si="108"/>
        <v>0</v>
      </c>
      <c r="AG84" s="93">
        <f t="shared" si="108"/>
        <v>0</v>
      </c>
      <c r="AH84" s="93">
        <f t="shared" si="108"/>
        <v>0</v>
      </c>
      <c r="AI84" s="93"/>
      <c r="AJ84" s="93">
        <f>AJ81*$A$84</f>
        <v>0</v>
      </c>
      <c r="AK84" s="93">
        <f>AK81*$A$84</f>
        <v>0</v>
      </c>
      <c r="AL84" s="93">
        <f>AL81*$A$84</f>
        <v>0</v>
      </c>
      <c r="AM84" s="93">
        <f>AM81*$A$84</f>
        <v>0</v>
      </c>
      <c r="AN84" s="93">
        <f>AN81*$A$84</f>
        <v>0</v>
      </c>
      <c r="AO84" s="114">
        <f t="shared" si="105"/>
        <v>0</v>
      </c>
      <c r="AP84" s="93">
        <f t="shared" ref="AP84:BA84" si="109">AP81*$A$84</f>
        <v>0</v>
      </c>
      <c r="AQ84" s="93">
        <f t="shared" si="109"/>
        <v>0</v>
      </c>
      <c r="AR84" s="93">
        <f t="shared" si="109"/>
        <v>0</v>
      </c>
      <c r="AS84" s="93">
        <f t="shared" si="109"/>
        <v>0</v>
      </c>
      <c r="AT84" s="93">
        <f t="shared" si="109"/>
        <v>0</v>
      </c>
      <c r="AU84" s="93">
        <f t="shared" si="109"/>
        <v>0</v>
      </c>
      <c r="AV84" s="93">
        <f t="shared" si="109"/>
        <v>0</v>
      </c>
      <c r="AW84" s="93">
        <f t="shared" si="109"/>
        <v>0</v>
      </c>
      <c r="AX84" s="93">
        <f t="shared" si="109"/>
        <v>0</v>
      </c>
      <c r="AY84" s="93">
        <f t="shared" si="109"/>
        <v>0</v>
      </c>
      <c r="AZ84" s="93">
        <f t="shared" si="109"/>
        <v>0</v>
      </c>
      <c r="BA84" s="93">
        <f t="shared" si="109"/>
        <v>0</v>
      </c>
      <c r="BB84" s="114">
        <f t="shared" si="107"/>
        <v>0</v>
      </c>
      <c r="BC84" s="93"/>
    </row>
    <row r="85" spans="1:55" x14ac:dyDescent="0.3">
      <c r="A85" s="156">
        <f>71.058%+0.015%</f>
        <v>0.71073000000000008</v>
      </c>
      <c r="B85" s="138" t="s">
        <v>603</v>
      </c>
      <c r="C85" s="116">
        <f>C81*$A$85</f>
        <v>0</v>
      </c>
      <c r="D85" s="115">
        <v>795431.78</v>
      </c>
      <c r="E85" s="116"/>
      <c r="F85" s="115"/>
      <c r="G85" s="116"/>
      <c r="H85" s="115"/>
      <c r="I85" s="116"/>
      <c r="J85" s="115"/>
      <c r="K85" s="116"/>
      <c r="L85" s="115"/>
      <c r="M85" s="116"/>
      <c r="N85" s="115"/>
      <c r="O85" s="116"/>
      <c r="P85" s="115"/>
      <c r="Q85" s="116"/>
      <c r="R85" s="115"/>
      <c r="S85" s="116"/>
      <c r="T85" s="115"/>
      <c r="U85" s="116"/>
      <c r="V85" s="115"/>
      <c r="W85" s="116"/>
      <c r="X85" s="115"/>
      <c r="Y85" s="116"/>
      <c r="Z85" s="115"/>
      <c r="AA85" s="93">
        <f t="shared" ref="AA85:AH85" si="110">AA81*$A$85</f>
        <v>0</v>
      </c>
      <c r="AB85" s="93">
        <f t="shared" si="110"/>
        <v>0</v>
      </c>
      <c r="AC85" s="93">
        <f t="shared" si="110"/>
        <v>0</v>
      </c>
      <c r="AD85" s="93">
        <f t="shared" si="110"/>
        <v>0</v>
      </c>
      <c r="AE85" s="93">
        <f t="shared" si="110"/>
        <v>0</v>
      </c>
      <c r="AF85" s="93">
        <f t="shared" si="110"/>
        <v>0</v>
      </c>
      <c r="AG85" s="93">
        <f t="shared" si="110"/>
        <v>0</v>
      </c>
      <c r="AH85" s="93">
        <f t="shared" si="110"/>
        <v>0</v>
      </c>
      <c r="AI85" s="93"/>
      <c r="AJ85" s="93">
        <f>AJ81*$A$85</f>
        <v>0</v>
      </c>
      <c r="AK85" s="93">
        <f>AK81*$A$85</f>
        <v>0</v>
      </c>
      <c r="AL85" s="93">
        <f>AL81*$A$85</f>
        <v>0</v>
      </c>
      <c r="AM85" s="93">
        <f>AM81*$A$85</f>
        <v>0</v>
      </c>
      <c r="AN85" s="93">
        <f>AN81*$A$85</f>
        <v>0</v>
      </c>
      <c r="AO85" s="114">
        <f t="shared" si="105"/>
        <v>0</v>
      </c>
      <c r="AP85" s="93">
        <f t="shared" ref="AP85:BA85" si="111">AP81*$A$85</f>
        <v>0</v>
      </c>
      <c r="AQ85" s="93">
        <f t="shared" si="111"/>
        <v>0</v>
      </c>
      <c r="AR85" s="93">
        <f t="shared" si="111"/>
        <v>0</v>
      </c>
      <c r="AS85" s="93">
        <f t="shared" si="111"/>
        <v>0</v>
      </c>
      <c r="AT85" s="93">
        <f t="shared" si="111"/>
        <v>0</v>
      </c>
      <c r="AU85" s="93">
        <f t="shared" si="111"/>
        <v>0</v>
      </c>
      <c r="AV85" s="93">
        <f t="shared" si="111"/>
        <v>0</v>
      </c>
      <c r="AW85" s="93">
        <f t="shared" si="111"/>
        <v>0</v>
      </c>
      <c r="AX85" s="93">
        <f t="shared" si="111"/>
        <v>0</v>
      </c>
      <c r="AY85" s="93">
        <f t="shared" si="111"/>
        <v>0</v>
      </c>
      <c r="AZ85" s="93">
        <f t="shared" si="111"/>
        <v>0</v>
      </c>
      <c r="BA85" s="93">
        <f t="shared" si="111"/>
        <v>0</v>
      </c>
      <c r="BB85" s="114">
        <f t="shared" si="107"/>
        <v>0</v>
      </c>
      <c r="BC85" s="93"/>
    </row>
    <row r="86" spans="1:55" x14ac:dyDescent="0.3">
      <c r="A86" s="156">
        <v>0</v>
      </c>
      <c r="B86" s="138" t="s">
        <v>604</v>
      </c>
      <c r="C86" s="116">
        <f>C81*$A$86</f>
        <v>0</v>
      </c>
      <c r="D86" s="115"/>
      <c r="E86" s="116"/>
      <c r="F86" s="115"/>
      <c r="G86" s="116"/>
      <c r="H86" s="115"/>
      <c r="I86" s="116"/>
      <c r="J86" s="115"/>
      <c r="K86" s="116"/>
      <c r="L86" s="115"/>
      <c r="M86" s="116"/>
      <c r="N86" s="115"/>
      <c r="O86" s="116"/>
      <c r="P86" s="115"/>
      <c r="Q86" s="116"/>
      <c r="R86" s="115"/>
      <c r="S86" s="116"/>
      <c r="T86" s="115"/>
      <c r="U86" s="116"/>
      <c r="V86" s="115"/>
      <c r="W86" s="116"/>
      <c r="X86" s="115"/>
      <c r="Y86" s="116"/>
      <c r="Z86" s="115"/>
      <c r="AA86" s="93">
        <f t="shared" ref="AA86:AH86" si="112">AA81*$A$86</f>
        <v>0</v>
      </c>
      <c r="AB86" s="93">
        <f t="shared" si="112"/>
        <v>0</v>
      </c>
      <c r="AC86" s="93">
        <f t="shared" si="112"/>
        <v>0</v>
      </c>
      <c r="AD86" s="93">
        <f t="shared" si="112"/>
        <v>0</v>
      </c>
      <c r="AE86" s="93">
        <f t="shared" si="112"/>
        <v>0</v>
      </c>
      <c r="AF86" s="93">
        <f t="shared" si="112"/>
        <v>0</v>
      </c>
      <c r="AG86" s="93">
        <f t="shared" si="112"/>
        <v>0</v>
      </c>
      <c r="AH86" s="93">
        <f t="shared" si="112"/>
        <v>0</v>
      </c>
      <c r="AI86" s="93"/>
      <c r="AJ86" s="93">
        <f>AJ81*$A$86</f>
        <v>0</v>
      </c>
      <c r="AK86" s="93">
        <f>AK81*$A$86</f>
        <v>0</v>
      </c>
      <c r="AL86" s="93">
        <f>AL81*$A$86</f>
        <v>0</v>
      </c>
      <c r="AM86" s="93">
        <f>AM81*$A$86</f>
        <v>0</v>
      </c>
      <c r="AN86" s="93">
        <f>AN81*$A$86</f>
        <v>0</v>
      </c>
      <c r="AO86" s="114">
        <f t="shared" si="105"/>
        <v>0</v>
      </c>
      <c r="AP86" s="93">
        <f t="shared" ref="AP86:BA86" si="113">AP81*$A$86</f>
        <v>0</v>
      </c>
      <c r="AQ86" s="93">
        <f t="shared" si="113"/>
        <v>0</v>
      </c>
      <c r="AR86" s="93">
        <f t="shared" si="113"/>
        <v>0</v>
      </c>
      <c r="AS86" s="93">
        <f t="shared" si="113"/>
        <v>0</v>
      </c>
      <c r="AT86" s="93">
        <f t="shared" si="113"/>
        <v>0</v>
      </c>
      <c r="AU86" s="93">
        <f t="shared" si="113"/>
        <v>0</v>
      </c>
      <c r="AV86" s="93">
        <f t="shared" si="113"/>
        <v>0</v>
      </c>
      <c r="AW86" s="93">
        <f t="shared" si="113"/>
        <v>0</v>
      </c>
      <c r="AX86" s="93">
        <f t="shared" si="113"/>
        <v>0</v>
      </c>
      <c r="AY86" s="93">
        <f t="shared" si="113"/>
        <v>0</v>
      </c>
      <c r="AZ86" s="93">
        <f t="shared" si="113"/>
        <v>0</v>
      </c>
      <c r="BA86" s="93">
        <f t="shared" si="113"/>
        <v>0</v>
      </c>
      <c r="BB86" s="114">
        <f t="shared" si="107"/>
        <v>0</v>
      </c>
      <c r="BC86" s="93"/>
    </row>
    <row r="87" spans="1:55" x14ac:dyDescent="0.3">
      <c r="A87" s="156">
        <v>1.438E-2</v>
      </c>
      <c r="B87" s="138" t="s">
        <v>605</v>
      </c>
      <c r="C87" s="116">
        <f>C81*$A$87</f>
        <v>0</v>
      </c>
      <c r="D87" s="115"/>
      <c r="E87" s="116"/>
      <c r="F87" s="115"/>
      <c r="G87" s="116"/>
      <c r="H87" s="115"/>
      <c r="I87" s="116"/>
      <c r="J87" s="115"/>
      <c r="K87" s="116"/>
      <c r="L87" s="115"/>
      <c r="M87" s="116"/>
      <c r="N87" s="115"/>
      <c r="O87" s="116"/>
      <c r="P87" s="115"/>
      <c r="Q87" s="116"/>
      <c r="R87" s="115"/>
      <c r="S87" s="116"/>
      <c r="T87" s="115"/>
      <c r="U87" s="116"/>
      <c r="V87" s="115"/>
      <c r="W87" s="116"/>
      <c r="X87" s="115"/>
      <c r="Y87" s="116"/>
      <c r="Z87" s="115"/>
      <c r="AA87" s="93">
        <f t="shared" ref="AA87:AH87" si="114">AA81*$A$87</f>
        <v>0</v>
      </c>
      <c r="AB87" s="93">
        <f t="shared" si="114"/>
        <v>0</v>
      </c>
      <c r="AC87" s="93">
        <f t="shared" si="114"/>
        <v>0</v>
      </c>
      <c r="AD87" s="93">
        <f t="shared" si="114"/>
        <v>0</v>
      </c>
      <c r="AE87" s="93">
        <f t="shared" si="114"/>
        <v>0</v>
      </c>
      <c r="AF87" s="93">
        <f t="shared" si="114"/>
        <v>0</v>
      </c>
      <c r="AG87" s="93">
        <f t="shared" si="114"/>
        <v>0</v>
      </c>
      <c r="AH87" s="93">
        <f t="shared" si="114"/>
        <v>0</v>
      </c>
      <c r="AI87" s="93"/>
      <c r="AJ87" s="93">
        <f>AJ81*$A$87</f>
        <v>0</v>
      </c>
      <c r="AK87" s="93">
        <f>AK81*$A$87</f>
        <v>0</v>
      </c>
      <c r="AL87" s="93">
        <f>AL81*$A$87</f>
        <v>0</v>
      </c>
      <c r="AM87" s="93">
        <f>AM81*$A$87</f>
        <v>0</v>
      </c>
      <c r="AN87" s="93">
        <f>AN81*$A$87</f>
        <v>0</v>
      </c>
      <c r="AO87" s="114">
        <f t="shared" si="105"/>
        <v>0</v>
      </c>
      <c r="AP87" s="93">
        <f t="shared" ref="AP87:BA87" si="115">AP81*$A$87</f>
        <v>0</v>
      </c>
      <c r="AQ87" s="93">
        <f t="shared" si="115"/>
        <v>0</v>
      </c>
      <c r="AR87" s="93">
        <f t="shared" si="115"/>
        <v>0</v>
      </c>
      <c r="AS87" s="93">
        <f t="shared" si="115"/>
        <v>0</v>
      </c>
      <c r="AT87" s="93">
        <f t="shared" si="115"/>
        <v>0</v>
      </c>
      <c r="AU87" s="93">
        <f t="shared" si="115"/>
        <v>0</v>
      </c>
      <c r="AV87" s="93">
        <f t="shared" si="115"/>
        <v>0</v>
      </c>
      <c r="AW87" s="93">
        <f t="shared" si="115"/>
        <v>0</v>
      </c>
      <c r="AX87" s="93">
        <f t="shared" si="115"/>
        <v>0</v>
      </c>
      <c r="AY87" s="93">
        <f t="shared" si="115"/>
        <v>0</v>
      </c>
      <c r="AZ87" s="93">
        <f t="shared" si="115"/>
        <v>0</v>
      </c>
      <c r="BA87" s="93">
        <f t="shared" si="115"/>
        <v>0</v>
      </c>
      <c r="BB87" s="114">
        <f t="shared" si="107"/>
        <v>0</v>
      </c>
      <c r="BC87" s="93"/>
    </row>
    <row r="88" spans="1:55" x14ac:dyDescent="0.3">
      <c r="A88" s="156">
        <v>6.3000000000000003E-4</v>
      </c>
      <c r="B88" s="138" t="s">
        <v>606</v>
      </c>
      <c r="C88" s="116">
        <f>C81*$A$88</f>
        <v>0</v>
      </c>
      <c r="D88" s="115"/>
      <c r="E88" s="116"/>
      <c r="F88" s="115"/>
      <c r="G88" s="116"/>
      <c r="H88" s="115"/>
      <c r="I88" s="116"/>
      <c r="J88" s="115"/>
      <c r="K88" s="116"/>
      <c r="L88" s="115"/>
      <c r="M88" s="116"/>
      <c r="N88" s="115"/>
      <c r="O88" s="116"/>
      <c r="P88" s="115"/>
      <c r="Q88" s="116"/>
      <c r="R88" s="115"/>
      <c r="S88" s="116"/>
      <c r="T88" s="115"/>
      <c r="U88" s="116"/>
      <c r="V88" s="115"/>
      <c r="W88" s="116"/>
      <c r="X88" s="115"/>
      <c r="Y88" s="116"/>
      <c r="Z88" s="115"/>
      <c r="AA88" s="93">
        <f t="shared" ref="AA88:AH88" si="116">AA81*$A$88</f>
        <v>0</v>
      </c>
      <c r="AB88" s="93">
        <f t="shared" si="116"/>
        <v>0</v>
      </c>
      <c r="AC88" s="93">
        <f t="shared" si="116"/>
        <v>0</v>
      </c>
      <c r="AD88" s="93">
        <f t="shared" si="116"/>
        <v>0</v>
      </c>
      <c r="AE88" s="93">
        <f t="shared" si="116"/>
        <v>0</v>
      </c>
      <c r="AF88" s="93">
        <f t="shared" si="116"/>
        <v>0</v>
      </c>
      <c r="AG88" s="93">
        <f t="shared" si="116"/>
        <v>0</v>
      </c>
      <c r="AH88" s="93">
        <f t="shared" si="116"/>
        <v>0</v>
      </c>
      <c r="AI88" s="93"/>
      <c r="AJ88" s="93">
        <f>AJ81*$A$88</f>
        <v>0</v>
      </c>
      <c r="AK88" s="93">
        <f>AK81*$A$88</f>
        <v>0</v>
      </c>
      <c r="AL88" s="93">
        <f>AL81*$A$88</f>
        <v>0</v>
      </c>
      <c r="AM88" s="93">
        <f>AM81*$A$88</f>
        <v>0</v>
      </c>
      <c r="AN88" s="93">
        <f>AN81*$A$88</f>
        <v>0</v>
      </c>
      <c r="AO88" s="114">
        <f t="shared" si="105"/>
        <v>0</v>
      </c>
      <c r="AP88" s="93">
        <f t="shared" ref="AP88:BA88" si="117">AP81*$A$88</f>
        <v>0</v>
      </c>
      <c r="AQ88" s="93">
        <f t="shared" si="117"/>
        <v>0</v>
      </c>
      <c r="AR88" s="93">
        <f t="shared" si="117"/>
        <v>0</v>
      </c>
      <c r="AS88" s="93">
        <f t="shared" si="117"/>
        <v>0</v>
      </c>
      <c r="AT88" s="93">
        <f t="shared" si="117"/>
        <v>0</v>
      </c>
      <c r="AU88" s="93">
        <f t="shared" si="117"/>
        <v>0</v>
      </c>
      <c r="AV88" s="93">
        <f t="shared" si="117"/>
        <v>0</v>
      </c>
      <c r="AW88" s="93">
        <f t="shared" si="117"/>
        <v>0</v>
      </c>
      <c r="AX88" s="93">
        <f t="shared" si="117"/>
        <v>0</v>
      </c>
      <c r="AY88" s="93">
        <f t="shared" si="117"/>
        <v>0</v>
      </c>
      <c r="AZ88" s="93">
        <f t="shared" si="117"/>
        <v>0</v>
      </c>
      <c r="BA88" s="93">
        <f t="shared" si="117"/>
        <v>0</v>
      </c>
      <c r="BB88" s="114">
        <f t="shared" si="107"/>
        <v>0</v>
      </c>
      <c r="BC88" s="93"/>
    </row>
    <row r="89" spans="1:55" x14ac:dyDescent="0.3">
      <c r="A89" s="156">
        <v>2.0809999999999999E-2</v>
      </c>
      <c r="B89" s="138" t="s">
        <v>607</v>
      </c>
      <c r="C89" s="116">
        <f>C81*$A$89</f>
        <v>0</v>
      </c>
      <c r="D89" s="115"/>
      <c r="E89" s="116"/>
      <c r="F89" s="115"/>
      <c r="G89" s="116"/>
      <c r="H89" s="115"/>
      <c r="I89" s="116"/>
      <c r="J89" s="115"/>
      <c r="K89" s="116"/>
      <c r="L89" s="115"/>
      <c r="M89" s="116"/>
      <c r="N89" s="115"/>
      <c r="O89" s="116"/>
      <c r="P89" s="115"/>
      <c r="Q89" s="116"/>
      <c r="R89" s="115"/>
      <c r="S89" s="116"/>
      <c r="T89" s="115"/>
      <c r="U89" s="116"/>
      <c r="V89" s="115"/>
      <c r="W89" s="116"/>
      <c r="X89" s="115"/>
      <c r="Y89" s="116"/>
      <c r="Z89" s="115"/>
      <c r="AA89" s="93">
        <f t="shared" ref="AA89:AH89" si="118">AA81*$A$89</f>
        <v>0</v>
      </c>
      <c r="AB89" s="93">
        <f t="shared" si="118"/>
        <v>0</v>
      </c>
      <c r="AC89" s="93">
        <f t="shared" si="118"/>
        <v>0</v>
      </c>
      <c r="AD89" s="93">
        <f t="shared" si="118"/>
        <v>0</v>
      </c>
      <c r="AE89" s="93">
        <f t="shared" si="118"/>
        <v>0</v>
      </c>
      <c r="AF89" s="93">
        <f t="shared" si="118"/>
        <v>0</v>
      </c>
      <c r="AG89" s="93">
        <f t="shared" si="118"/>
        <v>0</v>
      </c>
      <c r="AH89" s="93">
        <f t="shared" si="118"/>
        <v>0</v>
      </c>
      <c r="AI89" s="93"/>
      <c r="AJ89" s="93">
        <f>AJ81*$A$89</f>
        <v>0</v>
      </c>
      <c r="AK89" s="93">
        <f>AK81*$A$89</f>
        <v>0</v>
      </c>
      <c r="AL89" s="93">
        <f>AL81*$A$89</f>
        <v>0</v>
      </c>
      <c r="AM89" s="93">
        <f>AM81*$A$89</f>
        <v>0</v>
      </c>
      <c r="AN89" s="93">
        <f>AN81*$A$89</f>
        <v>0</v>
      </c>
      <c r="AO89" s="114">
        <f t="shared" si="105"/>
        <v>0</v>
      </c>
      <c r="AP89" s="93">
        <f t="shared" ref="AP89:BA89" si="119">AP81*$A$89</f>
        <v>0</v>
      </c>
      <c r="AQ89" s="93">
        <f t="shared" si="119"/>
        <v>0</v>
      </c>
      <c r="AR89" s="93">
        <f t="shared" si="119"/>
        <v>0</v>
      </c>
      <c r="AS89" s="93">
        <f t="shared" si="119"/>
        <v>0</v>
      </c>
      <c r="AT89" s="93">
        <f t="shared" si="119"/>
        <v>0</v>
      </c>
      <c r="AU89" s="93">
        <f t="shared" si="119"/>
        <v>0</v>
      </c>
      <c r="AV89" s="93">
        <f t="shared" si="119"/>
        <v>0</v>
      </c>
      <c r="AW89" s="93">
        <f t="shared" si="119"/>
        <v>0</v>
      </c>
      <c r="AX89" s="93">
        <f t="shared" si="119"/>
        <v>0</v>
      </c>
      <c r="AY89" s="93">
        <f t="shared" si="119"/>
        <v>0</v>
      </c>
      <c r="AZ89" s="93">
        <f t="shared" si="119"/>
        <v>0</v>
      </c>
      <c r="BA89" s="93">
        <f t="shared" si="119"/>
        <v>0</v>
      </c>
      <c r="BB89" s="114">
        <f t="shared" si="107"/>
        <v>0</v>
      </c>
      <c r="BC89" s="93"/>
    </row>
    <row r="90" spans="1:55" x14ac:dyDescent="0.3">
      <c r="A90" s="108"/>
      <c r="B90" s="137" t="s">
        <v>608</v>
      </c>
      <c r="C90" s="136"/>
      <c r="D90" s="135"/>
      <c r="E90" s="136"/>
      <c r="F90" s="135"/>
      <c r="G90" s="136"/>
      <c r="H90" s="135"/>
      <c r="I90" s="136"/>
      <c r="J90" s="135"/>
      <c r="K90" s="136"/>
      <c r="L90" s="135"/>
      <c r="M90" s="136"/>
      <c r="N90" s="135"/>
      <c r="O90" s="136"/>
      <c r="P90" s="135"/>
      <c r="Q90" s="136"/>
      <c r="R90" s="135"/>
      <c r="S90" s="136"/>
      <c r="T90" s="135"/>
      <c r="U90" s="136"/>
      <c r="V90" s="135"/>
      <c r="W90" s="136"/>
      <c r="X90" s="135"/>
      <c r="Y90" s="136"/>
      <c r="Z90" s="135"/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55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  <c r="AZ90" s="132"/>
      <c r="BA90" s="132"/>
      <c r="BB90" s="155"/>
      <c r="BC90" s="132"/>
    </row>
    <row r="91" spans="1:55" x14ac:dyDescent="0.3">
      <c r="A91" s="125">
        <v>0</v>
      </c>
      <c r="B91" s="131" t="s">
        <v>609</v>
      </c>
      <c r="C91" s="130">
        <f>C81*$A$91</f>
        <v>0</v>
      </c>
      <c r="D91" s="129"/>
      <c r="E91" s="130">
        <f>E81*$A$91</f>
        <v>0</v>
      </c>
      <c r="F91" s="129"/>
      <c r="G91" s="130">
        <f>G81*$A$91</f>
        <v>0</v>
      </c>
      <c r="H91" s="129"/>
      <c r="I91" s="130">
        <f>I81*$A$91</f>
        <v>0</v>
      </c>
      <c r="J91" s="129"/>
      <c r="K91" s="130">
        <f>K81*$A$91</f>
        <v>0</v>
      </c>
      <c r="L91" s="129"/>
      <c r="M91" s="130">
        <f>M81*$A$91</f>
        <v>0</v>
      </c>
      <c r="N91" s="129"/>
      <c r="O91" s="130">
        <f>O81*$A$91</f>
        <v>0</v>
      </c>
      <c r="P91" s="129"/>
      <c r="Q91" s="130">
        <f>Q81*$A$91</f>
        <v>0</v>
      </c>
      <c r="R91" s="129"/>
      <c r="S91" s="130">
        <f>S81*$A$91</f>
        <v>0</v>
      </c>
      <c r="T91" s="129"/>
      <c r="U91" s="130">
        <f>U81*$A$91</f>
        <v>0</v>
      </c>
      <c r="V91" s="129"/>
      <c r="W91" s="130">
        <f>W81*$A$91</f>
        <v>0</v>
      </c>
      <c r="X91" s="129"/>
      <c r="Y91" s="130">
        <f>Y81*$A$91</f>
        <v>0</v>
      </c>
      <c r="Z91" s="129"/>
      <c r="AA91" s="126">
        <f t="shared" ref="AA91:AH91" si="120">AA81*$A$91</f>
        <v>0</v>
      </c>
      <c r="AB91" s="126">
        <f t="shared" si="120"/>
        <v>0</v>
      </c>
      <c r="AC91" s="126">
        <f t="shared" si="120"/>
        <v>0</v>
      </c>
      <c r="AD91" s="126">
        <f t="shared" si="120"/>
        <v>0</v>
      </c>
      <c r="AE91" s="126">
        <f t="shared" si="120"/>
        <v>0</v>
      </c>
      <c r="AF91" s="126">
        <f t="shared" si="120"/>
        <v>0</v>
      </c>
      <c r="AG91" s="126">
        <f t="shared" si="120"/>
        <v>0</v>
      </c>
      <c r="AH91" s="126">
        <f t="shared" si="120"/>
        <v>0</v>
      </c>
      <c r="AI91" s="126"/>
      <c r="AJ91" s="126">
        <f>AJ81*$A$91</f>
        <v>0</v>
      </c>
      <c r="AK91" s="126">
        <f>AK81*$A$91</f>
        <v>0</v>
      </c>
      <c r="AL91" s="126">
        <f>AL81*$A$91</f>
        <v>0</v>
      </c>
      <c r="AM91" s="126">
        <f>AM81*$A$91</f>
        <v>0</v>
      </c>
      <c r="AN91" s="126">
        <f>AN81*$A$91</f>
        <v>0</v>
      </c>
      <c r="AO91" s="114">
        <f>SUM(AB91:AN91)</f>
        <v>0</v>
      </c>
      <c r="AP91" s="126">
        <f t="shared" ref="AP91:BA91" si="121">AP81*$A$91</f>
        <v>0</v>
      </c>
      <c r="AQ91" s="126">
        <f t="shared" si="121"/>
        <v>0</v>
      </c>
      <c r="AR91" s="126">
        <f t="shared" si="121"/>
        <v>0</v>
      </c>
      <c r="AS91" s="126">
        <f t="shared" si="121"/>
        <v>0</v>
      </c>
      <c r="AT91" s="126">
        <f t="shared" si="121"/>
        <v>0</v>
      </c>
      <c r="AU91" s="126">
        <f t="shared" si="121"/>
        <v>0</v>
      </c>
      <c r="AV91" s="126">
        <f t="shared" si="121"/>
        <v>0</v>
      </c>
      <c r="AW91" s="126">
        <f t="shared" si="121"/>
        <v>0</v>
      </c>
      <c r="AX91" s="126">
        <f t="shared" si="121"/>
        <v>0</v>
      </c>
      <c r="AY91" s="126">
        <f t="shared" si="121"/>
        <v>0</v>
      </c>
      <c r="AZ91" s="126">
        <f t="shared" si="121"/>
        <v>0</v>
      </c>
      <c r="BA91" s="126">
        <f t="shared" si="121"/>
        <v>0</v>
      </c>
      <c r="BB91" s="114">
        <f>SUM(AP91:BA91)</f>
        <v>0</v>
      </c>
      <c r="BC91" s="126"/>
    </row>
    <row r="92" spans="1:55" x14ac:dyDescent="0.3">
      <c r="A92" s="125">
        <v>0.03</v>
      </c>
      <c r="B92" s="124" t="s">
        <v>610</v>
      </c>
      <c r="C92" s="112">
        <f t="shared" ref="C92:Z92" si="122">((C83+C84+C89)*3%)+(C85*1.75%)+((C87+C88+C86)*2%)</f>
        <v>0</v>
      </c>
      <c r="D92" s="111">
        <f t="shared" si="122"/>
        <v>17825.413550000001</v>
      </c>
      <c r="E92" s="112">
        <f t="shared" si="122"/>
        <v>0</v>
      </c>
      <c r="F92" s="111">
        <f t="shared" si="122"/>
        <v>0</v>
      </c>
      <c r="G92" s="112">
        <f t="shared" si="122"/>
        <v>0</v>
      </c>
      <c r="H92" s="111">
        <f t="shared" si="122"/>
        <v>0</v>
      </c>
      <c r="I92" s="112">
        <f t="shared" si="122"/>
        <v>0</v>
      </c>
      <c r="J92" s="111">
        <f t="shared" si="122"/>
        <v>0</v>
      </c>
      <c r="K92" s="112">
        <f t="shared" si="122"/>
        <v>0</v>
      </c>
      <c r="L92" s="111">
        <f t="shared" si="122"/>
        <v>0</v>
      </c>
      <c r="M92" s="112">
        <f t="shared" si="122"/>
        <v>0</v>
      </c>
      <c r="N92" s="111">
        <f t="shared" si="122"/>
        <v>0</v>
      </c>
      <c r="O92" s="112">
        <f t="shared" si="122"/>
        <v>0</v>
      </c>
      <c r="P92" s="111">
        <f t="shared" si="122"/>
        <v>0</v>
      </c>
      <c r="Q92" s="112">
        <f t="shared" si="122"/>
        <v>0</v>
      </c>
      <c r="R92" s="111">
        <f t="shared" si="122"/>
        <v>0</v>
      </c>
      <c r="S92" s="112">
        <f t="shared" si="122"/>
        <v>0</v>
      </c>
      <c r="T92" s="111">
        <f t="shared" si="122"/>
        <v>0</v>
      </c>
      <c r="U92" s="112">
        <f t="shared" si="122"/>
        <v>0</v>
      </c>
      <c r="V92" s="111">
        <f t="shared" si="122"/>
        <v>0</v>
      </c>
      <c r="W92" s="112">
        <f t="shared" si="122"/>
        <v>0</v>
      </c>
      <c r="X92" s="111">
        <f t="shared" si="122"/>
        <v>0</v>
      </c>
      <c r="Y92" s="112">
        <f t="shared" si="122"/>
        <v>0</v>
      </c>
      <c r="Z92" s="111">
        <f t="shared" si="122"/>
        <v>0</v>
      </c>
      <c r="AA92" s="109">
        <f t="shared" ref="AA92:AH92" si="123">AA81*$A$92</f>
        <v>0</v>
      </c>
      <c r="AB92" s="109">
        <f t="shared" si="123"/>
        <v>0</v>
      </c>
      <c r="AC92" s="109">
        <f t="shared" si="123"/>
        <v>0</v>
      </c>
      <c r="AD92" s="109">
        <f t="shared" si="123"/>
        <v>0</v>
      </c>
      <c r="AE92" s="109">
        <f t="shared" si="123"/>
        <v>0</v>
      </c>
      <c r="AF92" s="109">
        <f t="shared" si="123"/>
        <v>0</v>
      </c>
      <c r="AG92" s="109">
        <f t="shared" si="123"/>
        <v>0</v>
      </c>
      <c r="AH92" s="109">
        <f t="shared" si="123"/>
        <v>0</v>
      </c>
      <c r="AI92" s="109"/>
      <c r="AJ92" s="109">
        <f>AJ81*$A$92</f>
        <v>0</v>
      </c>
      <c r="AK92" s="109">
        <f>AK81*$A$92</f>
        <v>0</v>
      </c>
      <c r="AL92" s="109">
        <f>AL81*$A$92</f>
        <v>0</v>
      </c>
      <c r="AM92" s="109">
        <f>AM81*$A$92</f>
        <v>0</v>
      </c>
      <c r="AN92" s="109">
        <f>AN81*$A$92</f>
        <v>0</v>
      </c>
      <c r="AO92" s="110">
        <f>SUM(AB92:AN92)</f>
        <v>0</v>
      </c>
      <c r="AP92" s="109">
        <f t="shared" ref="AP92:BA92" si="124">AP81*$A$92</f>
        <v>0</v>
      </c>
      <c r="AQ92" s="109">
        <f t="shared" si="124"/>
        <v>0</v>
      </c>
      <c r="AR92" s="109">
        <f t="shared" si="124"/>
        <v>0</v>
      </c>
      <c r="AS92" s="109">
        <f t="shared" si="124"/>
        <v>0</v>
      </c>
      <c r="AT92" s="109">
        <f t="shared" si="124"/>
        <v>0</v>
      </c>
      <c r="AU92" s="109">
        <f t="shared" si="124"/>
        <v>0</v>
      </c>
      <c r="AV92" s="109">
        <f t="shared" si="124"/>
        <v>0</v>
      </c>
      <c r="AW92" s="109">
        <f t="shared" si="124"/>
        <v>0</v>
      </c>
      <c r="AX92" s="109">
        <f t="shared" si="124"/>
        <v>0</v>
      </c>
      <c r="AY92" s="109">
        <f t="shared" si="124"/>
        <v>0</v>
      </c>
      <c r="AZ92" s="109">
        <f t="shared" si="124"/>
        <v>0</v>
      </c>
      <c r="BA92" s="109">
        <f t="shared" si="124"/>
        <v>0</v>
      </c>
      <c r="BB92" s="110">
        <f>SUM(AP92:BA92)</f>
        <v>0</v>
      </c>
      <c r="BC92" s="109"/>
    </row>
    <row r="93" spans="1:55" x14ac:dyDescent="0.3">
      <c r="A93" s="108"/>
      <c r="B93" s="380" t="s">
        <v>611</v>
      </c>
      <c r="C93" s="123">
        <f t="shared" ref="C93:AH93" si="125">SUM(C91:C92)</f>
        <v>0</v>
      </c>
      <c r="D93" s="388">
        <f t="shared" si="125"/>
        <v>17825.413550000001</v>
      </c>
      <c r="E93" s="123">
        <f t="shared" si="125"/>
        <v>0</v>
      </c>
      <c r="F93" s="388">
        <f t="shared" si="125"/>
        <v>0</v>
      </c>
      <c r="G93" s="123">
        <f t="shared" si="125"/>
        <v>0</v>
      </c>
      <c r="H93" s="388">
        <f t="shared" si="125"/>
        <v>0</v>
      </c>
      <c r="I93" s="123">
        <f t="shared" si="125"/>
        <v>0</v>
      </c>
      <c r="J93" s="388">
        <f t="shared" si="125"/>
        <v>0</v>
      </c>
      <c r="K93" s="123">
        <f t="shared" si="125"/>
        <v>0</v>
      </c>
      <c r="L93" s="388">
        <f t="shared" si="125"/>
        <v>0</v>
      </c>
      <c r="M93" s="123">
        <f t="shared" si="125"/>
        <v>0</v>
      </c>
      <c r="N93" s="388">
        <f t="shared" si="125"/>
        <v>0</v>
      </c>
      <c r="O93" s="123">
        <f t="shared" si="125"/>
        <v>0</v>
      </c>
      <c r="P93" s="388">
        <f t="shared" si="125"/>
        <v>0</v>
      </c>
      <c r="Q93" s="123">
        <f t="shared" si="125"/>
        <v>0</v>
      </c>
      <c r="R93" s="388">
        <f t="shared" si="125"/>
        <v>0</v>
      </c>
      <c r="S93" s="123">
        <f t="shared" si="125"/>
        <v>0</v>
      </c>
      <c r="T93" s="388">
        <f t="shared" si="125"/>
        <v>0</v>
      </c>
      <c r="U93" s="123">
        <f t="shared" si="125"/>
        <v>0</v>
      </c>
      <c r="V93" s="388">
        <f t="shared" si="125"/>
        <v>0</v>
      </c>
      <c r="W93" s="123">
        <f t="shared" si="125"/>
        <v>0</v>
      </c>
      <c r="X93" s="388">
        <f t="shared" si="125"/>
        <v>0</v>
      </c>
      <c r="Y93" s="123">
        <f t="shared" si="125"/>
        <v>0</v>
      </c>
      <c r="Z93" s="388">
        <f t="shared" si="125"/>
        <v>0</v>
      </c>
      <c r="AA93" s="389">
        <f t="shared" si="125"/>
        <v>0</v>
      </c>
      <c r="AB93" s="389">
        <f t="shared" si="125"/>
        <v>0</v>
      </c>
      <c r="AC93" s="389">
        <f t="shared" si="125"/>
        <v>0</v>
      </c>
      <c r="AD93" s="389">
        <f t="shared" si="125"/>
        <v>0</v>
      </c>
      <c r="AE93" s="389">
        <f t="shared" si="125"/>
        <v>0</v>
      </c>
      <c r="AF93" s="389">
        <f t="shared" si="125"/>
        <v>0</v>
      </c>
      <c r="AG93" s="389">
        <f t="shared" si="125"/>
        <v>0</v>
      </c>
      <c r="AH93" s="389">
        <f t="shared" si="125"/>
        <v>0</v>
      </c>
      <c r="AI93" s="389"/>
      <c r="AJ93" s="389">
        <f>SUM(AJ91:AJ92)</f>
        <v>0</v>
      </c>
      <c r="AK93" s="389">
        <f>SUM(AK91:AK92)</f>
        <v>0</v>
      </c>
      <c r="AL93" s="389">
        <f>SUM(AL91:AL92)</f>
        <v>0</v>
      </c>
      <c r="AM93" s="389">
        <f>SUM(AM91:AM92)</f>
        <v>0</v>
      </c>
      <c r="AN93" s="389">
        <f>SUM(AN91:AN92)</f>
        <v>0</v>
      </c>
      <c r="AO93" s="390">
        <f>SUM(AB93:AN93)</f>
        <v>0</v>
      </c>
      <c r="AP93" s="389">
        <f t="shared" ref="AP93:BA93" si="126">SUM(AP91:AP92)</f>
        <v>0</v>
      </c>
      <c r="AQ93" s="389">
        <f t="shared" si="126"/>
        <v>0</v>
      </c>
      <c r="AR93" s="389">
        <f t="shared" si="126"/>
        <v>0</v>
      </c>
      <c r="AS93" s="389">
        <f t="shared" si="126"/>
        <v>0</v>
      </c>
      <c r="AT93" s="389">
        <f t="shared" si="126"/>
        <v>0</v>
      </c>
      <c r="AU93" s="389">
        <f t="shared" si="126"/>
        <v>0</v>
      </c>
      <c r="AV93" s="389">
        <f t="shared" si="126"/>
        <v>0</v>
      </c>
      <c r="AW93" s="389">
        <f t="shared" si="126"/>
        <v>0</v>
      </c>
      <c r="AX93" s="389">
        <f t="shared" si="126"/>
        <v>0</v>
      </c>
      <c r="AY93" s="389">
        <f t="shared" si="126"/>
        <v>0</v>
      </c>
      <c r="AZ93" s="389">
        <f t="shared" si="126"/>
        <v>0</v>
      </c>
      <c r="BA93" s="389">
        <f t="shared" si="126"/>
        <v>0</v>
      </c>
      <c r="BB93" s="390">
        <f>SUM(AP93:BA93)</f>
        <v>0</v>
      </c>
      <c r="BC93" s="389"/>
    </row>
    <row r="94" spans="1:55" ht="15.6" x14ac:dyDescent="0.3">
      <c r="B94" s="157" t="s">
        <v>617</v>
      </c>
      <c r="C94" s="83"/>
      <c r="D94" s="82"/>
      <c r="E94" s="83"/>
      <c r="F94" s="82"/>
      <c r="G94" s="83"/>
      <c r="H94" s="82"/>
      <c r="I94" s="83"/>
      <c r="J94" s="82"/>
      <c r="K94" s="83"/>
      <c r="L94" s="82"/>
      <c r="M94" s="83"/>
      <c r="N94" s="82"/>
      <c r="O94" s="83"/>
      <c r="P94" s="82"/>
      <c r="Q94" s="83"/>
      <c r="R94" s="82"/>
      <c r="S94" s="83"/>
      <c r="T94" s="82"/>
      <c r="U94" s="83"/>
      <c r="V94" s="82"/>
      <c r="W94" s="83"/>
      <c r="X94" s="82"/>
      <c r="Y94" s="83"/>
      <c r="Z94" s="82"/>
    </row>
    <row r="95" spans="1:55" x14ac:dyDescent="0.3">
      <c r="A95" s="108"/>
      <c r="B95" s="380" t="s">
        <v>599</v>
      </c>
      <c r="C95" s="143"/>
      <c r="D95" s="385">
        <f>SUM(D96:D103)</f>
        <v>50281.58</v>
      </c>
      <c r="E95" s="143"/>
      <c r="F95" s="385">
        <f>SUM(F96:F103)</f>
        <v>0</v>
      </c>
      <c r="G95" s="143"/>
      <c r="H95" s="385">
        <f>SUM(H96:H103)</f>
        <v>0</v>
      </c>
      <c r="I95" s="143"/>
      <c r="J95" s="385">
        <f>SUM(J96:J103)</f>
        <v>0</v>
      </c>
      <c r="K95" s="143"/>
      <c r="L95" s="385">
        <f>SUM(L96:L103)</f>
        <v>0</v>
      </c>
      <c r="M95" s="143"/>
      <c r="N95" s="385">
        <f>SUM(N96:N103)</f>
        <v>0</v>
      </c>
      <c r="O95" s="143"/>
      <c r="P95" s="385">
        <f>SUM(P96:P103)</f>
        <v>0</v>
      </c>
      <c r="Q95" s="143"/>
      <c r="R95" s="385">
        <f>SUM(R96:R103)</f>
        <v>0</v>
      </c>
      <c r="S95" s="143"/>
      <c r="T95" s="385">
        <f>SUM(T96:T103)</f>
        <v>0</v>
      </c>
      <c r="U95" s="143"/>
      <c r="V95" s="385">
        <f>SUM(V96:V103)</f>
        <v>0</v>
      </c>
      <c r="W95" s="143"/>
      <c r="X95" s="385">
        <f>SUM(X96:X103)</f>
        <v>0</v>
      </c>
      <c r="Y95" s="143"/>
      <c r="Z95" s="385">
        <f>SUM(Z96:Z103)</f>
        <v>0</v>
      </c>
      <c r="AA95" s="387">
        <v>0</v>
      </c>
      <c r="AB95" s="387">
        <v>0</v>
      </c>
      <c r="AC95" s="387">
        <v>0</v>
      </c>
      <c r="AD95" s="387">
        <v>0</v>
      </c>
      <c r="AE95" s="387">
        <v>0</v>
      </c>
      <c r="AF95" s="387">
        <v>0</v>
      </c>
      <c r="AG95" s="387">
        <v>0</v>
      </c>
      <c r="AH95" s="387">
        <v>0</v>
      </c>
      <c r="BC95" s="387"/>
    </row>
    <row r="96" spans="1:55" x14ac:dyDescent="0.3">
      <c r="A96" s="108"/>
      <c r="B96" s="142" t="s">
        <v>600</v>
      </c>
      <c r="C96" s="141"/>
      <c r="D96" s="140"/>
      <c r="E96" s="141"/>
      <c r="F96" s="140"/>
      <c r="G96" s="141"/>
      <c r="H96" s="140"/>
      <c r="I96" s="141"/>
      <c r="J96" s="140"/>
      <c r="K96" s="141"/>
      <c r="L96" s="140"/>
      <c r="M96" s="141"/>
      <c r="N96" s="140"/>
      <c r="O96" s="141"/>
      <c r="P96" s="140"/>
      <c r="Q96" s="141"/>
      <c r="R96" s="140"/>
      <c r="S96" s="141"/>
      <c r="T96" s="140"/>
      <c r="U96" s="141"/>
      <c r="V96" s="140"/>
      <c r="W96" s="141"/>
      <c r="X96" s="140"/>
      <c r="Y96" s="141"/>
      <c r="Z96" s="140"/>
      <c r="AA96" s="108"/>
      <c r="AB96" s="108"/>
      <c r="AC96" s="108"/>
      <c r="AD96" s="108"/>
      <c r="AE96" s="108"/>
      <c r="AF96" s="108"/>
      <c r="AG96" s="108"/>
      <c r="AH96" s="108"/>
      <c r="BC96" s="108"/>
    </row>
    <row r="97" spans="1:59" x14ac:dyDescent="0.3">
      <c r="A97" s="156">
        <v>0.25345000000000001</v>
      </c>
      <c r="B97" s="138" t="s">
        <v>601</v>
      </c>
      <c r="C97" s="116">
        <f>C95*$A$97</f>
        <v>0</v>
      </c>
      <c r="D97" s="115">
        <v>6311.48</v>
      </c>
      <c r="E97" s="116"/>
      <c r="F97" s="115"/>
      <c r="G97" s="116"/>
      <c r="H97" s="115"/>
      <c r="I97" s="116"/>
      <c r="J97" s="115"/>
      <c r="K97" s="116"/>
      <c r="L97" s="115"/>
      <c r="M97" s="116"/>
      <c r="N97" s="115"/>
      <c r="O97" s="116"/>
      <c r="P97" s="115"/>
      <c r="Q97" s="116"/>
      <c r="R97" s="115"/>
      <c r="S97" s="116"/>
      <c r="T97" s="115"/>
      <c r="U97" s="116"/>
      <c r="V97" s="115"/>
      <c r="W97" s="116"/>
      <c r="X97" s="115"/>
      <c r="Y97" s="116"/>
      <c r="Z97" s="115"/>
      <c r="AA97" s="93"/>
      <c r="AB97" s="93"/>
      <c r="AC97" s="93"/>
      <c r="AD97" s="93"/>
      <c r="AE97" s="93">
        <f>AE95*$A$83</f>
        <v>0</v>
      </c>
      <c r="AF97" s="93">
        <f>AF95*$A$83</f>
        <v>0</v>
      </c>
      <c r="AG97" s="93">
        <f>AG95*$A$83</f>
        <v>0</v>
      </c>
      <c r="AH97" s="93">
        <f>AH95*$A$83</f>
        <v>0</v>
      </c>
      <c r="BC97" s="93"/>
    </row>
    <row r="98" spans="1:59" x14ac:dyDescent="0.3">
      <c r="A98" s="156">
        <v>0</v>
      </c>
      <c r="B98" s="138" t="s">
        <v>602</v>
      </c>
      <c r="C98" s="116">
        <f>C95*$A$98</f>
        <v>0</v>
      </c>
      <c r="D98" s="115"/>
      <c r="E98" s="116"/>
      <c r="F98" s="115"/>
      <c r="G98" s="116"/>
      <c r="H98" s="115"/>
      <c r="I98" s="116"/>
      <c r="J98" s="115"/>
      <c r="K98" s="116"/>
      <c r="L98" s="115"/>
      <c r="M98" s="116"/>
      <c r="N98" s="115"/>
      <c r="O98" s="116"/>
      <c r="P98" s="115"/>
      <c r="Q98" s="116"/>
      <c r="R98" s="115"/>
      <c r="S98" s="116"/>
      <c r="T98" s="115"/>
      <c r="U98" s="116"/>
      <c r="V98" s="115"/>
      <c r="W98" s="116"/>
      <c r="X98" s="115"/>
      <c r="Y98" s="116"/>
      <c r="Z98" s="115"/>
      <c r="AA98" s="93"/>
      <c r="AB98" s="93"/>
      <c r="AC98" s="93"/>
      <c r="AD98" s="93"/>
      <c r="AE98" s="93">
        <f>AE95*$A$84</f>
        <v>0</v>
      </c>
      <c r="AF98" s="93">
        <f>AF95*$A$84</f>
        <v>0</v>
      </c>
      <c r="AG98" s="93">
        <f>AG95*$A$84</f>
        <v>0</v>
      </c>
      <c r="AH98" s="93">
        <f>AH95*$A$84</f>
        <v>0</v>
      </c>
      <c r="BC98" s="93"/>
    </row>
    <row r="99" spans="1:59" x14ac:dyDescent="0.3">
      <c r="A99" s="156">
        <f>71.058%+0.015%</f>
        <v>0.71073000000000008</v>
      </c>
      <c r="B99" s="138" t="s">
        <v>603</v>
      </c>
      <c r="C99" s="116">
        <f>C95*$A$99</f>
        <v>0</v>
      </c>
      <c r="D99" s="115">
        <v>43970.1</v>
      </c>
      <c r="E99" s="116"/>
      <c r="F99" s="115"/>
      <c r="G99" s="116"/>
      <c r="H99" s="115"/>
      <c r="I99" s="116"/>
      <c r="J99" s="115"/>
      <c r="K99" s="116"/>
      <c r="L99" s="115"/>
      <c r="M99" s="116"/>
      <c r="N99" s="115"/>
      <c r="O99" s="116"/>
      <c r="P99" s="115"/>
      <c r="Q99" s="116"/>
      <c r="R99" s="115"/>
      <c r="S99" s="116"/>
      <c r="T99" s="115"/>
      <c r="U99" s="116"/>
      <c r="V99" s="115"/>
      <c r="W99" s="116"/>
      <c r="X99" s="115"/>
      <c r="Y99" s="116"/>
      <c r="Z99" s="115"/>
      <c r="AA99" s="93"/>
      <c r="AB99" s="93"/>
      <c r="AC99" s="93"/>
      <c r="AD99" s="93"/>
      <c r="AE99" s="93">
        <f>AE95*$A$85</f>
        <v>0</v>
      </c>
      <c r="AF99" s="93">
        <f>AF95*$A$85</f>
        <v>0</v>
      </c>
      <c r="AG99" s="93">
        <f>AG95*$A$85</f>
        <v>0</v>
      </c>
      <c r="AH99" s="93">
        <f>AH95*$A$85</f>
        <v>0</v>
      </c>
      <c r="BC99" s="93"/>
    </row>
    <row r="100" spans="1:59" x14ac:dyDescent="0.3">
      <c r="A100" s="156">
        <v>0</v>
      </c>
      <c r="B100" s="138" t="s">
        <v>604</v>
      </c>
      <c r="C100" s="116">
        <f>C95*$A$100</f>
        <v>0</v>
      </c>
      <c r="D100" s="115"/>
      <c r="E100" s="116"/>
      <c r="F100" s="115"/>
      <c r="G100" s="116"/>
      <c r="H100" s="115"/>
      <c r="I100" s="116"/>
      <c r="J100" s="115"/>
      <c r="K100" s="116"/>
      <c r="L100" s="115"/>
      <c r="M100" s="116"/>
      <c r="N100" s="115"/>
      <c r="O100" s="116"/>
      <c r="P100" s="115"/>
      <c r="Q100" s="116"/>
      <c r="R100" s="115"/>
      <c r="S100" s="116"/>
      <c r="T100" s="115"/>
      <c r="U100" s="116"/>
      <c r="V100" s="115"/>
      <c r="W100" s="116"/>
      <c r="X100" s="115"/>
      <c r="Y100" s="116"/>
      <c r="Z100" s="115"/>
      <c r="AA100" s="93"/>
      <c r="AB100" s="93"/>
      <c r="AC100" s="93"/>
      <c r="AD100" s="93"/>
      <c r="AE100" s="93">
        <f>AE95*$A$86</f>
        <v>0</v>
      </c>
      <c r="AF100" s="93">
        <f>AF95*$A$86</f>
        <v>0</v>
      </c>
      <c r="AG100" s="93">
        <f>AG95*$A$86</f>
        <v>0</v>
      </c>
      <c r="AH100" s="93">
        <f>AH95*$A$86</f>
        <v>0</v>
      </c>
      <c r="BC100" s="93"/>
    </row>
    <row r="101" spans="1:59" x14ac:dyDescent="0.3">
      <c r="A101" s="156">
        <v>1.438E-2</v>
      </c>
      <c r="B101" s="138" t="s">
        <v>605</v>
      </c>
      <c r="C101" s="116">
        <f>C95*$A$101</f>
        <v>0</v>
      </c>
      <c r="D101" s="115"/>
      <c r="E101" s="116"/>
      <c r="F101" s="115"/>
      <c r="G101" s="116"/>
      <c r="H101" s="115"/>
      <c r="I101" s="116"/>
      <c r="J101" s="115"/>
      <c r="K101" s="116"/>
      <c r="L101" s="115"/>
      <c r="M101" s="116"/>
      <c r="N101" s="115"/>
      <c r="O101" s="116"/>
      <c r="P101" s="115"/>
      <c r="Q101" s="116"/>
      <c r="R101" s="115"/>
      <c r="S101" s="116"/>
      <c r="T101" s="115"/>
      <c r="U101" s="116"/>
      <c r="V101" s="115"/>
      <c r="W101" s="116"/>
      <c r="X101" s="115"/>
      <c r="Y101" s="116"/>
      <c r="Z101" s="115"/>
      <c r="AA101" s="93"/>
      <c r="AB101" s="93"/>
      <c r="AC101" s="93"/>
      <c r="AD101" s="93"/>
      <c r="AE101" s="93">
        <f>AE95*$A$87</f>
        <v>0</v>
      </c>
      <c r="AF101" s="93">
        <f>AF95*$A$87</f>
        <v>0</v>
      </c>
      <c r="AG101" s="93">
        <f>AG95*$A$87</f>
        <v>0</v>
      </c>
      <c r="AH101" s="93">
        <f>AH95*$A$87</f>
        <v>0</v>
      </c>
      <c r="BC101" s="93"/>
    </row>
    <row r="102" spans="1:59" x14ac:dyDescent="0.3">
      <c r="A102" s="156">
        <v>6.3000000000000003E-4</v>
      </c>
      <c r="B102" s="138" t="s">
        <v>606</v>
      </c>
      <c r="C102" s="116">
        <f>C95*$A$102</f>
        <v>0</v>
      </c>
      <c r="D102" s="115"/>
      <c r="E102" s="116"/>
      <c r="F102" s="115"/>
      <c r="G102" s="116"/>
      <c r="H102" s="115"/>
      <c r="I102" s="116"/>
      <c r="J102" s="115"/>
      <c r="K102" s="116"/>
      <c r="L102" s="115"/>
      <c r="M102" s="116"/>
      <c r="N102" s="115"/>
      <c r="O102" s="116"/>
      <c r="P102" s="115"/>
      <c r="Q102" s="116"/>
      <c r="R102" s="115"/>
      <c r="S102" s="116"/>
      <c r="T102" s="115"/>
      <c r="U102" s="116"/>
      <c r="V102" s="115"/>
      <c r="W102" s="116"/>
      <c r="X102" s="115"/>
      <c r="Y102" s="116"/>
      <c r="Z102" s="115"/>
      <c r="AA102" s="93"/>
      <c r="AB102" s="93"/>
      <c r="AC102" s="93"/>
      <c r="AD102" s="93"/>
      <c r="AE102" s="93">
        <f>AE95*$A$88</f>
        <v>0</v>
      </c>
      <c r="AF102" s="93">
        <f>AF95*$A$88</f>
        <v>0</v>
      </c>
      <c r="AG102" s="93">
        <f>AG95*$A$88</f>
        <v>0</v>
      </c>
      <c r="AH102" s="93">
        <f>AH95*$A$88</f>
        <v>0</v>
      </c>
      <c r="BC102" s="93"/>
    </row>
    <row r="103" spans="1:59" x14ac:dyDescent="0.3">
      <c r="A103" s="156">
        <v>2.0809999999999999E-2</v>
      </c>
      <c r="B103" s="138" t="s">
        <v>607</v>
      </c>
      <c r="C103" s="116">
        <f>C95*$A$103</f>
        <v>0</v>
      </c>
      <c r="D103" s="115"/>
      <c r="E103" s="116"/>
      <c r="F103" s="115"/>
      <c r="G103" s="116"/>
      <c r="H103" s="115"/>
      <c r="I103" s="116"/>
      <c r="J103" s="115"/>
      <c r="K103" s="116"/>
      <c r="L103" s="115"/>
      <c r="M103" s="116"/>
      <c r="N103" s="115"/>
      <c r="O103" s="116"/>
      <c r="P103" s="115"/>
      <c r="Q103" s="116"/>
      <c r="R103" s="115"/>
      <c r="S103" s="116"/>
      <c r="T103" s="115"/>
      <c r="U103" s="116"/>
      <c r="V103" s="115"/>
      <c r="W103" s="116"/>
      <c r="X103" s="115"/>
      <c r="Y103" s="116"/>
      <c r="Z103" s="115"/>
      <c r="AA103" s="93"/>
      <c r="AB103" s="93"/>
      <c r="AC103" s="93"/>
      <c r="AD103" s="93"/>
      <c r="AE103" s="93">
        <f>AE95*$A$89</f>
        <v>0</v>
      </c>
      <c r="AF103" s="93">
        <f>AF95*$A$89</f>
        <v>0</v>
      </c>
      <c r="AG103" s="93">
        <f>AG95*$A$89</f>
        <v>0</v>
      </c>
      <c r="AH103" s="93">
        <f>AH95*$A$89</f>
        <v>0</v>
      </c>
      <c r="BC103" s="93"/>
    </row>
    <row r="104" spans="1:59" x14ac:dyDescent="0.3">
      <c r="A104" s="108"/>
      <c r="B104" s="137" t="s">
        <v>608</v>
      </c>
      <c r="C104" s="136"/>
      <c r="D104" s="135"/>
      <c r="E104" s="136"/>
      <c r="F104" s="135"/>
      <c r="G104" s="136"/>
      <c r="H104" s="135"/>
      <c r="I104" s="136"/>
      <c r="J104" s="135"/>
      <c r="K104" s="136"/>
      <c r="L104" s="135"/>
      <c r="M104" s="136"/>
      <c r="N104" s="135"/>
      <c r="O104" s="136"/>
      <c r="P104" s="135"/>
      <c r="Q104" s="136"/>
      <c r="R104" s="135"/>
      <c r="S104" s="136"/>
      <c r="T104" s="135"/>
      <c r="U104" s="136"/>
      <c r="V104" s="135"/>
      <c r="W104" s="136"/>
      <c r="X104" s="135"/>
      <c r="Y104" s="136"/>
      <c r="Z104" s="135"/>
      <c r="AA104" s="132"/>
      <c r="AB104" s="132"/>
      <c r="AC104" s="132"/>
      <c r="AD104" s="132"/>
      <c r="AE104" s="132"/>
      <c r="AF104" s="132"/>
      <c r="AG104" s="132"/>
      <c r="AH104" s="132"/>
      <c r="BC104" s="132"/>
    </row>
    <row r="105" spans="1:59" x14ac:dyDescent="0.3">
      <c r="A105" s="125">
        <v>0</v>
      </c>
      <c r="B105" s="131" t="s">
        <v>609</v>
      </c>
      <c r="C105" s="130">
        <f>C95*$A$105</f>
        <v>0</v>
      </c>
      <c r="D105" s="129"/>
      <c r="E105" s="130">
        <f>E95*$A$105</f>
        <v>0</v>
      </c>
      <c r="F105" s="129"/>
      <c r="G105" s="130">
        <f>G95*$A$105</f>
        <v>0</v>
      </c>
      <c r="H105" s="129"/>
      <c r="I105" s="130">
        <f>I95*$A$105</f>
        <v>0</v>
      </c>
      <c r="J105" s="129"/>
      <c r="K105" s="130">
        <f>K95*$A$105</f>
        <v>0</v>
      </c>
      <c r="L105" s="129"/>
      <c r="M105" s="130">
        <f>M95*$A$105</f>
        <v>0</v>
      </c>
      <c r="N105" s="129"/>
      <c r="O105" s="130">
        <f>O95*$A$105</f>
        <v>0</v>
      </c>
      <c r="P105" s="129"/>
      <c r="Q105" s="130">
        <f>Q95*$A$105</f>
        <v>0</v>
      </c>
      <c r="R105" s="129"/>
      <c r="S105" s="130">
        <f>S95*$A$105</f>
        <v>0</v>
      </c>
      <c r="T105" s="129"/>
      <c r="U105" s="130">
        <f>U95*$A$105</f>
        <v>0</v>
      </c>
      <c r="V105" s="129"/>
      <c r="W105" s="130">
        <f>W95*$A$105</f>
        <v>0</v>
      </c>
      <c r="X105" s="129"/>
      <c r="Y105" s="130">
        <f>Y95*$A$105</f>
        <v>0</v>
      </c>
      <c r="Z105" s="129"/>
      <c r="AA105" s="126">
        <f t="shared" ref="AA105:AH105" si="127">AA95*$A$91</f>
        <v>0</v>
      </c>
      <c r="AB105" s="126">
        <f t="shared" si="127"/>
        <v>0</v>
      </c>
      <c r="AC105" s="126">
        <f t="shared" si="127"/>
        <v>0</v>
      </c>
      <c r="AD105" s="126">
        <f t="shared" si="127"/>
        <v>0</v>
      </c>
      <c r="AE105" s="126">
        <f t="shared" si="127"/>
        <v>0</v>
      </c>
      <c r="AF105" s="126">
        <f t="shared" si="127"/>
        <v>0</v>
      </c>
      <c r="AG105" s="126">
        <f t="shared" si="127"/>
        <v>0</v>
      </c>
      <c r="AH105" s="126">
        <f t="shared" si="127"/>
        <v>0</v>
      </c>
      <c r="BC105" s="126"/>
    </row>
    <row r="106" spans="1:59" x14ac:dyDescent="0.3">
      <c r="A106" s="125">
        <v>0.06</v>
      </c>
      <c r="B106" s="124" t="s">
        <v>610</v>
      </c>
      <c r="C106" s="112">
        <f t="shared" ref="C106:Z106" si="128">C95*$A$106</f>
        <v>0</v>
      </c>
      <c r="D106" s="111">
        <f t="shared" si="128"/>
        <v>3016.8948</v>
      </c>
      <c r="E106" s="112">
        <f t="shared" si="128"/>
        <v>0</v>
      </c>
      <c r="F106" s="111">
        <f t="shared" si="128"/>
        <v>0</v>
      </c>
      <c r="G106" s="112">
        <f t="shared" si="128"/>
        <v>0</v>
      </c>
      <c r="H106" s="111">
        <f t="shared" si="128"/>
        <v>0</v>
      </c>
      <c r="I106" s="112">
        <f t="shared" si="128"/>
        <v>0</v>
      </c>
      <c r="J106" s="111">
        <f t="shared" si="128"/>
        <v>0</v>
      </c>
      <c r="K106" s="112">
        <f t="shared" si="128"/>
        <v>0</v>
      </c>
      <c r="L106" s="111">
        <f t="shared" si="128"/>
        <v>0</v>
      </c>
      <c r="M106" s="112">
        <f t="shared" si="128"/>
        <v>0</v>
      </c>
      <c r="N106" s="111">
        <f t="shared" si="128"/>
        <v>0</v>
      </c>
      <c r="O106" s="112">
        <f t="shared" si="128"/>
        <v>0</v>
      </c>
      <c r="P106" s="111">
        <f t="shared" si="128"/>
        <v>0</v>
      </c>
      <c r="Q106" s="112">
        <f t="shared" si="128"/>
        <v>0</v>
      </c>
      <c r="R106" s="111">
        <f t="shared" si="128"/>
        <v>0</v>
      </c>
      <c r="S106" s="112">
        <f t="shared" si="128"/>
        <v>0</v>
      </c>
      <c r="T106" s="111">
        <f t="shared" si="128"/>
        <v>0</v>
      </c>
      <c r="U106" s="112">
        <f t="shared" si="128"/>
        <v>0</v>
      </c>
      <c r="V106" s="111">
        <f t="shared" si="128"/>
        <v>0</v>
      </c>
      <c r="W106" s="112">
        <f t="shared" si="128"/>
        <v>0</v>
      </c>
      <c r="X106" s="111">
        <f t="shared" si="128"/>
        <v>0</v>
      </c>
      <c r="Y106" s="112">
        <f t="shared" si="128"/>
        <v>0</v>
      </c>
      <c r="Z106" s="111">
        <f t="shared" si="128"/>
        <v>0</v>
      </c>
      <c r="AA106" s="109">
        <f t="shared" ref="AA106:AH106" si="129">AA95*$A$92</f>
        <v>0</v>
      </c>
      <c r="AB106" s="109">
        <f t="shared" si="129"/>
        <v>0</v>
      </c>
      <c r="AC106" s="109">
        <f t="shared" si="129"/>
        <v>0</v>
      </c>
      <c r="AD106" s="109">
        <f t="shared" si="129"/>
        <v>0</v>
      </c>
      <c r="AE106" s="109">
        <f t="shared" si="129"/>
        <v>0</v>
      </c>
      <c r="AF106" s="109">
        <f t="shared" si="129"/>
        <v>0</v>
      </c>
      <c r="AG106" s="109">
        <f t="shared" si="129"/>
        <v>0</v>
      </c>
      <c r="AH106" s="109">
        <f t="shared" si="129"/>
        <v>0</v>
      </c>
      <c r="BC106" s="109"/>
    </row>
    <row r="107" spans="1:59" x14ac:dyDescent="0.3">
      <c r="A107" s="108"/>
      <c r="B107" s="380" t="s">
        <v>611</v>
      </c>
      <c r="C107" s="123">
        <f t="shared" ref="C107:AH107" si="130">SUM(C105:C106)</f>
        <v>0</v>
      </c>
      <c r="D107" s="388">
        <f t="shared" si="130"/>
        <v>3016.8948</v>
      </c>
      <c r="E107" s="123">
        <f t="shared" si="130"/>
        <v>0</v>
      </c>
      <c r="F107" s="388">
        <f t="shared" si="130"/>
        <v>0</v>
      </c>
      <c r="G107" s="123">
        <f t="shared" si="130"/>
        <v>0</v>
      </c>
      <c r="H107" s="388">
        <f t="shared" si="130"/>
        <v>0</v>
      </c>
      <c r="I107" s="123">
        <f t="shared" si="130"/>
        <v>0</v>
      </c>
      <c r="J107" s="388">
        <f t="shared" si="130"/>
        <v>0</v>
      </c>
      <c r="K107" s="123">
        <f t="shared" si="130"/>
        <v>0</v>
      </c>
      <c r="L107" s="388">
        <f t="shared" si="130"/>
        <v>0</v>
      </c>
      <c r="M107" s="123">
        <f t="shared" si="130"/>
        <v>0</v>
      </c>
      <c r="N107" s="388">
        <f t="shared" si="130"/>
        <v>0</v>
      </c>
      <c r="O107" s="123">
        <f t="shared" si="130"/>
        <v>0</v>
      </c>
      <c r="P107" s="388">
        <f t="shared" si="130"/>
        <v>0</v>
      </c>
      <c r="Q107" s="123">
        <f t="shared" si="130"/>
        <v>0</v>
      </c>
      <c r="R107" s="388">
        <f t="shared" si="130"/>
        <v>0</v>
      </c>
      <c r="S107" s="123">
        <f t="shared" si="130"/>
        <v>0</v>
      </c>
      <c r="T107" s="388">
        <f t="shared" si="130"/>
        <v>0</v>
      </c>
      <c r="U107" s="123">
        <f t="shared" si="130"/>
        <v>0</v>
      </c>
      <c r="V107" s="388">
        <f t="shared" si="130"/>
        <v>0</v>
      </c>
      <c r="W107" s="123">
        <f t="shared" si="130"/>
        <v>0</v>
      </c>
      <c r="X107" s="388">
        <f t="shared" si="130"/>
        <v>0</v>
      </c>
      <c r="Y107" s="123">
        <f t="shared" si="130"/>
        <v>0</v>
      </c>
      <c r="Z107" s="388">
        <f t="shared" si="130"/>
        <v>0</v>
      </c>
      <c r="AA107" s="389">
        <f t="shared" si="130"/>
        <v>0</v>
      </c>
      <c r="AB107" s="389">
        <f t="shared" si="130"/>
        <v>0</v>
      </c>
      <c r="AC107" s="389">
        <f t="shared" si="130"/>
        <v>0</v>
      </c>
      <c r="AD107" s="389">
        <f t="shared" si="130"/>
        <v>0</v>
      </c>
      <c r="AE107" s="389">
        <f t="shared" si="130"/>
        <v>0</v>
      </c>
      <c r="AF107" s="389">
        <f t="shared" si="130"/>
        <v>0</v>
      </c>
      <c r="AG107" s="389">
        <f t="shared" si="130"/>
        <v>0</v>
      </c>
      <c r="AH107" s="389">
        <f t="shared" si="130"/>
        <v>0</v>
      </c>
      <c r="BC107" s="389"/>
    </row>
    <row r="108" spans="1:59" ht="15.6" x14ac:dyDescent="0.3">
      <c r="B108" s="157" t="s">
        <v>81</v>
      </c>
      <c r="C108" s="83"/>
      <c r="D108" s="82"/>
      <c r="E108" s="83"/>
      <c r="F108" s="82"/>
      <c r="G108" s="83"/>
      <c r="H108" s="82"/>
      <c r="I108" s="83"/>
      <c r="J108" s="82"/>
      <c r="K108" s="83"/>
      <c r="L108" s="82"/>
      <c r="M108" s="83"/>
      <c r="N108" s="82"/>
      <c r="O108" s="83"/>
      <c r="P108" s="82"/>
      <c r="Q108" s="83"/>
      <c r="R108" s="82"/>
      <c r="S108" s="83"/>
      <c r="T108" s="82"/>
      <c r="U108" s="83"/>
      <c r="V108" s="82"/>
      <c r="W108" s="83"/>
      <c r="X108" s="82"/>
      <c r="Y108" s="83"/>
      <c r="Z108" s="82"/>
    </row>
    <row r="109" spans="1:59" x14ac:dyDescent="0.3">
      <c r="A109" s="108"/>
      <c r="B109" s="380" t="s">
        <v>599</v>
      </c>
      <c r="C109" s="143">
        <v>0</v>
      </c>
      <c r="D109" s="385">
        <f>SUM(D110:D117)</f>
        <v>476670.42000000004</v>
      </c>
      <c r="E109" s="143">
        <v>0</v>
      </c>
      <c r="F109" s="385">
        <f>SUM(F110:F117)</f>
        <v>0</v>
      </c>
      <c r="G109" s="143">
        <v>0</v>
      </c>
      <c r="H109" s="385">
        <f>SUM(H110:H117)</f>
        <v>0</v>
      </c>
      <c r="I109" s="143">
        <v>0</v>
      </c>
      <c r="J109" s="385">
        <f>SUM(J110:J117)</f>
        <v>0</v>
      </c>
      <c r="K109" s="143"/>
      <c r="L109" s="385">
        <f>SUM(L110:L117)</f>
        <v>0</v>
      </c>
      <c r="M109" s="143"/>
      <c r="N109" s="385">
        <f>SUM(N110:N117)</f>
        <v>0</v>
      </c>
      <c r="O109" s="143"/>
      <c r="P109" s="385">
        <f>SUM(P110:P117)</f>
        <v>0</v>
      </c>
      <c r="Q109" s="143"/>
      <c r="R109" s="385">
        <f>SUM(R110:R117)</f>
        <v>0</v>
      </c>
      <c r="S109" s="143"/>
      <c r="T109" s="385">
        <f>SUM(T110:T117)</f>
        <v>0</v>
      </c>
      <c r="U109" s="143"/>
      <c r="V109" s="385">
        <f>SUM(V110:V117)</f>
        <v>0</v>
      </c>
      <c r="W109" s="143"/>
      <c r="X109" s="385">
        <f>SUM(X110:X117)</f>
        <v>0</v>
      </c>
      <c r="Y109" s="143"/>
      <c r="Z109" s="385">
        <f>SUM(Z110:Z117)</f>
        <v>0</v>
      </c>
      <c r="AA109" s="387">
        <v>0</v>
      </c>
      <c r="AB109" s="387">
        <v>0</v>
      </c>
      <c r="AC109" s="387">
        <v>0</v>
      </c>
      <c r="AD109" s="387">
        <v>0</v>
      </c>
      <c r="AE109" s="387">
        <v>0</v>
      </c>
      <c r="AF109" s="387">
        <v>0</v>
      </c>
      <c r="AG109" s="387">
        <v>0</v>
      </c>
      <c r="AH109" s="387">
        <v>0</v>
      </c>
      <c r="BC109" s="387"/>
    </row>
    <row r="110" spans="1:59" x14ac:dyDescent="0.3">
      <c r="A110" s="108"/>
      <c r="B110" s="142" t="s">
        <v>600</v>
      </c>
      <c r="C110" s="141"/>
      <c r="D110" s="140"/>
      <c r="E110" s="141"/>
      <c r="F110" s="140"/>
      <c r="G110" s="141"/>
      <c r="H110" s="140"/>
      <c r="I110" s="141"/>
      <c r="J110" s="140"/>
      <c r="K110" s="141"/>
      <c r="L110" s="140"/>
      <c r="M110" s="141"/>
      <c r="N110" s="140"/>
      <c r="O110" s="141"/>
      <c r="P110" s="140"/>
      <c r="Q110" s="141"/>
      <c r="R110" s="140"/>
      <c r="S110" s="141"/>
      <c r="T110" s="140"/>
      <c r="U110" s="141"/>
      <c r="V110" s="140"/>
      <c r="W110" s="141"/>
      <c r="X110" s="140"/>
      <c r="Y110" s="141"/>
      <c r="Z110" s="140"/>
      <c r="AA110" s="108"/>
      <c r="AB110" s="108"/>
      <c r="AC110" s="108"/>
      <c r="AD110" s="108"/>
      <c r="AE110" s="108"/>
      <c r="AF110" s="108"/>
      <c r="AG110" s="108"/>
      <c r="AH110" s="108"/>
      <c r="BC110" s="108"/>
    </row>
    <row r="111" spans="1:59" x14ac:dyDescent="0.3">
      <c r="A111" s="156">
        <v>0.25345000000000001</v>
      </c>
      <c r="B111" s="138" t="s">
        <v>601</v>
      </c>
      <c r="C111" s="116">
        <f>C109*$A$153</f>
        <v>0</v>
      </c>
      <c r="D111" s="115">
        <v>51488.77</v>
      </c>
      <c r="E111" s="116"/>
      <c r="F111" s="115"/>
      <c r="G111" s="116"/>
      <c r="H111" s="115"/>
      <c r="I111" s="116"/>
      <c r="J111" s="115"/>
      <c r="K111" s="116"/>
      <c r="L111" s="115"/>
      <c r="M111" s="116"/>
      <c r="N111" s="115"/>
      <c r="O111" s="116"/>
      <c r="P111" s="115"/>
      <c r="Q111" s="116"/>
      <c r="R111" s="115"/>
      <c r="S111" s="116"/>
      <c r="T111" s="115"/>
      <c r="U111" s="116"/>
      <c r="V111" s="115"/>
      <c r="W111" s="116"/>
      <c r="X111" s="115"/>
      <c r="Y111" s="116"/>
      <c r="Z111" s="115"/>
      <c r="AA111" s="93">
        <f t="shared" ref="AA111:AH111" si="131">AA109*$A$83</f>
        <v>0</v>
      </c>
      <c r="AB111" s="93">
        <f t="shared" si="131"/>
        <v>0</v>
      </c>
      <c r="AC111" s="93">
        <f t="shared" si="131"/>
        <v>0</v>
      </c>
      <c r="AD111" s="93">
        <f t="shared" si="131"/>
        <v>0</v>
      </c>
      <c r="AE111" s="93">
        <f t="shared" si="131"/>
        <v>0</v>
      </c>
      <c r="AF111" s="93">
        <f t="shared" si="131"/>
        <v>0</v>
      </c>
      <c r="AG111" s="93">
        <f t="shared" si="131"/>
        <v>0</v>
      </c>
      <c r="AH111" s="93">
        <f t="shared" si="131"/>
        <v>0</v>
      </c>
      <c r="BC111" s="93"/>
      <c r="BG111" s="163"/>
    </row>
    <row r="112" spans="1:59" x14ac:dyDescent="0.3">
      <c r="A112" s="156">
        <v>0</v>
      </c>
      <c r="B112" s="138" t="s">
        <v>602</v>
      </c>
      <c r="C112" s="116">
        <f>C109*$A$154</f>
        <v>0</v>
      </c>
      <c r="D112" s="115"/>
      <c r="E112" s="116"/>
      <c r="F112" s="115"/>
      <c r="G112" s="116"/>
      <c r="H112" s="115"/>
      <c r="I112" s="116"/>
      <c r="J112" s="115"/>
      <c r="K112" s="116"/>
      <c r="L112" s="115"/>
      <c r="M112" s="116"/>
      <c r="N112" s="115"/>
      <c r="O112" s="116"/>
      <c r="P112" s="115"/>
      <c r="Q112" s="116"/>
      <c r="R112" s="115"/>
      <c r="S112" s="116"/>
      <c r="T112" s="115"/>
      <c r="U112" s="116"/>
      <c r="V112" s="115"/>
      <c r="W112" s="116"/>
      <c r="X112" s="115"/>
      <c r="Y112" s="116"/>
      <c r="Z112" s="115"/>
      <c r="AA112" s="93">
        <f t="shared" ref="AA112:AH112" si="132">AA109*$A$84</f>
        <v>0</v>
      </c>
      <c r="AB112" s="93">
        <f t="shared" si="132"/>
        <v>0</v>
      </c>
      <c r="AC112" s="93">
        <f t="shared" si="132"/>
        <v>0</v>
      </c>
      <c r="AD112" s="93">
        <f t="shared" si="132"/>
        <v>0</v>
      </c>
      <c r="AE112" s="93">
        <f t="shared" si="132"/>
        <v>0</v>
      </c>
      <c r="AF112" s="93">
        <f t="shared" si="132"/>
        <v>0</v>
      </c>
      <c r="AG112" s="93">
        <f t="shared" si="132"/>
        <v>0</v>
      </c>
      <c r="AH112" s="93">
        <f t="shared" si="132"/>
        <v>0</v>
      </c>
      <c r="BC112" s="93"/>
    </row>
    <row r="113" spans="1:55" x14ac:dyDescent="0.3">
      <c r="A113" s="156">
        <f>71.058%+0.015%</f>
        <v>0.71073000000000008</v>
      </c>
      <c r="B113" s="138" t="s">
        <v>603</v>
      </c>
      <c r="C113" s="116">
        <f>C109*$A$155</f>
        <v>0</v>
      </c>
      <c r="D113" s="115">
        <v>425181.65</v>
      </c>
      <c r="E113" s="116"/>
      <c r="F113" s="115"/>
      <c r="G113" s="116"/>
      <c r="H113" s="115"/>
      <c r="I113" s="116"/>
      <c r="J113" s="115"/>
      <c r="K113" s="116"/>
      <c r="L113" s="115"/>
      <c r="M113" s="116"/>
      <c r="N113" s="115"/>
      <c r="O113" s="116"/>
      <c r="P113" s="115"/>
      <c r="Q113" s="116"/>
      <c r="R113" s="115"/>
      <c r="S113" s="116"/>
      <c r="T113" s="115"/>
      <c r="U113" s="116"/>
      <c r="V113" s="115"/>
      <c r="W113" s="116"/>
      <c r="X113" s="115"/>
      <c r="Y113" s="116"/>
      <c r="Z113" s="115"/>
      <c r="AA113" s="93">
        <f t="shared" ref="AA113:AH113" si="133">AA109*$A$85</f>
        <v>0</v>
      </c>
      <c r="AB113" s="93">
        <f t="shared" si="133"/>
        <v>0</v>
      </c>
      <c r="AC113" s="93">
        <f t="shared" si="133"/>
        <v>0</v>
      </c>
      <c r="AD113" s="93">
        <f t="shared" si="133"/>
        <v>0</v>
      </c>
      <c r="AE113" s="93">
        <f t="shared" si="133"/>
        <v>0</v>
      </c>
      <c r="AF113" s="93">
        <f t="shared" si="133"/>
        <v>0</v>
      </c>
      <c r="AG113" s="93">
        <f t="shared" si="133"/>
        <v>0</v>
      </c>
      <c r="AH113" s="93">
        <f t="shared" si="133"/>
        <v>0</v>
      </c>
      <c r="BC113" s="93"/>
    </row>
    <row r="114" spans="1:55" x14ac:dyDescent="0.3">
      <c r="A114" s="156">
        <v>0</v>
      </c>
      <c r="B114" s="138" t="s">
        <v>604</v>
      </c>
      <c r="C114" s="116">
        <f>C109*$A$156</f>
        <v>0</v>
      </c>
      <c r="D114" s="115"/>
      <c r="E114" s="116"/>
      <c r="F114" s="115"/>
      <c r="G114" s="116"/>
      <c r="H114" s="115"/>
      <c r="I114" s="116"/>
      <c r="J114" s="115"/>
      <c r="K114" s="116"/>
      <c r="L114" s="115"/>
      <c r="M114" s="116"/>
      <c r="N114" s="115"/>
      <c r="O114" s="116"/>
      <c r="P114" s="115"/>
      <c r="Q114" s="116"/>
      <c r="R114" s="115"/>
      <c r="S114" s="116"/>
      <c r="T114" s="115"/>
      <c r="U114" s="116"/>
      <c r="V114" s="115"/>
      <c r="W114" s="116"/>
      <c r="X114" s="115"/>
      <c r="Y114" s="116"/>
      <c r="Z114" s="115"/>
      <c r="AA114" s="93">
        <f t="shared" ref="AA114:AH114" si="134">AA109*$A$86</f>
        <v>0</v>
      </c>
      <c r="AB114" s="93">
        <f t="shared" si="134"/>
        <v>0</v>
      </c>
      <c r="AC114" s="93">
        <f t="shared" si="134"/>
        <v>0</v>
      </c>
      <c r="AD114" s="93">
        <f t="shared" si="134"/>
        <v>0</v>
      </c>
      <c r="AE114" s="93">
        <f t="shared" si="134"/>
        <v>0</v>
      </c>
      <c r="AF114" s="93">
        <f t="shared" si="134"/>
        <v>0</v>
      </c>
      <c r="AG114" s="93">
        <f t="shared" si="134"/>
        <v>0</v>
      </c>
      <c r="AH114" s="93">
        <f t="shared" si="134"/>
        <v>0</v>
      </c>
      <c r="BC114" s="93"/>
    </row>
    <row r="115" spans="1:55" x14ac:dyDescent="0.3">
      <c r="A115" s="156">
        <v>1.438E-2</v>
      </c>
      <c r="B115" s="138" t="s">
        <v>605</v>
      </c>
      <c r="C115" s="116">
        <f>C109*$A$157</f>
        <v>0</v>
      </c>
      <c r="D115" s="115"/>
      <c r="E115" s="116"/>
      <c r="F115" s="115"/>
      <c r="G115" s="116"/>
      <c r="H115" s="115"/>
      <c r="I115" s="116"/>
      <c r="J115" s="115"/>
      <c r="K115" s="116"/>
      <c r="L115" s="115"/>
      <c r="M115" s="116"/>
      <c r="N115" s="115"/>
      <c r="O115" s="116"/>
      <c r="P115" s="115"/>
      <c r="Q115" s="116"/>
      <c r="R115" s="115"/>
      <c r="S115" s="116"/>
      <c r="T115" s="115"/>
      <c r="U115" s="116"/>
      <c r="V115" s="115"/>
      <c r="W115" s="116"/>
      <c r="X115" s="115"/>
      <c r="Y115" s="116"/>
      <c r="Z115" s="115"/>
      <c r="AA115" s="93">
        <f t="shared" ref="AA115:AH115" si="135">AA109*$A$87</f>
        <v>0</v>
      </c>
      <c r="AB115" s="93">
        <f t="shared" si="135"/>
        <v>0</v>
      </c>
      <c r="AC115" s="93">
        <f t="shared" si="135"/>
        <v>0</v>
      </c>
      <c r="AD115" s="93">
        <f t="shared" si="135"/>
        <v>0</v>
      </c>
      <c r="AE115" s="93">
        <f t="shared" si="135"/>
        <v>0</v>
      </c>
      <c r="AF115" s="93">
        <f t="shared" si="135"/>
        <v>0</v>
      </c>
      <c r="AG115" s="93">
        <f t="shared" si="135"/>
        <v>0</v>
      </c>
      <c r="AH115" s="93">
        <f t="shared" si="135"/>
        <v>0</v>
      </c>
      <c r="BC115" s="93"/>
    </row>
    <row r="116" spans="1:55" x14ac:dyDescent="0.3">
      <c r="A116" s="156">
        <v>6.3000000000000003E-4</v>
      </c>
      <c r="B116" s="138" t="s">
        <v>606</v>
      </c>
      <c r="C116" s="116">
        <f>C109*$A$158</f>
        <v>0</v>
      </c>
      <c r="D116" s="115"/>
      <c r="E116" s="116"/>
      <c r="F116" s="115"/>
      <c r="G116" s="116"/>
      <c r="H116" s="115"/>
      <c r="I116" s="116"/>
      <c r="J116" s="115"/>
      <c r="K116" s="116"/>
      <c r="L116" s="115"/>
      <c r="M116" s="116"/>
      <c r="N116" s="115"/>
      <c r="O116" s="116"/>
      <c r="P116" s="115"/>
      <c r="Q116" s="116"/>
      <c r="R116" s="115"/>
      <c r="S116" s="116"/>
      <c r="T116" s="115"/>
      <c r="U116" s="116"/>
      <c r="V116" s="115"/>
      <c r="W116" s="116"/>
      <c r="X116" s="115"/>
      <c r="Y116" s="116"/>
      <c r="Z116" s="115"/>
      <c r="AA116" s="93">
        <f t="shared" ref="AA116:AH116" si="136">AA109*$A$88</f>
        <v>0</v>
      </c>
      <c r="AB116" s="93">
        <f t="shared" si="136"/>
        <v>0</v>
      </c>
      <c r="AC116" s="93">
        <f t="shared" si="136"/>
        <v>0</v>
      </c>
      <c r="AD116" s="93">
        <f t="shared" si="136"/>
        <v>0</v>
      </c>
      <c r="AE116" s="93">
        <f t="shared" si="136"/>
        <v>0</v>
      </c>
      <c r="AF116" s="93">
        <f t="shared" si="136"/>
        <v>0</v>
      </c>
      <c r="AG116" s="93">
        <f t="shared" si="136"/>
        <v>0</v>
      </c>
      <c r="AH116" s="93">
        <f t="shared" si="136"/>
        <v>0</v>
      </c>
      <c r="BC116" s="93"/>
    </row>
    <row r="117" spans="1:55" x14ac:dyDescent="0.3">
      <c r="A117" s="156">
        <v>2.0809999999999999E-2</v>
      </c>
      <c r="B117" s="138" t="s">
        <v>607</v>
      </c>
      <c r="C117" s="116">
        <f>C109*$A$159</f>
        <v>0</v>
      </c>
      <c r="D117" s="115"/>
      <c r="E117" s="116"/>
      <c r="F117" s="115"/>
      <c r="G117" s="116"/>
      <c r="H117" s="115"/>
      <c r="I117" s="116"/>
      <c r="J117" s="115"/>
      <c r="K117" s="116"/>
      <c r="L117" s="115"/>
      <c r="M117" s="116"/>
      <c r="N117" s="115"/>
      <c r="O117" s="116"/>
      <c r="P117" s="115"/>
      <c r="Q117" s="116"/>
      <c r="R117" s="115"/>
      <c r="S117" s="116"/>
      <c r="T117" s="115"/>
      <c r="U117" s="116"/>
      <c r="V117" s="115"/>
      <c r="W117" s="116"/>
      <c r="X117" s="115"/>
      <c r="Y117" s="116"/>
      <c r="Z117" s="115"/>
      <c r="AA117" s="93">
        <f t="shared" ref="AA117:AH117" si="137">AA109*$A$89</f>
        <v>0</v>
      </c>
      <c r="AB117" s="93">
        <f t="shared" si="137"/>
        <v>0</v>
      </c>
      <c r="AC117" s="93">
        <f t="shared" si="137"/>
        <v>0</v>
      </c>
      <c r="AD117" s="93">
        <f t="shared" si="137"/>
        <v>0</v>
      </c>
      <c r="AE117" s="93">
        <f t="shared" si="137"/>
        <v>0</v>
      </c>
      <c r="AF117" s="93">
        <f t="shared" si="137"/>
        <v>0</v>
      </c>
      <c r="AG117" s="93">
        <f t="shared" si="137"/>
        <v>0</v>
      </c>
      <c r="AH117" s="93">
        <f t="shared" si="137"/>
        <v>0</v>
      </c>
      <c r="BC117" s="93"/>
    </row>
    <row r="118" spans="1:55" x14ac:dyDescent="0.3">
      <c r="A118" s="108"/>
      <c r="B118" s="137" t="s">
        <v>608</v>
      </c>
      <c r="C118" s="136"/>
      <c r="D118" s="135"/>
      <c r="E118" s="136"/>
      <c r="F118" s="135"/>
      <c r="G118" s="136"/>
      <c r="H118" s="135"/>
      <c r="I118" s="136"/>
      <c r="J118" s="135"/>
      <c r="K118" s="136"/>
      <c r="L118" s="135"/>
      <c r="M118" s="136"/>
      <c r="N118" s="135"/>
      <c r="O118" s="136"/>
      <c r="P118" s="135"/>
      <c r="Q118" s="136"/>
      <c r="R118" s="135"/>
      <c r="S118" s="136"/>
      <c r="T118" s="135"/>
      <c r="U118" s="136"/>
      <c r="V118" s="135"/>
      <c r="W118" s="136"/>
      <c r="X118" s="135"/>
      <c r="Y118" s="136"/>
      <c r="Z118" s="135"/>
      <c r="AA118" s="132"/>
      <c r="AB118" s="132"/>
      <c r="AC118" s="132"/>
      <c r="AD118" s="132"/>
      <c r="AE118" s="132"/>
      <c r="AF118" s="132"/>
      <c r="AG118" s="132"/>
      <c r="AH118" s="132"/>
      <c r="BC118" s="132"/>
    </row>
    <row r="119" spans="1:55" x14ac:dyDescent="0.3">
      <c r="A119" s="125">
        <v>0</v>
      </c>
      <c r="B119" s="131" t="s">
        <v>609</v>
      </c>
      <c r="C119" s="130">
        <f>C109*$A$91</f>
        <v>0</v>
      </c>
      <c r="D119" s="129"/>
      <c r="E119" s="130">
        <f>E109*$A$91</f>
        <v>0</v>
      </c>
      <c r="F119" s="129"/>
      <c r="G119" s="130">
        <f>G109*$A$91</f>
        <v>0</v>
      </c>
      <c r="H119" s="129"/>
      <c r="I119" s="130">
        <f>I109*$A$91</f>
        <v>0</v>
      </c>
      <c r="J119" s="129"/>
      <c r="K119" s="130">
        <f>K109*$A$91</f>
        <v>0</v>
      </c>
      <c r="L119" s="129"/>
      <c r="M119" s="130">
        <f>M109*$A$91</f>
        <v>0</v>
      </c>
      <c r="N119" s="129"/>
      <c r="O119" s="130">
        <f>O109*$A$91</f>
        <v>0</v>
      </c>
      <c r="P119" s="129"/>
      <c r="Q119" s="130">
        <f>Q109*$A$91</f>
        <v>0</v>
      </c>
      <c r="R119" s="129"/>
      <c r="S119" s="130">
        <f>S109*$A$91</f>
        <v>0</v>
      </c>
      <c r="T119" s="129"/>
      <c r="U119" s="130">
        <f>U109*$A$91</f>
        <v>0</v>
      </c>
      <c r="V119" s="129"/>
      <c r="W119" s="130">
        <f>W109*$A$91</f>
        <v>0</v>
      </c>
      <c r="X119" s="129"/>
      <c r="Y119" s="130">
        <f>Y109*$A$91</f>
        <v>0</v>
      </c>
      <c r="Z119" s="129"/>
      <c r="AA119" s="126">
        <f t="shared" ref="AA119:AH119" si="138">AA109*$A$91</f>
        <v>0</v>
      </c>
      <c r="AB119" s="126">
        <f t="shared" si="138"/>
        <v>0</v>
      </c>
      <c r="AC119" s="126">
        <f t="shared" si="138"/>
        <v>0</v>
      </c>
      <c r="AD119" s="126">
        <f t="shared" si="138"/>
        <v>0</v>
      </c>
      <c r="AE119" s="126">
        <f t="shared" si="138"/>
        <v>0</v>
      </c>
      <c r="AF119" s="126">
        <f t="shared" si="138"/>
        <v>0</v>
      </c>
      <c r="AG119" s="126">
        <f t="shared" si="138"/>
        <v>0</v>
      </c>
      <c r="AH119" s="126">
        <f t="shared" si="138"/>
        <v>0</v>
      </c>
      <c r="BC119" s="126"/>
    </row>
    <row r="120" spans="1:55" x14ac:dyDescent="0.3">
      <c r="A120" s="125">
        <v>0.03</v>
      </c>
      <c r="B120" s="124" t="s">
        <v>610</v>
      </c>
      <c r="C120" s="112">
        <f>((C111+C112+C117)*3%)+(C113*1.75%)+((C115+C116+C114)*2%)</f>
        <v>0</v>
      </c>
      <c r="D120" s="111">
        <f>D109*$A$120</f>
        <v>14300.1126</v>
      </c>
      <c r="E120" s="112">
        <f>((E111+E112+E117)*3%)+(E113*1.75%)+((E115+E116+E114)*2%)</f>
        <v>0</v>
      </c>
      <c r="F120" s="111">
        <f>F109*$A$120</f>
        <v>0</v>
      </c>
      <c r="G120" s="112">
        <f>((G111+G112+G117)*3%)+(G113*1.75%)+((G115+G116+G114)*2%)</f>
        <v>0</v>
      </c>
      <c r="H120" s="111">
        <f>H109*$A$120</f>
        <v>0</v>
      </c>
      <c r="I120" s="112">
        <f>((I111+I112+I117)*3%)+(I113*1.75%)+((I115+I116+I114)*2%)</f>
        <v>0</v>
      </c>
      <c r="J120" s="111">
        <f>J109*$A$120</f>
        <v>0</v>
      </c>
      <c r="K120" s="112">
        <f>((K111+K112+K117)*3%)+(K113*1.75%)+((K115+K116+K114)*2%)</f>
        <v>0</v>
      </c>
      <c r="L120" s="111">
        <f>L109*$A$120</f>
        <v>0</v>
      </c>
      <c r="M120" s="112">
        <f>((M111+M112+M117)*3%)+(M113*1.75%)+((M115+M116+M114)*2%)</f>
        <v>0</v>
      </c>
      <c r="N120" s="111">
        <f>N109*$A$120</f>
        <v>0</v>
      </c>
      <c r="O120" s="112">
        <f>((O111+O112+O117)*3%)+(O113*1.75%)+((O115+O116+O114)*2%)</f>
        <v>0</v>
      </c>
      <c r="P120" s="111">
        <f>P109*$A$120</f>
        <v>0</v>
      </c>
      <c r="Q120" s="112">
        <f>((Q111+Q112+Q117)*3%)+(Q113*1.75%)+((Q115+Q116+Q114)*2%)</f>
        <v>0</v>
      </c>
      <c r="R120" s="111">
        <f>R109*$A$120</f>
        <v>0</v>
      </c>
      <c r="S120" s="112">
        <f>((S111+S112+S117)*3%)+(S113*1.75%)+((S115+S116+S114)*2%)</f>
        <v>0</v>
      </c>
      <c r="T120" s="111">
        <f>(T111*3.2%)+(T113+T115+T116)*1.8%</f>
        <v>0</v>
      </c>
      <c r="U120" s="112">
        <f>((U111+U112+U117)*3%)+(U113*1.75%)+((U115+U116+U114)*2%)</f>
        <v>0</v>
      </c>
      <c r="V120" s="111">
        <f>(V111*3.2%)+(V113+V115+V116)*1.8%</f>
        <v>0</v>
      </c>
      <c r="W120" s="112">
        <f>((W111+W112+W117)*3%)+(W113*1.75%)+((W115+W116+W114)*2%)</f>
        <v>0</v>
      </c>
      <c r="X120" s="111">
        <f>(X111*3.2%)+(X113+X115+X116)*1.8%</f>
        <v>0</v>
      </c>
      <c r="Y120" s="112">
        <f>((Y111+Y112+Y117)*3%)+(Y113*1.75%)+((Y115+Y116+Y114)*2%)</f>
        <v>0</v>
      </c>
      <c r="Z120" s="111">
        <f>(Z111*3.2%)+(Z113+Z115+Z116)*1.8%</f>
        <v>0</v>
      </c>
      <c r="AA120" s="109">
        <f t="shared" ref="AA120:AH120" si="139">AA109*$A$92</f>
        <v>0</v>
      </c>
      <c r="AB120" s="109">
        <f t="shared" si="139"/>
        <v>0</v>
      </c>
      <c r="AC120" s="109">
        <f t="shared" si="139"/>
        <v>0</v>
      </c>
      <c r="AD120" s="109">
        <f t="shared" si="139"/>
        <v>0</v>
      </c>
      <c r="AE120" s="109">
        <f t="shared" si="139"/>
        <v>0</v>
      </c>
      <c r="AF120" s="109">
        <f t="shared" si="139"/>
        <v>0</v>
      </c>
      <c r="AG120" s="109">
        <f t="shared" si="139"/>
        <v>0</v>
      </c>
      <c r="AH120" s="109">
        <f t="shared" si="139"/>
        <v>0</v>
      </c>
      <c r="BC120" s="109"/>
    </row>
    <row r="121" spans="1:55" x14ac:dyDescent="0.3">
      <c r="A121" s="108"/>
      <c r="B121" s="380" t="s">
        <v>611</v>
      </c>
      <c r="C121" s="123">
        <f t="shared" ref="C121:AH121" si="140">SUM(C119:C120)</f>
        <v>0</v>
      </c>
      <c r="D121" s="388">
        <f t="shared" si="140"/>
        <v>14300.1126</v>
      </c>
      <c r="E121" s="123">
        <f t="shared" si="140"/>
        <v>0</v>
      </c>
      <c r="F121" s="388">
        <f t="shared" si="140"/>
        <v>0</v>
      </c>
      <c r="G121" s="123">
        <f t="shared" si="140"/>
        <v>0</v>
      </c>
      <c r="H121" s="388">
        <f t="shared" si="140"/>
        <v>0</v>
      </c>
      <c r="I121" s="123">
        <f t="shared" si="140"/>
        <v>0</v>
      </c>
      <c r="J121" s="388">
        <f t="shared" si="140"/>
        <v>0</v>
      </c>
      <c r="K121" s="123">
        <f t="shared" si="140"/>
        <v>0</v>
      </c>
      <c r="L121" s="388">
        <f t="shared" si="140"/>
        <v>0</v>
      </c>
      <c r="M121" s="123">
        <f t="shared" si="140"/>
        <v>0</v>
      </c>
      <c r="N121" s="388">
        <f t="shared" si="140"/>
        <v>0</v>
      </c>
      <c r="O121" s="123">
        <f t="shared" si="140"/>
        <v>0</v>
      </c>
      <c r="P121" s="388">
        <f t="shared" si="140"/>
        <v>0</v>
      </c>
      <c r="Q121" s="123">
        <f t="shared" si="140"/>
        <v>0</v>
      </c>
      <c r="R121" s="388">
        <f t="shared" si="140"/>
        <v>0</v>
      </c>
      <c r="S121" s="123">
        <f t="shared" si="140"/>
        <v>0</v>
      </c>
      <c r="T121" s="388">
        <f t="shared" si="140"/>
        <v>0</v>
      </c>
      <c r="U121" s="123">
        <f t="shared" si="140"/>
        <v>0</v>
      </c>
      <c r="V121" s="388">
        <f t="shared" si="140"/>
        <v>0</v>
      </c>
      <c r="W121" s="123">
        <f t="shared" si="140"/>
        <v>0</v>
      </c>
      <c r="X121" s="388">
        <f t="shared" si="140"/>
        <v>0</v>
      </c>
      <c r="Y121" s="123">
        <f t="shared" si="140"/>
        <v>0</v>
      </c>
      <c r="Z121" s="388">
        <f t="shared" si="140"/>
        <v>0</v>
      </c>
      <c r="AA121" s="389">
        <f t="shared" si="140"/>
        <v>0</v>
      </c>
      <c r="AB121" s="389">
        <f t="shared" si="140"/>
        <v>0</v>
      </c>
      <c r="AC121" s="389">
        <f t="shared" si="140"/>
        <v>0</v>
      </c>
      <c r="AD121" s="389">
        <f t="shared" si="140"/>
        <v>0</v>
      </c>
      <c r="AE121" s="389">
        <f t="shared" si="140"/>
        <v>0</v>
      </c>
      <c r="AF121" s="389">
        <f t="shared" si="140"/>
        <v>0</v>
      </c>
      <c r="AG121" s="389">
        <f t="shared" si="140"/>
        <v>0</v>
      </c>
      <c r="AH121" s="389">
        <f t="shared" si="140"/>
        <v>0</v>
      </c>
      <c r="BC121" s="389"/>
    </row>
    <row r="122" spans="1:55" ht="15.6" x14ac:dyDescent="0.3">
      <c r="B122" s="157" t="s">
        <v>56</v>
      </c>
      <c r="C122" s="83"/>
      <c r="D122" s="82"/>
      <c r="E122" s="83"/>
      <c r="F122" s="82"/>
      <c r="G122" s="83"/>
      <c r="H122" s="82"/>
      <c r="I122" s="83"/>
      <c r="J122" s="82"/>
      <c r="K122" s="83"/>
      <c r="L122" s="82"/>
      <c r="M122" s="83"/>
      <c r="N122" s="82"/>
      <c r="O122" s="83"/>
      <c r="P122" s="82"/>
      <c r="Q122" s="83"/>
      <c r="R122" s="82"/>
      <c r="S122" s="83"/>
      <c r="T122" s="82"/>
      <c r="U122" s="83"/>
      <c r="V122" s="82"/>
      <c r="W122" s="83"/>
      <c r="X122" s="82"/>
      <c r="Y122" s="83"/>
      <c r="Z122" s="82"/>
    </row>
    <row r="123" spans="1:55" x14ac:dyDescent="0.3">
      <c r="A123" s="108"/>
      <c r="B123" s="380" t="s">
        <v>599</v>
      </c>
      <c r="C123" s="143">
        <v>0</v>
      </c>
      <c r="D123" s="385">
        <f>SUM(D124:D131)</f>
        <v>508590.19</v>
      </c>
      <c r="E123" s="143">
        <v>0</v>
      </c>
      <c r="F123" s="385">
        <f>SUM(F124:F131)</f>
        <v>0</v>
      </c>
      <c r="G123" s="143">
        <v>0</v>
      </c>
      <c r="H123" s="385">
        <f>SUM(H124:H131)</f>
        <v>0</v>
      </c>
      <c r="I123" s="143"/>
      <c r="J123" s="385">
        <f>SUM(J124:J131)</f>
        <v>0</v>
      </c>
      <c r="K123" s="143"/>
      <c r="L123" s="385">
        <f>SUM(L124:L131)</f>
        <v>0</v>
      </c>
      <c r="M123" s="143"/>
      <c r="N123" s="385">
        <f>SUM(N124:N131)</f>
        <v>0</v>
      </c>
      <c r="O123" s="143"/>
      <c r="P123" s="385">
        <f>SUM(P124:P131)</f>
        <v>0</v>
      </c>
      <c r="Q123" s="143"/>
      <c r="R123" s="385">
        <f>SUM(R124:R131)</f>
        <v>0</v>
      </c>
      <c r="S123" s="143"/>
      <c r="T123" s="385">
        <f>SUM(T124:T131)</f>
        <v>0</v>
      </c>
      <c r="U123" s="143"/>
      <c r="V123" s="385">
        <f>SUM(V124:V131)</f>
        <v>0</v>
      </c>
      <c r="W123" s="143"/>
      <c r="X123" s="385">
        <f>SUM(X124:X131)</f>
        <v>0</v>
      </c>
      <c r="Y123" s="143"/>
      <c r="Z123" s="385">
        <f>SUM(Z124:Z131)</f>
        <v>0</v>
      </c>
      <c r="AA123" s="387" t="e">
        <v>#REF!</v>
      </c>
      <c r="AB123" s="387" t="e">
        <v>#REF!</v>
      </c>
      <c r="AC123" s="387" t="e">
        <v>#REF!</v>
      </c>
      <c r="AD123" s="387" t="e">
        <v>#REF!</v>
      </c>
      <c r="AE123" s="387" t="e">
        <v>#REF!</v>
      </c>
      <c r="AF123" s="387" t="e">
        <v>#REF!</v>
      </c>
      <c r="AG123" s="387" t="e">
        <v>#REF!</v>
      </c>
      <c r="AH123" s="387" t="e">
        <v>#REF!</v>
      </c>
      <c r="BC123" s="387"/>
    </row>
    <row r="124" spans="1:55" x14ac:dyDescent="0.3">
      <c r="A124" s="108"/>
      <c r="B124" s="142" t="s">
        <v>600</v>
      </c>
      <c r="C124" s="141"/>
      <c r="D124" s="140"/>
      <c r="E124" s="141"/>
      <c r="F124" s="140"/>
      <c r="G124" s="141"/>
      <c r="H124" s="140"/>
      <c r="I124" s="141"/>
      <c r="J124" s="140"/>
      <c r="K124" s="141"/>
      <c r="L124" s="140"/>
      <c r="M124" s="141"/>
      <c r="N124" s="140"/>
      <c r="O124" s="141"/>
      <c r="P124" s="140"/>
      <c r="Q124" s="141"/>
      <c r="R124" s="140"/>
      <c r="S124" s="141"/>
      <c r="T124" s="140"/>
      <c r="U124" s="141"/>
      <c r="V124" s="140"/>
      <c r="W124" s="141"/>
      <c r="X124" s="140"/>
      <c r="Y124" s="141"/>
      <c r="Z124" s="140"/>
      <c r="AA124" s="108"/>
      <c r="AB124" s="108"/>
      <c r="AC124" s="108"/>
      <c r="AD124" s="108"/>
      <c r="AE124" s="108"/>
      <c r="AF124" s="108"/>
      <c r="AG124" s="108"/>
      <c r="AH124" s="108"/>
      <c r="BC124" s="108"/>
    </row>
    <row r="125" spans="1:55" x14ac:dyDescent="0.3">
      <c r="A125" s="156">
        <v>0.25345000000000001</v>
      </c>
      <c r="B125" s="138" t="s">
        <v>601</v>
      </c>
      <c r="C125" s="116">
        <f>C123*$A$153</f>
        <v>0</v>
      </c>
      <c r="D125" s="115"/>
      <c r="E125" s="116">
        <f>E123*$A$153</f>
        <v>0</v>
      </c>
      <c r="F125" s="115"/>
      <c r="G125" s="116">
        <f>G123*$A$153</f>
        <v>0</v>
      </c>
      <c r="H125" s="115"/>
      <c r="I125" s="116">
        <f>I123*$A$153</f>
        <v>0</v>
      </c>
      <c r="J125" s="115"/>
      <c r="K125" s="116">
        <f>K123*$A$153</f>
        <v>0</v>
      </c>
      <c r="L125" s="115"/>
      <c r="M125" s="116">
        <f>M123*$A$153</f>
        <v>0</v>
      </c>
      <c r="N125" s="115"/>
      <c r="O125" s="116">
        <f>O123*$A$153</f>
        <v>0</v>
      </c>
      <c r="P125" s="115"/>
      <c r="Q125" s="116">
        <f>Q123*$A$153</f>
        <v>0</v>
      </c>
      <c r="R125" s="115"/>
      <c r="S125" s="116">
        <f>S123*$A$153</f>
        <v>0</v>
      </c>
      <c r="T125" s="115"/>
      <c r="U125" s="116">
        <f>U123*$A$153</f>
        <v>0</v>
      </c>
      <c r="V125" s="115"/>
      <c r="W125" s="116">
        <f>W123*$A$153</f>
        <v>0</v>
      </c>
      <c r="X125" s="115"/>
      <c r="Y125" s="116">
        <f>Y123*$A$153</f>
        <v>0</v>
      </c>
      <c r="Z125" s="115"/>
      <c r="AA125" s="93" t="e">
        <f t="shared" ref="AA125:AH125" si="141">AA123*$A$83</f>
        <v>#REF!</v>
      </c>
      <c r="AB125" s="93" t="e">
        <f t="shared" si="141"/>
        <v>#REF!</v>
      </c>
      <c r="AC125" s="93" t="e">
        <f t="shared" si="141"/>
        <v>#REF!</v>
      </c>
      <c r="AD125" s="93" t="e">
        <f t="shared" si="141"/>
        <v>#REF!</v>
      </c>
      <c r="AE125" s="93" t="e">
        <f t="shared" si="141"/>
        <v>#REF!</v>
      </c>
      <c r="AF125" s="93" t="e">
        <f t="shared" si="141"/>
        <v>#REF!</v>
      </c>
      <c r="AG125" s="93" t="e">
        <f t="shared" si="141"/>
        <v>#REF!</v>
      </c>
      <c r="AH125" s="93" t="e">
        <f t="shared" si="141"/>
        <v>#REF!</v>
      </c>
      <c r="BC125" s="93"/>
    </row>
    <row r="126" spans="1:55" x14ac:dyDescent="0.3">
      <c r="A126" s="156">
        <v>0</v>
      </c>
      <c r="B126" s="138" t="s">
        <v>602</v>
      </c>
      <c r="C126" s="116">
        <f>C123*$A$154</f>
        <v>0</v>
      </c>
      <c r="D126" s="115"/>
      <c r="E126" s="116">
        <f>E123*$A$154</f>
        <v>0</v>
      </c>
      <c r="F126" s="115"/>
      <c r="G126" s="116">
        <f>G123*$A$154</f>
        <v>0</v>
      </c>
      <c r="H126" s="115"/>
      <c r="I126" s="116">
        <f>I123*$A$154</f>
        <v>0</v>
      </c>
      <c r="J126" s="115"/>
      <c r="K126" s="116">
        <f>K123*$A$154</f>
        <v>0</v>
      </c>
      <c r="L126" s="115"/>
      <c r="M126" s="116">
        <f>M123*$A$154</f>
        <v>0</v>
      </c>
      <c r="N126" s="115"/>
      <c r="O126" s="116">
        <f>O123*$A$154</f>
        <v>0</v>
      </c>
      <c r="P126" s="115"/>
      <c r="Q126" s="116">
        <f>Q123*$A$154</f>
        <v>0</v>
      </c>
      <c r="R126" s="115"/>
      <c r="S126" s="116">
        <f>S123*$A$154</f>
        <v>0</v>
      </c>
      <c r="T126" s="115"/>
      <c r="U126" s="116">
        <f>U123*$A$154</f>
        <v>0</v>
      </c>
      <c r="V126" s="115"/>
      <c r="W126" s="116">
        <f>W123*$A$154</f>
        <v>0</v>
      </c>
      <c r="X126" s="115"/>
      <c r="Y126" s="116">
        <f>Y123*$A$154</f>
        <v>0</v>
      </c>
      <c r="Z126" s="115"/>
      <c r="AA126" s="93" t="e">
        <f t="shared" ref="AA126:AH126" si="142">AA123*$A$84</f>
        <v>#REF!</v>
      </c>
      <c r="AB126" s="93" t="e">
        <f t="shared" si="142"/>
        <v>#REF!</v>
      </c>
      <c r="AC126" s="93" t="e">
        <f t="shared" si="142"/>
        <v>#REF!</v>
      </c>
      <c r="AD126" s="93" t="e">
        <f t="shared" si="142"/>
        <v>#REF!</v>
      </c>
      <c r="AE126" s="93" t="e">
        <f t="shared" si="142"/>
        <v>#REF!</v>
      </c>
      <c r="AF126" s="93" t="e">
        <f t="shared" si="142"/>
        <v>#REF!</v>
      </c>
      <c r="AG126" s="93" t="e">
        <f t="shared" si="142"/>
        <v>#REF!</v>
      </c>
      <c r="AH126" s="93" t="e">
        <f t="shared" si="142"/>
        <v>#REF!</v>
      </c>
      <c r="BC126" s="93"/>
    </row>
    <row r="127" spans="1:55" x14ac:dyDescent="0.3">
      <c r="A127" s="156">
        <f>71.058%+0.015%</f>
        <v>0.71073000000000008</v>
      </c>
      <c r="B127" s="138" t="s">
        <v>603</v>
      </c>
      <c r="C127" s="116">
        <f>C123*$A$155</f>
        <v>0</v>
      </c>
      <c r="D127" s="115">
        <v>508590.19</v>
      </c>
      <c r="E127" s="116"/>
      <c r="F127" s="115"/>
      <c r="G127" s="116"/>
      <c r="H127" s="115"/>
      <c r="I127" s="116"/>
      <c r="J127" s="115"/>
      <c r="K127" s="116"/>
      <c r="L127" s="115"/>
      <c r="M127" s="116"/>
      <c r="N127" s="115"/>
      <c r="O127" s="116"/>
      <c r="P127" s="115"/>
      <c r="Q127" s="116"/>
      <c r="R127" s="115"/>
      <c r="S127" s="116"/>
      <c r="T127" s="115"/>
      <c r="U127" s="116"/>
      <c r="V127" s="115"/>
      <c r="W127" s="116"/>
      <c r="X127" s="115"/>
      <c r="Y127" s="116"/>
      <c r="Z127" s="115"/>
      <c r="AA127" s="93" t="e">
        <f t="shared" ref="AA127:AH127" si="143">AA123*$A$85</f>
        <v>#REF!</v>
      </c>
      <c r="AB127" s="93" t="e">
        <f t="shared" si="143"/>
        <v>#REF!</v>
      </c>
      <c r="AC127" s="93" t="e">
        <f t="shared" si="143"/>
        <v>#REF!</v>
      </c>
      <c r="AD127" s="93" t="e">
        <f t="shared" si="143"/>
        <v>#REF!</v>
      </c>
      <c r="AE127" s="93" t="e">
        <f t="shared" si="143"/>
        <v>#REF!</v>
      </c>
      <c r="AF127" s="93" t="e">
        <f t="shared" si="143"/>
        <v>#REF!</v>
      </c>
      <c r="AG127" s="93" t="e">
        <f t="shared" si="143"/>
        <v>#REF!</v>
      </c>
      <c r="AH127" s="93" t="e">
        <f t="shared" si="143"/>
        <v>#REF!</v>
      </c>
      <c r="BC127" s="93"/>
    </row>
    <row r="128" spans="1:55" x14ac:dyDescent="0.3">
      <c r="A128" s="156">
        <v>0</v>
      </c>
      <c r="B128" s="138" t="s">
        <v>604</v>
      </c>
      <c r="C128" s="116">
        <f>C123*$A$156</f>
        <v>0</v>
      </c>
      <c r="D128" s="115"/>
      <c r="E128" s="116"/>
      <c r="F128" s="115"/>
      <c r="G128" s="116"/>
      <c r="H128" s="115"/>
      <c r="I128" s="116"/>
      <c r="J128" s="115"/>
      <c r="K128" s="116"/>
      <c r="L128" s="115"/>
      <c r="M128" s="116"/>
      <c r="N128" s="115"/>
      <c r="O128" s="116"/>
      <c r="P128" s="115"/>
      <c r="Q128" s="116"/>
      <c r="R128" s="115"/>
      <c r="S128" s="116"/>
      <c r="T128" s="115"/>
      <c r="U128" s="116"/>
      <c r="V128" s="115"/>
      <c r="W128" s="116"/>
      <c r="X128" s="115"/>
      <c r="Y128" s="116"/>
      <c r="Z128" s="115"/>
      <c r="AA128" s="93" t="e">
        <f t="shared" ref="AA128:AH128" si="144">AA123*$A$86</f>
        <v>#REF!</v>
      </c>
      <c r="AB128" s="93" t="e">
        <f t="shared" si="144"/>
        <v>#REF!</v>
      </c>
      <c r="AC128" s="93" t="e">
        <f t="shared" si="144"/>
        <v>#REF!</v>
      </c>
      <c r="AD128" s="93" t="e">
        <f t="shared" si="144"/>
        <v>#REF!</v>
      </c>
      <c r="AE128" s="93" t="e">
        <f t="shared" si="144"/>
        <v>#REF!</v>
      </c>
      <c r="AF128" s="93" t="e">
        <f t="shared" si="144"/>
        <v>#REF!</v>
      </c>
      <c r="AG128" s="93" t="e">
        <f t="shared" si="144"/>
        <v>#REF!</v>
      </c>
      <c r="AH128" s="93" t="e">
        <f t="shared" si="144"/>
        <v>#REF!</v>
      </c>
      <c r="BC128" s="93"/>
    </row>
    <row r="129" spans="1:55" x14ac:dyDescent="0.3">
      <c r="A129" s="156">
        <v>1.438E-2</v>
      </c>
      <c r="B129" s="138" t="s">
        <v>605</v>
      </c>
      <c r="C129" s="116">
        <f>C123*$A$157</f>
        <v>0</v>
      </c>
      <c r="D129" s="115"/>
      <c r="E129" s="116"/>
      <c r="F129" s="115"/>
      <c r="G129" s="116"/>
      <c r="H129" s="115"/>
      <c r="I129" s="116"/>
      <c r="J129" s="115"/>
      <c r="K129" s="116"/>
      <c r="L129" s="115"/>
      <c r="M129" s="116"/>
      <c r="N129" s="115"/>
      <c r="O129" s="116"/>
      <c r="P129" s="115"/>
      <c r="Q129" s="116"/>
      <c r="R129" s="115"/>
      <c r="S129" s="116"/>
      <c r="T129" s="115"/>
      <c r="U129" s="116"/>
      <c r="V129" s="115"/>
      <c r="W129" s="116"/>
      <c r="X129" s="115"/>
      <c r="Y129" s="116"/>
      <c r="Z129" s="115"/>
      <c r="AA129" s="93" t="e">
        <f t="shared" ref="AA129:AH129" si="145">AA123*$A$87</f>
        <v>#REF!</v>
      </c>
      <c r="AB129" s="93" t="e">
        <f t="shared" si="145"/>
        <v>#REF!</v>
      </c>
      <c r="AC129" s="93" t="e">
        <f t="shared" si="145"/>
        <v>#REF!</v>
      </c>
      <c r="AD129" s="93" t="e">
        <f t="shared" si="145"/>
        <v>#REF!</v>
      </c>
      <c r="AE129" s="93" t="e">
        <f t="shared" si="145"/>
        <v>#REF!</v>
      </c>
      <c r="AF129" s="93" t="e">
        <f t="shared" si="145"/>
        <v>#REF!</v>
      </c>
      <c r="AG129" s="93" t="e">
        <f t="shared" si="145"/>
        <v>#REF!</v>
      </c>
      <c r="AH129" s="93" t="e">
        <f t="shared" si="145"/>
        <v>#REF!</v>
      </c>
      <c r="BC129" s="93"/>
    </row>
    <row r="130" spans="1:55" x14ac:dyDescent="0.3">
      <c r="A130" s="156">
        <v>6.3000000000000003E-4</v>
      </c>
      <c r="B130" s="138" t="s">
        <v>606</v>
      </c>
      <c r="C130" s="116">
        <f>C123*$A$158</f>
        <v>0</v>
      </c>
      <c r="D130" s="115"/>
      <c r="E130" s="116"/>
      <c r="F130" s="115"/>
      <c r="G130" s="116"/>
      <c r="H130" s="115"/>
      <c r="I130" s="116"/>
      <c r="J130" s="115"/>
      <c r="K130" s="116"/>
      <c r="L130" s="115"/>
      <c r="M130" s="116"/>
      <c r="N130" s="115"/>
      <c r="O130" s="116"/>
      <c r="P130" s="115"/>
      <c r="Q130" s="116"/>
      <c r="R130" s="115"/>
      <c r="S130" s="116"/>
      <c r="T130" s="115"/>
      <c r="U130" s="116"/>
      <c r="V130" s="115"/>
      <c r="W130" s="116"/>
      <c r="X130" s="115"/>
      <c r="Y130" s="116"/>
      <c r="Z130" s="115"/>
      <c r="AA130" s="93" t="e">
        <f t="shared" ref="AA130:AH130" si="146">AA123*$A$88</f>
        <v>#REF!</v>
      </c>
      <c r="AB130" s="93" t="e">
        <f t="shared" si="146"/>
        <v>#REF!</v>
      </c>
      <c r="AC130" s="93" t="e">
        <f t="shared" si="146"/>
        <v>#REF!</v>
      </c>
      <c r="AD130" s="93" t="e">
        <f t="shared" si="146"/>
        <v>#REF!</v>
      </c>
      <c r="AE130" s="93" t="e">
        <f t="shared" si="146"/>
        <v>#REF!</v>
      </c>
      <c r="AF130" s="93" t="e">
        <f t="shared" si="146"/>
        <v>#REF!</v>
      </c>
      <c r="AG130" s="93" t="e">
        <f t="shared" si="146"/>
        <v>#REF!</v>
      </c>
      <c r="AH130" s="93" t="e">
        <f t="shared" si="146"/>
        <v>#REF!</v>
      </c>
      <c r="BC130" s="93"/>
    </row>
    <row r="131" spans="1:55" x14ac:dyDescent="0.3">
      <c r="A131" s="156">
        <v>2.0809999999999999E-2</v>
      </c>
      <c r="B131" s="138" t="s">
        <v>607</v>
      </c>
      <c r="C131" s="116">
        <f>C123*$A$159</f>
        <v>0</v>
      </c>
      <c r="D131" s="115"/>
      <c r="E131" s="116"/>
      <c r="F131" s="115"/>
      <c r="G131" s="116"/>
      <c r="H131" s="115"/>
      <c r="I131" s="116"/>
      <c r="J131" s="115"/>
      <c r="K131" s="116"/>
      <c r="L131" s="115"/>
      <c r="M131" s="116"/>
      <c r="N131" s="115"/>
      <c r="O131" s="116"/>
      <c r="P131" s="115"/>
      <c r="Q131" s="116"/>
      <c r="R131" s="115"/>
      <c r="S131" s="116"/>
      <c r="T131" s="115"/>
      <c r="U131" s="116"/>
      <c r="V131" s="115"/>
      <c r="W131" s="116"/>
      <c r="X131" s="115"/>
      <c r="Y131" s="116"/>
      <c r="Z131" s="115"/>
      <c r="AA131" s="93" t="e">
        <f t="shared" ref="AA131:AH131" si="147">AA123*$A$89</f>
        <v>#REF!</v>
      </c>
      <c r="AB131" s="93" t="e">
        <f t="shared" si="147"/>
        <v>#REF!</v>
      </c>
      <c r="AC131" s="93" t="e">
        <f t="shared" si="147"/>
        <v>#REF!</v>
      </c>
      <c r="AD131" s="93" t="e">
        <f t="shared" si="147"/>
        <v>#REF!</v>
      </c>
      <c r="AE131" s="93" t="e">
        <f t="shared" si="147"/>
        <v>#REF!</v>
      </c>
      <c r="AF131" s="93" t="e">
        <f t="shared" si="147"/>
        <v>#REF!</v>
      </c>
      <c r="AG131" s="93" t="e">
        <f t="shared" si="147"/>
        <v>#REF!</v>
      </c>
      <c r="AH131" s="93" t="e">
        <f t="shared" si="147"/>
        <v>#REF!</v>
      </c>
      <c r="BC131" s="93"/>
    </row>
    <row r="132" spans="1:55" x14ac:dyDescent="0.3">
      <c r="A132" s="108"/>
      <c r="B132" s="137" t="s">
        <v>608</v>
      </c>
      <c r="C132" s="136"/>
      <c r="D132" s="135"/>
      <c r="E132" s="136"/>
      <c r="F132" s="135"/>
      <c r="G132" s="136"/>
      <c r="H132" s="135"/>
      <c r="I132" s="136"/>
      <c r="J132" s="135"/>
      <c r="K132" s="136"/>
      <c r="L132" s="135"/>
      <c r="M132" s="136"/>
      <c r="N132" s="135"/>
      <c r="O132" s="136"/>
      <c r="P132" s="135"/>
      <c r="Q132" s="136"/>
      <c r="R132" s="135"/>
      <c r="S132" s="136"/>
      <c r="T132" s="135"/>
      <c r="U132" s="136"/>
      <c r="V132" s="135"/>
      <c r="W132" s="136"/>
      <c r="X132" s="135"/>
      <c r="Y132" s="136"/>
      <c r="Z132" s="135"/>
      <c r="AA132" s="132"/>
      <c r="AB132" s="132"/>
      <c r="AC132" s="132"/>
      <c r="AD132" s="132"/>
      <c r="AE132" s="132"/>
      <c r="AF132" s="132"/>
      <c r="AG132" s="132"/>
      <c r="AH132" s="132"/>
      <c r="BC132" s="132"/>
    </row>
    <row r="133" spans="1:55" x14ac:dyDescent="0.3">
      <c r="A133" s="125">
        <v>0</v>
      </c>
      <c r="B133" s="131" t="s">
        <v>609</v>
      </c>
      <c r="C133" s="130">
        <f>C123*$A$91</f>
        <v>0</v>
      </c>
      <c r="D133" s="129"/>
      <c r="E133" s="130">
        <f>E123*$A$91</f>
        <v>0</v>
      </c>
      <c r="F133" s="129"/>
      <c r="G133" s="130">
        <f>G123*$A$91</f>
        <v>0</v>
      </c>
      <c r="H133" s="129"/>
      <c r="I133" s="130">
        <f>I123*$A$91</f>
        <v>0</v>
      </c>
      <c r="J133" s="129"/>
      <c r="K133" s="130">
        <f>K123*$A$91</f>
        <v>0</v>
      </c>
      <c r="L133" s="129"/>
      <c r="M133" s="130">
        <f>M123*$A$91</f>
        <v>0</v>
      </c>
      <c r="N133" s="129"/>
      <c r="O133" s="130">
        <f>O123*$A$91</f>
        <v>0</v>
      </c>
      <c r="P133" s="129"/>
      <c r="Q133" s="130">
        <f>Q123*$A$91</f>
        <v>0</v>
      </c>
      <c r="R133" s="129"/>
      <c r="S133" s="130">
        <f>S123*$A$91</f>
        <v>0</v>
      </c>
      <c r="T133" s="129"/>
      <c r="U133" s="130">
        <f>U123*$A$91</f>
        <v>0</v>
      </c>
      <c r="V133" s="129"/>
      <c r="W133" s="130">
        <f>W123*$A$91</f>
        <v>0</v>
      </c>
      <c r="X133" s="129"/>
      <c r="Y133" s="130">
        <f>Y123*$A$91</f>
        <v>0</v>
      </c>
      <c r="Z133" s="129"/>
      <c r="AA133" s="126" t="e">
        <f t="shared" ref="AA133:AH133" si="148">AA123*$A$91</f>
        <v>#REF!</v>
      </c>
      <c r="AB133" s="126" t="e">
        <f t="shared" si="148"/>
        <v>#REF!</v>
      </c>
      <c r="AC133" s="126" t="e">
        <f t="shared" si="148"/>
        <v>#REF!</v>
      </c>
      <c r="AD133" s="126" t="e">
        <f t="shared" si="148"/>
        <v>#REF!</v>
      </c>
      <c r="AE133" s="126" t="e">
        <f t="shared" si="148"/>
        <v>#REF!</v>
      </c>
      <c r="AF133" s="126" t="e">
        <f t="shared" si="148"/>
        <v>#REF!</v>
      </c>
      <c r="AG133" s="126" t="e">
        <f t="shared" si="148"/>
        <v>#REF!</v>
      </c>
      <c r="AH133" s="126" t="e">
        <f t="shared" si="148"/>
        <v>#REF!</v>
      </c>
      <c r="BC133" s="126"/>
    </row>
    <row r="134" spans="1:55" x14ac:dyDescent="0.3">
      <c r="A134" s="125">
        <v>1.7500000000000002E-2</v>
      </c>
      <c r="B134" s="124" t="s">
        <v>610</v>
      </c>
      <c r="C134" s="112">
        <f>((C125+C126+C131)*3%)+(C127*1.75%)+((C129+C130+C128)*2%)</f>
        <v>0</v>
      </c>
      <c r="D134" s="111">
        <f>D123*$A$134</f>
        <v>8900.3283250000004</v>
      </c>
      <c r="E134" s="112">
        <f>((E125+E126+E131)*3%)+(E127*1.75%)+((E129+E130+E128)*2%)</f>
        <v>0</v>
      </c>
      <c r="F134" s="111">
        <f>F123*$A$134</f>
        <v>0</v>
      </c>
      <c r="G134" s="112">
        <f>((G125+G126+G131)*3%)+(G127*1.75%)+((G129+G130+G128)*2%)</f>
        <v>0</v>
      </c>
      <c r="H134" s="111">
        <f>H123*$A$134</f>
        <v>0</v>
      </c>
      <c r="I134" s="112">
        <f>((I125+I126+I131)*3%)+(I127*1.75%)+((I129+I130+I128)*2%)</f>
        <v>0</v>
      </c>
      <c r="J134" s="111">
        <f>J123*$A$134</f>
        <v>0</v>
      </c>
      <c r="K134" s="112">
        <f>((K125+K126+K131)*3%)+(K127*1.75%)+((K129+K130+K128)*2%)</f>
        <v>0</v>
      </c>
      <c r="L134" s="111">
        <f>L123*$A$134</f>
        <v>0</v>
      </c>
      <c r="M134" s="112">
        <f>((M125+M126+M131)*3%)+(M127*1.75%)+((M129+M130+M128)*2%)</f>
        <v>0</v>
      </c>
      <c r="N134" s="111">
        <f>N123*$A$134</f>
        <v>0</v>
      </c>
      <c r="O134" s="112">
        <f>((O125+O126+O131)*3%)+(O127*1.75%)+((O129+O130+O128)*2%)</f>
        <v>0</v>
      </c>
      <c r="P134" s="111">
        <f>P123*$A$162</f>
        <v>0</v>
      </c>
      <c r="Q134" s="112">
        <f>((Q125+Q126+Q131)*3%)+(Q127*1.75%)+((Q129+Q130+Q128)*2%)</f>
        <v>0</v>
      </c>
      <c r="R134" s="111">
        <f>R123*$A$162</f>
        <v>0</v>
      </c>
      <c r="S134" s="112">
        <f>((S125+S126+S131)*3%)+(S127*1.75%)+((S129+S130+S128)*2%)</f>
        <v>0</v>
      </c>
      <c r="T134" s="111">
        <f>T123*$A$162</f>
        <v>0</v>
      </c>
      <c r="U134" s="112">
        <f>((U125+U126+U131)*3%)+(U127*1.75%)+((U129+U130+U128)*2%)</f>
        <v>0</v>
      </c>
      <c r="V134" s="111">
        <f>V123*$A$162</f>
        <v>0</v>
      </c>
      <c r="W134" s="112">
        <f>((W125+W126+W131)*3%)+(W127*1.75%)+((W129+W130+W128)*2%)</f>
        <v>0</v>
      </c>
      <c r="X134" s="111">
        <f>X123*$A$134</f>
        <v>0</v>
      </c>
      <c r="Y134" s="112">
        <f>((Y125+Y126+Y131)*3%)+(Y127*1.75%)+((Y129+Y130+Y128)*2%)</f>
        <v>0</v>
      </c>
      <c r="Z134" s="111">
        <f>Z123*$A$134</f>
        <v>0</v>
      </c>
      <c r="AA134" s="109" t="e">
        <f t="shared" ref="AA134:AH134" si="149">AA123*$A$92</f>
        <v>#REF!</v>
      </c>
      <c r="AB134" s="109" t="e">
        <f t="shared" si="149"/>
        <v>#REF!</v>
      </c>
      <c r="AC134" s="109" t="e">
        <f t="shared" si="149"/>
        <v>#REF!</v>
      </c>
      <c r="AD134" s="109" t="e">
        <f t="shared" si="149"/>
        <v>#REF!</v>
      </c>
      <c r="AE134" s="109" t="e">
        <f t="shared" si="149"/>
        <v>#REF!</v>
      </c>
      <c r="AF134" s="109" t="e">
        <f t="shared" si="149"/>
        <v>#REF!</v>
      </c>
      <c r="AG134" s="109" t="e">
        <f t="shared" si="149"/>
        <v>#REF!</v>
      </c>
      <c r="AH134" s="109" t="e">
        <f t="shared" si="149"/>
        <v>#REF!</v>
      </c>
      <c r="BC134" s="109"/>
    </row>
    <row r="135" spans="1:55" x14ac:dyDescent="0.3">
      <c r="A135" s="108"/>
      <c r="B135" s="380" t="s">
        <v>611</v>
      </c>
      <c r="C135" s="123">
        <f t="shared" ref="C135:AH135" si="150">SUM(C133:C134)</f>
        <v>0</v>
      </c>
      <c r="D135" s="388">
        <f>SUM(D133:D134)</f>
        <v>8900.3283250000004</v>
      </c>
      <c r="E135" s="123">
        <f t="shared" si="150"/>
        <v>0</v>
      </c>
      <c r="F135" s="388">
        <f t="shared" si="150"/>
        <v>0</v>
      </c>
      <c r="G135" s="123">
        <f t="shared" si="150"/>
        <v>0</v>
      </c>
      <c r="H135" s="388">
        <f t="shared" si="150"/>
        <v>0</v>
      </c>
      <c r="I135" s="123">
        <f t="shared" si="150"/>
        <v>0</v>
      </c>
      <c r="J135" s="388">
        <f t="shared" si="150"/>
        <v>0</v>
      </c>
      <c r="K135" s="123">
        <f t="shared" si="150"/>
        <v>0</v>
      </c>
      <c r="L135" s="388">
        <f t="shared" si="150"/>
        <v>0</v>
      </c>
      <c r="M135" s="123">
        <f t="shared" si="150"/>
        <v>0</v>
      </c>
      <c r="N135" s="388">
        <f t="shared" si="150"/>
        <v>0</v>
      </c>
      <c r="O135" s="123">
        <f t="shared" si="150"/>
        <v>0</v>
      </c>
      <c r="P135" s="388">
        <f t="shared" si="150"/>
        <v>0</v>
      </c>
      <c r="Q135" s="123">
        <f t="shared" si="150"/>
        <v>0</v>
      </c>
      <c r="R135" s="388">
        <f t="shared" si="150"/>
        <v>0</v>
      </c>
      <c r="S135" s="123">
        <f t="shared" si="150"/>
        <v>0</v>
      </c>
      <c r="T135" s="388">
        <f t="shared" si="150"/>
        <v>0</v>
      </c>
      <c r="U135" s="123">
        <f t="shared" si="150"/>
        <v>0</v>
      </c>
      <c r="V135" s="388">
        <f t="shared" si="150"/>
        <v>0</v>
      </c>
      <c r="W135" s="123">
        <f t="shared" si="150"/>
        <v>0</v>
      </c>
      <c r="X135" s="388">
        <f t="shared" si="150"/>
        <v>0</v>
      </c>
      <c r="Y135" s="123">
        <f t="shared" si="150"/>
        <v>0</v>
      </c>
      <c r="Z135" s="388">
        <f t="shared" si="150"/>
        <v>0</v>
      </c>
      <c r="AA135" s="389" t="e">
        <f t="shared" si="150"/>
        <v>#REF!</v>
      </c>
      <c r="AB135" s="389" t="e">
        <f t="shared" si="150"/>
        <v>#REF!</v>
      </c>
      <c r="AC135" s="389" t="e">
        <f t="shared" si="150"/>
        <v>#REF!</v>
      </c>
      <c r="AD135" s="389" t="e">
        <f t="shared" si="150"/>
        <v>#REF!</v>
      </c>
      <c r="AE135" s="389" t="e">
        <f t="shared" si="150"/>
        <v>#REF!</v>
      </c>
      <c r="AF135" s="389" t="e">
        <f t="shared" si="150"/>
        <v>#REF!</v>
      </c>
      <c r="AG135" s="389" t="e">
        <f t="shared" si="150"/>
        <v>#REF!</v>
      </c>
      <c r="AH135" s="389" t="e">
        <f t="shared" si="150"/>
        <v>#REF!</v>
      </c>
      <c r="BC135" s="389"/>
    </row>
    <row r="136" spans="1:55" ht="15.6" x14ac:dyDescent="0.3">
      <c r="A136" s="108"/>
      <c r="B136" s="157" t="s">
        <v>618</v>
      </c>
      <c r="C136" s="83"/>
      <c r="D136" s="82"/>
      <c r="E136" s="83"/>
      <c r="F136" s="82"/>
      <c r="G136" s="83"/>
      <c r="H136" s="82"/>
      <c r="I136" s="83"/>
      <c r="J136" s="82"/>
      <c r="K136" s="83"/>
      <c r="L136" s="82"/>
      <c r="M136" s="83"/>
      <c r="N136" s="82"/>
      <c r="O136" s="83"/>
      <c r="P136" s="82"/>
      <c r="Q136" s="83"/>
      <c r="R136" s="82"/>
      <c r="S136" s="83"/>
      <c r="T136" s="82"/>
      <c r="U136" s="83"/>
      <c r="V136" s="82"/>
      <c r="W136" s="83"/>
      <c r="X136" s="82"/>
      <c r="Y136" s="83"/>
      <c r="Z136" s="82"/>
      <c r="AA136" s="158"/>
      <c r="AB136" s="158"/>
      <c r="AC136" s="158"/>
      <c r="AD136" s="158"/>
      <c r="AE136" s="158"/>
      <c r="AF136" s="158"/>
      <c r="AG136" s="158"/>
      <c r="AH136" s="158"/>
      <c r="BC136" s="158"/>
    </row>
    <row r="137" spans="1:55" x14ac:dyDescent="0.3">
      <c r="A137" s="108"/>
      <c r="B137" s="380" t="s">
        <v>599</v>
      </c>
      <c r="C137" s="143"/>
      <c r="D137" s="385">
        <f>SUM(D138:D145)</f>
        <v>110005.21</v>
      </c>
      <c r="E137" s="143"/>
      <c r="F137" s="385">
        <f>SUM(F138:F145)</f>
        <v>0</v>
      </c>
      <c r="G137" s="143"/>
      <c r="H137" s="385">
        <f>SUM(H138:H145)</f>
        <v>0</v>
      </c>
      <c r="I137" s="143"/>
      <c r="J137" s="385">
        <f>SUM(J138:J145)</f>
        <v>0</v>
      </c>
      <c r="K137" s="143"/>
      <c r="L137" s="385">
        <f>SUM(L138:L145)</f>
        <v>0</v>
      </c>
      <c r="M137" s="143"/>
      <c r="N137" s="385">
        <f>SUM(N138:N145)</f>
        <v>0</v>
      </c>
      <c r="O137" s="143"/>
      <c r="P137" s="385">
        <f>SUM(P138:P145)</f>
        <v>0</v>
      </c>
      <c r="Q137" s="143"/>
      <c r="R137" s="385">
        <f>SUM(R138:R145)</f>
        <v>0</v>
      </c>
      <c r="S137" s="143"/>
      <c r="T137" s="385">
        <f>SUM(T138:T145)</f>
        <v>0</v>
      </c>
      <c r="U137" s="143"/>
      <c r="V137" s="385">
        <f>SUM(V138:V145)</f>
        <v>0</v>
      </c>
      <c r="W137" s="143"/>
      <c r="X137" s="385">
        <f>SUM(X138:X145)</f>
        <v>0</v>
      </c>
      <c r="Y137" s="143"/>
      <c r="Z137" s="385">
        <f>SUM(Z138:Z145)</f>
        <v>0</v>
      </c>
      <c r="AA137" s="158"/>
      <c r="AB137" s="158"/>
      <c r="AC137" s="158"/>
      <c r="AD137" s="158"/>
      <c r="AE137" s="158"/>
      <c r="AF137" s="158"/>
      <c r="AG137" s="158"/>
      <c r="AH137" s="158"/>
      <c r="BC137" s="158"/>
    </row>
    <row r="138" spans="1:55" x14ac:dyDescent="0.3">
      <c r="A138" s="108"/>
      <c r="B138" s="142" t="s">
        <v>600</v>
      </c>
      <c r="C138" s="141"/>
      <c r="D138" s="140"/>
      <c r="E138" s="141"/>
      <c r="F138" s="140"/>
      <c r="G138" s="141"/>
      <c r="H138" s="140"/>
      <c r="I138" s="141"/>
      <c r="J138" s="140"/>
      <c r="K138" s="141"/>
      <c r="L138" s="140"/>
      <c r="M138" s="141"/>
      <c r="N138" s="140"/>
      <c r="O138" s="141"/>
      <c r="P138" s="140"/>
      <c r="Q138" s="141"/>
      <c r="R138" s="140"/>
      <c r="S138" s="141"/>
      <c r="T138" s="140"/>
      <c r="U138" s="141"/>
      <c r="V138" s="140"/>
      <c r="W138" s="141"/>
      <c r="X138" s="140"/>
      <c r="Y138" s="141"/>
      <c r="Z138" s="140"/>
      <c r="AA138" s="158"/>
      <c r="AB138" s="158"/>
      <c r="AC138" s="158"/>
      <c r="AD138" s="158"/>
      <c r="AE138" s="158"/>
      <c r="AF138" s="158"/>
      <c r="AG138" s="158"/>
      <c r="AH138" s="158"/>
      <c r="BC138" s="158"/>
    </row>
    <row r="139" spans="1:55" x14ac:dyDescent="0.3">
      <c r="A139" s="108"/>
      <c r="B139" s="138" t="s">
        <v>601</v>
      </c>
      <c r="C139" s="116"/>
      <c r="D139" s="115">
        <v>40476.300000000003</v>
      </c>
      <c r="E139" s="116"/>
      <c r="F139" s="115"/>
      <c r="G139" s="116"/>
      <c r="H139" s="115"/>
      <c r="I139" s="116"/>
      <c r="J139" s="115"/>
      <c r="K139" s="116"/>
      <c r="L139" s="115"/>
      <c r="M139" s="116"/>
      <c r="N139" s="115"/>
      <c r="O139" s="116"/>
      <c r="P139" s="115"/>
      <c r="Q139" s="116"/>
      <c r="R139" s="115"/>
      <c r="S139" s="116"/>
      <c r="T139" s="115"/>
      <c r="U139" s="116"/>
      <c r="V139" s="115"/>
      <c r="W139" s="116"/>
      <c r="X139" s="115"/>
      <c r="Y139" s="116"/>
      <c r="Z139" s="115"/>
      <c r="AA139" s="158"/>
      <c r="AB139" s="158"/>
      <c r="AC139" s="158"/>
      <c r="AD139" s="158"/>
      <c r="AE139" s="158"/>
      <c r="AF139" s="158"/>
      <c r="AG139" s="158"/>
      <c r="AH139" s="158"/>
      <c r="BC139" s="158"/>
    </row>
    <row r="140" spans="1:55" x14ac:dyDescent="0.3">
      <c r="A140" s="108"/>
      <c r="B140" s="138" t="s">
        <v>602</v>
      </c>
      <c r="C140" s="116"/>
      <c r="D140" s="115"/>
      <c r="E140" s="116"/>
      <c r="F140" s="115"/>
      <c r="G140" s="116"/>
      <c r="H140" s="115"/>
      <c r="I140" s="116"/>
      <c r="J140" s="162"/>
      <c r="K140" s="116"/>
      <c r="L140" s="115"/>
      <c r="M140" s="116"/>
      <c r="N140" s="115"/>
      <c r="O140" s="116"/>
      <c r="P140" s="115"/>
      <c r="Q140" s="116"/>
      <c r="R140" s="115"/>
      <c r="S140" s="116"/>
      <c r="T140" s="115"/>
      <c r="U140" s="116"/>
      <c r="V140" s="115"/>
      <c r="W140" s="116"/>
      <c r="X140" s="115"/>
      <c r="Y140" s="116"/>
      <c r="Z140" s="115"/>
      <c r="AA140" s="158"/>
      <c r="AB140" s="158"/>
      <c r="AC140" s="158"/>
      <c r="AD140" s="158"/>
      <c r="AE140" s="158"/>
      <c r="AF140" s="158"/>
      <c r="AG140" s="158"/>
      <c r="AH140" s="158"/>
      <c r="BC140" s="158"/>
    </row>
    <row r="141" spans="1:55" x14ac:dyDescent="0.3">
      <c r="A141" s="108"/>
      <c r="B141" s="138" t="s">
        <v>603</v>
      </c>
      <c r="C141" s="116"/>
      <c r="D141" s="115">
        <v>69528.91</v>
      </c>
      <c r="E141" s="116"/>
      <c r="F141" s="115"/>
      <c r="G141" s="116"/>
      <c r="H141" s="115"/>
      <c r="I141" s="116"/>
      <c r="J141" s="115"/>
      <c r="K141" s="116"/>
      <c r="L141" s="115"/>
      <c r="M141" s="116"/>
      <c r="N141" s="115"/>
      <c r="O141" s="116"/>
      <c r="P141" s="115"/>
      <c r="Q141" s="116"/>
      <c r="R141" s="115"/>
      <c r="S141" s="116"/>
      <c r="T141" s="115"/>
      <c r="U141" s="116"/>
      <c r="V141" s="115"/>
      <c r="W141" s="116"/>
      <c r="X141" s="115"/>
      <c r="Y141" s="116"/>
      <c r="Z141" s="115"/>
      <c r="AA141" s="158"/>
      <c r="AB141" s="158"/>
      <c r="AC141" s="158"/>
      <c r="AD141" s="158"/>
      <c r="AE141" s="158"/>
      <c r="AF141" s="158"/>
      <c r="AG141" s="158"/>
      <c r="AH141" s="158"/>
      <c r="BC141" s="158"/>
    </row>
    <row r="142" spans="1:55" x14ac:dyDescent="0.3">
      <c r="A142" s="108"/>
      <c r="B142" s="138" t="s">
        <v>604</v>
      </c>
      <c r="C142" s="116"/>
      <c r="D142" s="115"/>
      <c r="E142" s="116"/>
      <c r="F142" s="115"/>
      <c r="G142" s="116"/>
      <c r="H142" s="115"/>
      <c r="I142" s="116"/>
      <c r="J142" s="115"/>
      <c r="K142" s="116"/>
      <c r="L142" s="115"/>
      <c r="M142" s="116"/>
      <c r="N142" s="115"/>
      <c r="O142" s="116"/>
      <c r="P142" s="115"/>
      <c r="Q142" s="116"/>
      <c r="R142" s="115"/>
      <c r="S142" s="116"/>
      <c r="T142" s="115"/>
      <c r="U142" s="116"/>
      <c r="V142" s="115"/>
      <c r="W142" s="116"/>
      <c r="X142" s="115"/>
      <c r="Y142" s="116"/>
      <c r="Z142" s="115"/>
      <c r="AA142" s="158"/>
      <c r="AB142" s="158"/>
      <c r="AC142" s="158"/>
      <c r="AD142" s="158"/>
      <c r="AE142" s="158"/>
      <c r="AF142" s="158"/>
      <c r="AG142" s="158"/>
      <c r="AH142" s="158"/>
      <c r="BC142" s="158"/>
    </row>
    <row r="143" spans="1:55" x14ac:dyDescent="0.3">
      <c r="A143" s="108"/>
      <c r="B143" s="138" t="s">
        <v>605</v>
      </c>
      <c r="C143" s="116"/>
      <c r="D143" s="115"/>
      <c r="E143" s="116"/>
      <c r="F143" s="115"/>
      <c r="G143" s="116"/>
      <c r="H143" s="115"/>
      <c r="I143" s="116"/>
      <c r="J143" s="115"/>
      <c r="K143" s="116"/>
      <c r="L143" s="115"/>
      <c r="M143" s="116"/>
      <c r="N143" s="115"/>
      <c r="O143" s="116"/>
      <c r="P143" s="115"/>
      <c r="Q143" s="116"/>
      <c r="R143" s="115"/>
      <c r="S143" s="116"/>
      <c r="T143" s="115"/>
      <c r="U143" s="116"/>
      <c r="V143" s="115"/>
      <c r="W143" s="116"/>
      <c r="X143" s="115"/>
      <c r="Y143" s="116"/>
      <c r="Z143" s="115"/>
      <c r="AA143" s="158"/>
      <c r="AB143" s="158"/>
      <c r="AC143" s="158"/>
      <c r="AD143" s="158"/>
      <c r="AE143" s="158"/>
      <c r="AF143" s="158"/>
      <c r="AG143" s="158"/>
      <c r="AH143" s="158"/>
      <c r="BC143" s="158"/>
    </row>
    <row r="144" spans="1:55" x14ac:dyDescent="0.3">
      <c r="A144" s="108"/>
      <c r="B144" s="138" t="s">
        <v>606</v>
      </c>
      <c r="C144" s="116"/>
      <c r="D144" s="115"/>
      <c r="E144" s="116"/>
      <c r="F144" s="115"/>
      <c r="G144" s="116"/>
      <c r="H144" s="115"/>
      <c r="I144" s="116"/>
      <c r="J144" s="115"/>
      <c r="K144" s="116"/>
      <c r="L144" s="115"/>
      <c r="M144" s="116"/>
      <c r="N144" s="115"/>
      <c r="O144" s="116"/>
      <c r="P144" s="115"/>
      <c r="Q144" s="116"/>
      <c r="R144" s="115"/>
      <c r="S144" s="116"/>
      <c r="T144" s="115"/>
      <c r="U144" s="116"/>
      <c r="V144" s="115"/>
      <c r="W144" s="116"/>
      <c r="X144" s="115"/>
      <c r="Y144" s="116"/>
      <c r="Z144" s="115"/>
      <c r="AA144" s="158"/>
      <c r="AB144" s="158"/>
      <c r="AC144" s="158"/>
      <c r="AD144" s="158"/>
      <c r="AE144" s="158"/>
      <c r="AF144" s="158"/>
      <c r="AG144" s="158"/>
      <c r="AH144" s="158"/>
      <c r="BC144" s="158"/>
    </row>
    <row r="145" spans="1:55" x14ac:dyDescent="0.3">
      <c r="A145" s="108"/>
      <c r="B145" s="138" t="s">
        <v>607</v>
      </c>
      <c r="C145" s="116"/>
      <c r="D145" s="115"/>
      <c r="E145" s="116"/>
      <c r="F145" s="115"/>
      <c r="G145" s="116"/>
      <c r="H145" s="115"/>
      <c r="I145" s="116"/>
      <c r="J145" s="115"/>
      <c r="K145" s="116"/>
      <c r="L145" s="115"/>
      <c r="M145" s="116"/>
      <c r="N145" s="115"/>
      <c r="O145" s="116"/>
      <c r="P145" s="115"/>
      <c r="Q145" s="116"/>
      <c r="R145" s="115"/>
      <c r="S145" s="116"/>
      <c r="T145" s="115"/>
      <c r="U145" s="116"/>
      <c r="V145" s="115"/>
      <c r="W145" s="116"/>
      <c r="X145" s="115"/>
      <c r="Y145" s="116"/>
      <c r="Z145" s="115"/>
      <c r="AA145" s="158"/>
      <c r="AB145" s="158"/>
      <c r="AC145" s="158"/>
      <c r="AD145" s="158"/>
      <c r="AE145" s="158"/>
      <c r="AF145" s="158"/>
      <c r="AG145" s="158"/>
      <c r="AH145" s="158"/>
      <c r="BC145" s="158"/>
    </row>
    <row r="146" spans="1:55" x14ac:dyDescent="0.3">
      <c r="A146" s="108"/>
      <c r="B146" s="137" t="s">
        <v>608</v>
      </c>
      <c r="C146" s="136"/>
      <c r="D146" s="135"/>
      <c r="E146" s="136"/>
      <c r="F146" s="135"/>
      <c r="G146" s="136"/>
      <c r="H146" s="135"/>
      <c r="I146" s="136"/>
      <c r="J146" s="135"/>
      <c r="K146" s="136"/>
      <c r="L146" s="135"/>
      <c r="M146" s="136"/>
      <c r="N146" s="135"/>
      <c r="O146" s="136"/>
      <c r="P146" s="135"/>
      <c r="Q146" s="136"/>
      <c r="R146" s="135"/>
      <c r="S146" s="136"/>
      <c r="T146" s="135"/>
      <c r="U146" s="136"/>
      <c r="V146" s="135"/>
      <c r="W146" s="136"/>
      <c r="X146" s="135"/>
      <c r="Y146" s="136"/>
      <c r="Z146" s="135"/>
      <c r="AA146" s="158"/>
      <c r="AB146" s="158"/>
      <c r="AC146" s="158"/>
      <c r="AD146" s="158"/>
      <c r="AE146" s="158"/>
      <c r="AF146" s="158"/>
      <c r="AG146" s="158"/>
      <c r="AH146" s="158"/>
      <c r="BC146" s="158"/>
    </row>
    <row r="147" spans="1:55" x14ac:dyDescent="0.3">
      <c r="A147" s="108"/>
      <c r="B147" s="131" t="s">
        <v>609</v>
      </c>
      <c r="C147" s="130"/>
      <c r="D147" s="129"/>
      <c r="E147" s="130"/>
      <c r="F147" s="129"/>
      <c r="G147" s="130"/>
      <c r="H147" s="129"/>
      <c r="I147" s="130"/>
      <c r="J147" s="129"/>
      <c r="K147" s="130"/>
      <c r="L147" s="129"/>
      <c r="M147" s="130"/>
      <c r="N147" s="129"/>
      <c r="O147" s="130"/>
      <c r="P147" s="129"/>
      <c r="Q147" s="130"/>
      <c r="R147" s="129"/>
      <c r="S147" s="130"/>
      <c r="T147" s="129"/>
      <c r="U147" s="130"/>
      <c r="V147" s="129"/>
      <c r="W147" s="130"/>
      <c r="X147" s="129"/>
      <c r="Y147" s="130"/>
      <c r="Z147" s="129"/>
      <c r="AA147" s="158"/>
      <c r="AB147" s="158"/>
      <c r="AC147" s="158"/>
      <c r="AD147" s="158"/>
      <c r="AE147" s="158"/>
      <c r="AF147" s="158"/>
      <c r="AG147" s="158"/>
      <c r="AH147" s="158"/>
      <c r="BC147" s="158"/>
    </row>
    <row r="148" spans="1:55" x14ac:dyDescent="0.3">
      <c r="A148" s="125">
        <v>1.7000000000000001E-2</v>
      </c>
      <c r="B148" s="124" t="s">
        <v>610</v>
      </c>
      <c r="C148" s="112"/>
      <c r="D148" s="111">
        <f>D137*$A$148</f>
        <v>1870.0885700000003</v>
      </c>
      <c r="E148" s="112"/>
      <c r="F148" s="111">
        <f>F137*$A$148</f>
        <v>0</v>
      </c>
      <c r="G148" s="112"/>
      <c r="H148" s="111">
        <f>H137*$A$148</f>
        <v>0</v>
      </c>
      <c r="I148" s="112"/>
      <c r="J148" s="111">
        <f>J137*$A$148</f>
        <v>0</v>
      </c>
      <c r="K148" s="112"/>
      <c r="L148" s="111">
        <f>L137*$A$148</f>
        <v>0</v>
      </c>
      <c r="M148" s="112"/>
      <c r="N148" s="111">
        <f>N137*$A$148</f>
        <v>0</v>
      </c>
      <c r="O148" s="112"/>
      <c r="P148" s="111">
        <f>P137*$A$148</f>
        <v>0</v>
      </c>
      <c r="Q148" s="112"/>
      <c r="R148" s="111">
        <f>R137*$A$148</f>
        <v>0</v>
      </c>
      <c r="S148" s="112"/>
      <c r="T148" s="111">
        <f>T137*$A$148</f>
        <v>0</v>
      </c>
      <c r="U148" s="112"/>
      <c r="V148" s="111">
        <f>V137*$A$148</f>
        <v>0</v>
      </c>
      <c r="W148" s="112"/>
      <c r="X148" s="111">
        <f>X137*$A$148</f>
        <v>0</v>
      </c>
      <c r="Y148" s="112"/>
      <c r="Z148" s="111">
        <f>Z137*$A$148</f>
        <v>0</v>
      </c>
      <c r="AA148" s="158"/>
      <c r="AB148" s="158"/>
      <c r="AC148" s="158"/>
      <c r="AD148" s="158"/>
      <c r="AE148" s="158"/>
      <c r="AF148" s="158"/>
      <c r="AG148" s="158"/>
      <c r="AH148" s="158"/>
      <c r="BC148" s="158"/>
    </row>
    <row r="149" spans="1:55" x14ac:dyDescent="0.3">
      <c r="A149" s="108"/>
      <c r="B149" s="380" t="s">
        <v>611</v>
      </c>
      <c r="C149" s="123"/>
      <c r="D149" s="388">
        <f>D148</f>
        <v>1870.0885700000003</v>
      </c>
      <c r="E149" s="123"/>
      <c r="F149" s="388"/>
      <c r="G149" s="123"/>
      <c r="H149" s="388"/>
      <c r="I149" s="123"/>
      <c r="J149" s="388">
        <f>SUM(J147:J148)</f>
        <v>0</v>
      </c>
      <c r="K149" s="123"/>
      <c r="L149" s="388">
        <f>SUM(L147:L148)</f>
        <v>0</v>
      </c>
      <c r="M149" s="123"/>
      <c r="N149" s="388">
        <f>SUM(N147:N148)</f>
        <v>0</v>
      </c>
      <c r="O149" s="123"/>
      <c r="P149" s="388">
        <f>SUM(P147:P148)</f>
        <v>0</v>
      </c>
      <c r="Q149" s="123"/>
      <c r="R149" s="388">
        <f>SUM(R147:R148)</f>
        <v>0</v>
      </c>
      <c r="S149" s="123"/>
      <c r="T149" s="388">
        <f>SUM(T147:T148)</f>
        <v>0</v>
      </c>
      <c r="U149" s="123"/>
      <c r="V149" s="388">
        <f>SUM(V147:V148)</f>
        <v>0</v>
      </c>
      <c r="W149" s="123"/>
      <c r="X149" s="388">
        <f>SUM(X147:X148)</f>
        <v>0</v>
      </c>
      <c r="Y149" s="123"/>
      <c r="Z149" s="388"/>
      <c r="AA149" s="158"/>
      <c r="AB149" s="158"/>
      <c r="AC149" s="158"/>
      <c r="AD149" s="158"/>
      <c r="AE149" s="158"/>
      <c r="AF149" s="158"/>
      <c r="AG149" s="158"/>
      <c r="AH149" s="158"/>
      <c r="BC149" s="158"/>
    </row>
    <row r="150" spans="1:55" ht="15.6" x14ac:dyDescent="0.3">
      <c r="B150" s="157" t="s">
        <v>619</v>
      </c>
      <c r="C150" s="83"/>
      <c r="D150" s="82"/>
      <c r="E150" s="83"/>
      <c r="F150" s="82"/>
      <c r="G150" s="83"/>
      <c r="H150" s="82"/>
      <c r="I150" s="83"/>
      <c r="J150" s="82"/>
      <c r="K150" s="83"/>
      <c r="L150" s="82"/>
      <c r="M150" s="83"/>
      <c r="N150" s="82"/>
      <c r="O150" s="83"/>
      <c r="P150" s="82"/>
      <c r="Q150" s="83"/>
      <c r="R150" s="82"/>
      <c r="S150" s="83"/>
      <c r="T150" s="82"/>
      <c r="U150" s="83"/>
      <c r="V150" s="82"/>
      <c r="W150" s="83"/>
      <c r="X150" s="82"/>
      <c r="Y150" s="83"/>
      <c r="Z150" s="82"/>
    </row>
    <row r="151" spans="1:55" x14ac:dyDescent="0.3">
      <c r="A151" s="108"/>
      <c r="B151" s="380" t="s">
        <v>599</v>
      </c>
      <c r="C151" s="143">
        <v>0</v>
      </c>
      <c r="D151" s="385">
        <f>SUM(D152:D159)</f>
        <v>93708.97</v>
      </c>
      <c r="E151" s="143">
        <v>0</v>
      </c>
      <c r="F151" s="385">
        <f>SUM(F152:F159)</f>
        <v>0</v>
      </c>
      <c r="G151" s="143">
        <v>0</v>
      </c>
      <c r="H151" s="385">
        <f>SUM(H152:H159)</f>
        <v>0</v>
      </c>
      <c r="I151" s="143"/>
      <c r="J151" s="385">
        <f>SUM(J152:J159)</f>
        <v>0</v>
      </c>
      <c r="K151" s="143"/>
      <c r="L151" s="385">
        <f>SUM(L152:L159)</f>
        <v>0</v>
      </c>
      <c r="M151" s="143"/>
      <c r="N151" s="385">
        <f>SUM(N152:N159)</f>
        <v>0</v>
      </c>
      <c r="O151" s="143"/>
      <c r="P151" s="385">
        <f>SUM(P152:P159)</f>
        <v>0</v>
      </c>
      <c r="Q151" s="143"/>
      <c r="R151" s="385">
        <f>SUM(R152:R159)</f>
        <v>0</v>
      </c>
      <c r="S151" s="143"/>
      <c r="T151" s="385">
        <f>SUM(T152:T159)</f>
        <v>0</v>
      </c>
      <c r="U151" s="143"/>
      <c r="V151" s="385">
        <f>SUM(V152:V159)</f>
        <v>0</v>
      </c>
      <c r="W151" s="143"/>
      <c r="X151" s="385">
        <f>SUM(X152:X159)</f>
        <v>0</v>
      </c>
      <c r="Y151" s="143"/>
      <c r="Z151" s="385">
        <f>SUM(Z152:Z159)</f>
        <v>0</v>
      </c>
      <c r="AA151" s="387" t="e">
        <v>#REF!</v>
      </c>
      <c r="AB151" s="387" t="e">
        <v>#REF!</v>
      </c>
      <c r="AC151" s="387" t="e">
        <v>#REF!</v>
      </c>
      <c r="AD151" s="387" t="e">
        <v>#REF!</v>
      </c>
      <c r="AE151" s="387" t="e">
        <v>#REF!</v>
      </c>
      <c r="AF151" s="387" t="e">
        <v>#REF!</v>
      </c>
      <c r="AG151" s="387" t="e">
        <v>#REF!</v>
      </c>
      <c r="AH151" s="387" t="e">
        <v>#REF!</v>
      </c>
      <c r="BC151" s="387"/>
    </row>
    <row r="152" spans="1:55" x14ac:dyDescent="0.3">
      <c r="A152" s="108"/>
      <c r="B152" s="142" t="s">
        <v>600</v>
      </c>
      <c r="C152" s="141"/>
      <c r="D152" s="140"/>
      <c r="E152" s="141"/>
      <c r="F152" s="140"/>
      <c r="G152" s="141"/>
      <c r="H152" s="140"/>
      <c r="I152" s="141"/>
      <c r="J152" s="140"/>
      <c r="K152" s="141"/>
      <c r="L152" s="140"/>
      <c r="M152" s="141"/>
      <c r="N152" s="140"/>
      <c r="O152" s="141"/>
      <c r="P152" s="140"/>
      <c r="Q152" s="141"/>
      <c r="R152" s="140"/>
      <c r="S152" s="141"/>
      <c r="T152" s="140"/>
      <c r="U152" s="141"/>
      <c r="V152" s="140"/>
      <c r="W152" s="141"/>
      <c r="X152" s="140"/>
      <c r="Y152" s="141"/>
      <c r="Z152" s="140"/>
      <c r="AA152" s="108"/>
      <c r="AB152" s="108"/>
      <c r="AC152" s="108"/>
      <c r="AD152" s="108"/>
      <c r="AE152" s="108"/>
      <c r="AF152" s="108"/>
      <c r="AG152" s="108"/>
      <c r="AH152" s="108"/>
      <c r="BC152" s="108"/>
    </row>
    <row r="153" spans="1:55" x14ac:dyDescent="0.3">
      <c r="A153" s="156">
        <v>0.25345000000000001</v>
      </c>
      <c r="B153" s="138" t="s">
        <v>601</v>
      </c>
      <c r="C153" s="116">
        <f>C151*$A$153</f>
        <v>0</v>
      </c>
      <c r="D153" s="115">
        <v>2490.0300000000002</v>
      </c>
      <c r="E153" s="116"/>
      <c r="F153" s="115"/>
      <c r="G153" s="116"/>
      <c r="H153" s="115"/>
      <c r="I153" s="116"/>
      <c r="J153" s="115"/>
      <c r="K153" s="116"/>
      <c r="L153" s="115"/>
      <c r="M153" s="116"/>
      <c r="N153" s="115"/>
      <c r="O153" s="116"/>
      <c r="P153" s="115"/>
      <c r="Q153" s="116"/>
      <c r="R153" s="115"/>
      <c r="S153" s="116"/>
      <c r="T153" s="115"/>
      <c r="U153" s="116"/>
      <c r="V153" s="115"/>
      <c r="W153" s="116"/>
      <c r="X153" s="115"/>
      <c r="Y153" s="116"/>
      <c r="Z153" s="115"/>
      <c r="AA153" s="93" t="e">
        <f t="shared" ref="AA153:AH153" si="151">AA151*$A$83</f>
        <v>#REF!</v>
      </c>
      <c r="AB153" s="93" t="e">
        <f t="shared" si="151"/>
        <v>#REF!</v>
      </c>
      <c r="AC153" s="93" t="e">
        <f t="shared" si="151"/>
        <v>#REF!</v>
      </c>
      <c r="AD153" s="93" t="e">
        <f t="shared" si="151"/>
        <v>#REF!</v>
      </c>
      <c r="AE153" s="93" t="e">
        <f t="shared" si="151"/>
        <v>#REF!</v>
      </c>
      <c r="AF153" s="93" t="e">
        <f t="shared" si="151"/>
        <v>#REF!</v>
      </c>
      <c r="AG153" s="93" t="e">
        <f t="shared" si="151"/>
        <v>#REF!</v>
      </c>
      <c r="AH153" s="93" t="e">
        <f t="shared" si="151"/>
        <v>#REF!</v>
      </c>
      <c r="BC153" s="93"/>
    </row>
    <row r="154" spans="1:55" x14ac:dyDescent="0.3">
      <c r="A154" s="156">
        <v>0</v>
      </c>
      <c r="B154" s="138" t="s">
        <v>602</v>
      </c>
      <c r="C154" s="116">
        <f>C151*$A$154</f>
        <v>0</v>
      </c>
      <c r="D154" s="115"/>
      <c r="E154" s="116"/>
      <c r="F154" s="115"/>
      <c r="G154" s="116"/>
      <c r="H154" s="115"/>
      <c r="I154" s="116"/>
      <c r="J154" s="115"/>
      <c r="K154" s="116"/>
      <c r="L154" s="115"/>
      <c r="M154" s="116"/>
      <c r="N154" s="115"/>
      <c r="O154" s="116"/>
      <c r="P154" s="115"/>
      <c r="Q154" s="116"/>
      <c r="R154" s="115"/>
      <c r="S154" s="116"/>
      <c r="T154" s="115"/>
      <c r="U154" s="116"/>
      <c r="V154" s="115"/>
      <c r="W154" s="116"/>
      <c r="X154" s="115"/>
      <c r="Y154" s="116"/>
      <c r="Z154" s="115"/>
      <c r="AA154" s="93" t="e">
        <f t="shared" ref="AA154:AH154" si="152">AA151*$A$84</f>
        <v>#REF!</v>
      </c>
      <c r="AB154" s="93" t="e">
        <f t="shared" si="152"/>
        <v>#REF!</v>
      </c>
      <c r="AC154" s="93" t="e">
        <f t="shared" si="152"/>
        <v>#REF!</v>
      </c>
      <c r="AD154" s="93" t="e">
        <f t="shared" si="152"/>
        <v>#REF!</v>
      </c>
      <c r="AE154" s="93" t="e">
        <f t="shared" si="152"/>
        <v>#REF!</v>
      </c>
      <c r="AF154" s="93" t="e">
        <f t="shared" si="152"/>
        <v>#REF!</v>
      </c>
      <c r="AG154" s="93" t="e">
        <f t="shared" si="152"/>
        <v>#REF!</v>
      </c>
      <c r="AH154" s="93" t="e">
        <f t="shared" si="152"/>
        <v>#REF!</v>
      </c>
      <c r="BC154" s="93"/>
    </row>
    <row r="155" spans="1:55" x14ac:dyDescent="0.3">
      <c r="A155" s="156">
        <f>71.058%+0.015%</f>
        <v>0.71073000000000008</v>
      </c>
      <c r="B155" s="138" t="s">
        <v>603</v>
      </c>
      <c r="C155" s="116">
        <f>C151*$A$155</f>
        <v>0</v>
      </c>
      <c r="D155" s="115">
        <v>91218.94</v>
      </c>
      <c r="E155" s="116"/>
      <c r="F155" s="115"/>
      <c r="G155" s="116"/>
      <c r="H155" s="115"/>
      <c r="I155" s="116"/>
      <c r="J155" s="115"/>
      <c r="K155" s="116"/>
      <c r="L155" s="115"/>
      <c r="M155" s="116"/>
      <c r="N155" s="115"/>
      <c r="O155" s="116"/>
      <c r="P155" s="115"/>
      <c r="Q155" s="116"/>
      <c r="R155" s="115"/>
      <c r="S155" s="116"/>
      <c r="T155" s="115"/>
      <c r="U155" s="116"/>
      <c r="V155" s="115"/>
      <c r="W155" s="116"/>
      <c r="X155" s="115"/>
      <c r="Y155" s="116"/>
      <c r="Z155" s="115"/>
      <c r="AA155" s="93" t="e">
        <f t="shared" ref="AA155:AH155" si="153">AA151*$A$85</f>
        <v>#REF!</v>
      </c>
      <c r="AB155" s="93" t="e">
        <f t="shared" si="153"/>
        <v>#REF!</v>
      </c>
      <c r="AC155" s="93" t="e">
        <f t="shared" si="153"/>
        <v>#REF!</v>
      </c>
      <c r="AD155" s="93" t="e">
        <f t="shared" si="153"/>
        <v>#REF!</v>
      </c>
      <c r="AE155" s="93" t="e">
        <f t="shared" si="153"/>
        <v>#REF!</v>
      </c>
      <c r="AF155" s="93" t="e">
        <f t="shared" si="153"/>
        <v>#REF!</v>
      </c>
      <c r="AG155" s="93" t="e">
        <f t="shared" si="153"/>
        <v>#REF!</v>
      </c>
      <c r="AH155" s="93" t="e">
        <f t="shared" si="153"/>
        <v>#REF!</v>
      </c>
      <c r="BC155" s="93"/>
    </row>
    <row r="156" spans="1:55" x14ac:dyDescent="0.3">
      <c r="A156" s="156">
        <v>0</v>
      </c>
      <c r="B156" s="138" t="s">
        <v>604</v>
      </c>
      <c r="C156" s="116">
        <f>C151*$A$156</f>
        <v>0</v>
      </c>
      <c r="D156" s="115"/>
      <c r="E156" s="116"/>
      <c r="F156" s="115"/>
      <c r="G156" s="116"/>
      <c r="H156" s="115"/>
      <c r="I156" s="116"/>
      <c r="J156" s="115"/>
      <c r="K156" s="116"/>
      <c r="L156" s="115"/>
      <c r="M156" s="116"/>
      <c r="N156" s="115"/>
      <c r="O156" s="116"/>
      <c r="P156" s="115"/>
      <c r="Q156" s="116"/>
      <c r="R156" s="115"/>
      <c r="S156" s="116"/>
      <c r="T156" s="115"/>
      <c r="U156" s="116"/>
      <c r="V156" s="115"/>
      <c r="W156" s="116"/>
      <c r="X156" s="115"/>
      <c r="Y156" s="116"/>
      <c r="Z156" s="115"/>
      <c r="AA156" s="93" t="e">
        <f t="shared" ref="AA156:AH156" si="154">AA151*$A$86</f>
        <v>#REF!</v>
      </c>
      <c r="AB156" s="93" t="e">
        <f t="shared" si="154"/>
        <v>#REF!</v>
      </c>
      <c r="AC156" s="93" t="e">
        <f t="shared" si="154"/>
        <v>#REF!</v>
      </c>
      <c r="AD156" s="93" t="e">
        <f t="shared" si="154"/>
        <v>#REF!</v>
      </c>
      <c r="AE156" s="93" t="e">
        <f t="shared" si="154"/>
        <v>#REF!</v>
      </c>
      <c r="AF156" s="93" t="e">
        <f t="shared" si="154"/>
        <v>#REF!</v>
      </c>
      <c r="AG156" s="93" t="e">
        <f t="shared" si="154"/>
        <v>#REF!</v>
      </c>
      <c r="AH156" s="93" t="e">
        <f t="shared" si="154"/>
        <v>#REF!</v>
      </c>
      <c r="BC156" s="93"/>
    </row>
    <row r="157" spans="1:55" x14ac:dyDescent="0.3">
      <c r="A157" s="156">
        <v>1.438E-2</v>
      </c>
      <c r="B157" s="138" t="s">
        <v>605</v>
      </c>
      <c r="C157" s="116">
        <f>C151*$A$157</f>
        <v>0</v>
      </c>
      <c r="D157" s="115"/>
      <c r="E157" s="116"/>
      <c r="F157" s="115"/>
      <c r="G157" s="116"/>
      <c r="H157" s="115"/>
      <c r="I157" s="116"/>
      <c r="J157" s="115"/>
      <c r="K157" s="116"/>
      <c r="L157" s="115"/>
      <c r="M157" s="116"/>
      <c r="N157" s="115"/>
      <c r="O157" s="116"/>
      <c r="P157" s="115"/>
      <c r="Q157" s="116"/>
      <c r="R157" s="115"/>
      <c r="S157" s="116"/>
      <c r="T157" s="115"/>
      <c r="U157" s="116"/>
      <c r="V157" s="115"/>
      <c r="W157" s="116"/>
      <c r="X157" s="115"/>
      <c r="Y157" s="116"/>
      <c r="Z157" s="115"/>
      <c r="AA157" s="93" t="e">
        <f t="shared" ref="AA157:AH157" si="155">AA151*$A$87</f>
        <v>#REF!</v>
      </c>
      <c r="AB157" s="93" t="e">
        <f t="shared" si="155"/>
        <v>#REF!</v>
      </c>
      <c r="AC157" s="93" t="e">
        <f t="shared" si="155"/>
        <v>#REF!</v>
      </c>
      <c r="AD157" s="93" t="e">
        <f t="shared" si="155"/>
        <v>#REF!</v>
      </c>
      <c r="AE157" s="93" t="e">
        <f t="shared" si="155"/>
        <v>#REF!</v>
      </c>
      <c r="AF157" s="93" t="e">
        <f t="shared" si="155"/>
        <v>#REF!</v>
      </c>
      <c r="AG157" s="93" t="e">
        <f t="shared" si="155"/>
        <v>#REF!</v>
      </c>
      <c r="AH157" s="93" t="e">
        <f t="shared" si="155"/>
        <v>#REF!</v>
      </c>
      <c r="BC157" s="93"/>
    </row>
    <row r="158" spans="1:55" x14ac:dyDescent="0.3">
      <c r="A158" s="156">
        <v>6.3000000000000003E-4</v>
      </c>
      <c r="B158" s="138" t="s">
        <v>606</v>
      </c>
      <c r="C158" s="116">
        <f>C151*$A$158</f>
        <v>0</v>
      </c>
      <c r="D158" s="115"/>
      <c r="E158" s="116"/>
      <c r="F158" s="115"/>
      <c r="G158" s="116"/>
      <c r="H158" s="115"/>
      <c r="I158" s="116"/>
      <c r="J158" s="115"/>
      <c r="K158" s="116"/>
      <c r="L158" s="115"/>
      <c r="M158" s="116"/>
      <c r="N158" s="115"/>
      <c r="O158" s="116"/>
      <c r="P158" s="115"/>
      <c r="Q158" s="116"/>
      <c r="R158" s="115"/>
      <c r="S158" s="116"/>
      <c r="T158" s="115"/>
      <c r="U158" s="116"/>
      <c r="V158" s="115"/>
      <c r="W158" s="116"/>
      <c r="X158" s="115"/>
      <c r="Y158" s="116"/>
      <c r="Z158" s="115"/>
      <c r="AA158" s="93" t="e">
        <f t="shared" ref="AA158:AH158" si="156">AA151*$A$88</f>
        <v>#REF!</v>
      </c>
      <c r="AB158" s="93" t="e">
        <f t="shared" si="156"/>
        <v>#REF!</v>
      </c>
      <c r="AC158" s="93" t="e">
        <f t="shared" si="156"/>
        <v>#REF!</v>
      </c>
      <c r="AD158" s="93" t="e">
        <f t="shared" si="156"/>
        <v>#REF!</v>
      </c>
      <c r="AE158" s="93" t="e">
        <f t="shared" si="156"/>
        <v>#REF!</v>
      </c>
      <c r="AF158" s="93" t="e">
        <f t="shared" si="156"/>
        <v>#REF!</v>
      </c>
      <c r="AG158" s="93" t="e">
        <f t="shared" si="156"/>
        <v>#REF!</v>
      </c>
      <c r="AH158" s="93" t="e">
        <f t="shared" si="156"/>
        <v>#REF!</v>
      </c>
      <c r="BC158" s="93"/>
    </row>
    <row r="159" spans="1:55" x14ac:dyDescent="0.3">
      <c r="A159" s="156">
        <v>2.0809999999999999E-2</v>
      </c>
      <c r="B159" s="138" t="s">
        <v>607</v>
      </c>
      <c r="C159" s="116">
        <f>C151*$A$159</f>
        <v>0</v>
      </c>
      <c r="D159" s="115"/>
      <c r="E159" s="116"/>
      <c r="F159" s="115"/>
      <c r="G159" s="116"/>
      <c r="H159" s="115"/>
      <c r="I159" s="116"/>
      <c r="J159" s="115"/>
      <c r="K159" s="116"/>
      <c r="L159" s="115"/>
      <c r="M159" s="116"/>
      <c r="N159" s="115"/>
      <c r="O159" s="116"/>
      <c r="P159" s="115"/>
      <c r="Q159" s="116"/>
      <c r="R159" s="115"/>
      <c r="S159" s="116"/>
      <c r="T159" s="115"/>
      <c r="U159" s="116"/>
      <c r="V159" s="115"/>
      <c r="W159" s="116"/>
      <c r="X159" s="115"/>
      <c r="Y159" s="116"/>
      <c r="Z159" s="115"/>
      <c r="AA159" s="93" t="e">
        <f t="shared" ref="AA159:AH159" si="157">AA151*$A$89</f>
        <v>#REF!</v>
      </c>
      <c r="AB159" s="93" t="e">
        <f t="shared" si="157"/>
        <v>#REF!</v>
      </c>
      <c r="AC159" s="93" t="e">
        <f t="shared" si="157"/>
        <v>#REF!</v>
      </c>
      <c r="AD159" s="93" t="e">
        <f t="shared" si="157"/>
        <v>#REF!</v>
      </c>
      <c r="AE159" s="93" t="e">
        <f t="shared" si="157"/>
        <v>#REF!</v>
      </c>
      <c r="AF159" s="93" t="e">
        <f t="shared" si="157"/>
        <v>#REF!</v>
      </c>
      <c r="AG159" s="93" t="e">
        <f t="shared" si="157"/>
        <v>#REF!</v>
      </c>
      <c r="AH159" s="93" t="e">
        <f t="shared" si="157"/>
        <v>#REF!</v>
      </c>
      <c r="BC159" s="93"/>
    </row>
    <row r="160" spans="1:55" x14ac:dyDescent="0.3">
      <c r="A160" s="108"/>
      <c r="B160" s="137" t="s">
        <v>608</v>
      </c>
      <c r="C160" s="136"/>
      <c r="D160" s="135"/>
      <c r="E160" s="136"/>
      <c r="F160" s="135"/>
      <c r="G160" s="136"/>
      <c r="H160" s="135"/>
      <c r="I160" s="136"/>
      <c r="J160" s="135"/>
      <c r="K160" s="136"/>
      <c r="L160" s="135"/>
      <c r="M160" s="136"/>
      <c r="N160" s="135"/>
      <c r="O160" s="136"/>
      <c r="P160" s="135"/>
      <c r="Q160" s="136"/>
      <c r="R160" s="135"/>
      <c r="S160" s="136"/>
      <c r="T160" s="135"/>
      <c r="U160" s="136"/>
      <c r="V160" s="135"/>
      <c r="W160" s="136"/>
      <c r="X160" s="135"/>
      <c r="Y160" s="136"/>
      <c r="Z160" s="135"/>
      <c r="AA160" s="132"/>
      <c r="AB160" s="132"/>
      <c r="AC160" s="132"/>
      <c r="AD160" s="132"/>
      <c r="AE160" s="132"/>
      <c r="AF160" s="132"/>
      <c r="AG160" s="132"/>
      <c r="AH160" s="132"/>
      <c r="BC160" s="132"/>
    </row>
    <row r="161" spans="1:55" x14ac:dyDescent="0.3">
      <c r="A161" s="125">
        <v>0</v>
      </c>
      <c r="B161" s="131" t="s">
        <v>609</v>
      </c>
      <c r="C161" s="130">
        <f>C151*$A$91</f>
        <v>0</v>
      </c>
      <c r="D161" s="129"/>
      <c r="E161" s="130">
        <f>E151*$A$91</f>
        <v>0</v>
      </c>
      <c r="F161" s="129"/>
      <c r="G161" s="130">
        <f>G151*$A$91</f>
        <v>0</v>
      </c>
      <c r="H161" s="129"/>
      <c r="I161" s="130">
        <f>I151*$A$91</f>
        <v>0</v>
      </c>
      <c r="J161" s="129"/>
      <c r="K161" s="130">
        <f>K151*$A$91</f>
        <v>0</v>
      </c>
      <c r="L161" s="129"/>
      <c r="M161" s="130">
        <f>M151*$A$91</f>
        <v>0</v>
      </c>
      <c r="N161" s="129"/>
      <c r="O161" s="130">
        <f>O151*$A$91</f>
        <v>0</v>
      </c>
      <c r="P161" s="129"/>
      <c r="Q161" s="130">
        <f>Q151*$A$91</f>
        <v>0</v>
      </c>
      <c r="R161" s="129"/>
      <c r="S161" s="130">
        <f>S151*$A$91</f>
        <v>0</v>
      </c>
      <c r="T161" s="129"/>
      <c r="U161" s="130">
        <f>U151*$A$91</f>
        <v>0</v>
      </c>
      <c r="V161" s="129"/>
      <c r="W161" s="130">
        <f>W151*$A$91</f>
        <v>0</v>
      </c>
      <c r="X161" s="129"/>
      <c r="Y161" s="130">
        <f>Y151*$A$91</f>
        <v>0</v>
      </c>
      <c r="Z161" s="129"/>
      <c r="AA161" s="126" t="e">
        <f t="shared" ref="AA161:AH161" si="158">AA151*$A$91</f>
        <v>#REF!</v>
      </c>
      <c r="AB161" s="126" t="e">
        <f t="shared" si="158"/>
        <v>#REF!</v>
      </c>
      <c r="AC161" s="126" t="e">
        <f t="shared" si="158"/>
        <v>#REF!</v>
      </c>
      <c r="AD161" s="126" t="e">
        <f t="shared" si="158"/>
        <v>#REF!</v>
      </c>
      <c r="AE161" s="126" t="e">
        <f t="shared" si="158"/>
        <v>#REF!</v>
      </c>
      <c r="AF161" s="126" t="e">
        <f t="shared" si="158"/>
        <v>#REF!</v>
      </c>
      <c r="AG161" s="126" t="e">
        <f t="shared" si="158"/>
        <v>#REF!</v>
      </c>
      <c r="AH161" s="126" t="e">
        <f t="shared" si="158"/>
        <v>#REF!</v>
      </c>
      <c r="BC161" s="126"/>
    </row>
    <row r="162" spans="1:55" x14ac:dyDescent="0.3">
      <c r="A162" s="125">
        <v>1.4999999999999999E-2</v>
      </c>
      <c r="B162" s="124" t="s">
        <v>610</v>
      </c>
      <c r="C162" s="112">
        <f>((C153+C154+C159)*3%)+(C155*1.75%)+((C157+C158+C156)*2%)</f>
        <v>0</v>
      </c>
      <c r="D162" s="111">
        <f>D151*$A$162</f>
        <v>1405.63455</v>
      </c>
      <c r="E162" s="112">
        <f>((E153+E154+E159)*3%)+(E155*1.75%)+((E157+E158+E156)*2%)</f>
        <v>0</v>
      </c>
      <c r="F162" s="111">
        <f>F151*$A$162</f>
        <v>0</v>
      </c>
      <c r="G162" s="112">
        <f>((G153+G154+G159)*3%)+(G155*1.75%)+((G157+G158+G156)*2%)</f>
        <v>0</v>
      </c>
      <c r="H162" s="111">
        <f>H151*$A$162</f>
        <v>0</v>
      </c>
      <c r="I162" s="112">
        <f>((I153+I154+I159)*3%)+(I155*1.75%)+((I157+I158+I156)*2%)</f>
        <v>0</v>
      </c>
      <c r="J162" s="111">
        <f>J151*$A$162</f>
        <v>0</v>
      </c>
      <c r="K162" s="112">
        <f>((K153+K154+K159)*3%)+(K155*1.75%)+((K157+K158+K156)*2%)</f>
        <v>0</v>
      </c>
      <c r="L162" s="111">
        <f>L151*$A$162</f>
        <v>0</v>
      </c>
      <c r="M162" s="112">
        <f>((M153+M154+M159)*3%)+(M155*1.75%)+((M157+M158+M156)*2%)</f>
        <v>0</v>
      </c>
      <c r="N162" s="111">
        <f>N151*$A$162</f>
        <v>0</v>
      </c>
      <c r="O162" s="112">
        <f>((O153+O154+O159)*3%)+(O155*1.75%)+((O157+O158+O156)*2%)</f>
        <v>0</v>
      </c>
      <c r="P162" s="111">
        <f>P151*$A$162</f>
        <v>0</v>
      </c>
      <c r="Q162" s="112">
        <f>((Q153+Q154+Q159)*3%)+(Q155*1.75%)+((Q157+Q158+Q156)*2%)</f>
        <v>0</v>
      </c>
      <c r="R162" s="111">
        <f>R151*$A$162</f>
        <v>0</v>
      </c>
      <c r="S162" s="112">
        <f>((S153+S154+S159)*3%)+(S155*1.75%)+((S157+S158+S156)*2%)</f>
        <v>0</v>
      </c>
      <c r="T162" s="111">
        <f>T151*$A$162</f>
        <v>0</v>
      </c>
      <c r="U162" s="112">
        <f>((U153+U154+U159)*3%)+(U155*1.75%)+((U157+U158+U156)*2%)</f>
        <v>0</v>
      </c>
      <c r="V162" s="111">
        <f>V151*$A$162</f>
        <v>0</v>
      </c>
      <c r="W162" s="112">
        <f>((W153+W154+W159)*3%)+(W155*1.75%)+((W157+W158+W156)*2%)</f>
        <v>0</v>
      </c>
      <c r="X162" s="111">
        <f>X151*$A$162</f>
        <v>0</v>
      </c>
      <c r="Y162" s="112">
        <f>((Y153+Y154+Y159)*3%)+(Y155*1.75%)+((Y157+Y158+Y156)*2%)</f>
        <v>0</v>
      </c>
      <c r="Z162" s="111">
        <f>Z151*$A$162</f>
        <v>0</v>
      </c>
      <c r="AA162" s="109" t="e">
        <f t="shared" ref="AA162:AH162" si="159">AA151*$A$92</f>
        <v>#REF!</v>
      </c>
      <c r="AB162" s="109" t="e">
        <f t="shared" si="159"/>
        <v>#REF!</v>
      </c>
      <c r="AC162" s="109" t="e">
        <f t="shared" si="159"/>
        <v>#REF!</v>
      </c>
      <c r="AD162" s="109" t="e">
        <f t="shared" si="159"/>
        <v>#REF!</v>
      </c>
      <c r="AE162" s="109" t="e">
        <f t="shared" si="159"/>
        <v>#REF!</v>
      </c>
      <c r="AF162" s="109" t="e">
        <f t="shared" si="159"/>
        <v>#REF!</v>
      </c>
      <c r="AG162" s="109" t="e">
        <f t="shared" si="159"/>
        <v>#REF!</v>
      </c>
      <c r="AH162" s="109" t="e">
        <f t="shared" si="159"/>
        <v>#REF!</v>
      </c>
      <c r="BC162" s="109"/>
    </row>
    <row r="163" spans="1:55" x14ac:dyDescent="0.3">
      <c r="A163" s="108"/>
      <c r="B163" s="380" t="s">
        <v>611</v>
      </c>
      <c r="C163" s="123">
        <f t="shared" ref="C163:AH163" si="160">SUM(C161:C162)</f>
        <v>0</v>
      </c>
      <c r="D163" s="388">
        <f t="shared" si="160"/>
        <v>1405.63455</v>
      </c>
      <c r="E163" s="123">
        <f t="shared" si="160"/>
        <v>0</v>
      </c>
      <c r="F163" s="388">
        <f t="shared" si="160"/>
        <v>0</v>
      </c>
      <c r="G163" s="123">
        <f t="shared" si="160"/>
        <v>0</v>
      </c>
      <c r="H163" s="388">
        <f t="shared" si="160"/>
        <v>0</v>
      </c>
      <c r="I163" s="123">
        <f t="shared" si="160"/>
        <v>0</v>
      </c>
      <c r="J163" s="388">
        <f t="shared" si="160"/>
        <v>0</v>
      </c>
      <c r="K163" s="123">
        <f t="shared" si="160"/>
        <v>0</v>
      </c>
      <c r="L163" s="388">
        <f t="shared" si="160"/>
        <v>0</v>
      </c>
      <c r="M163" s="123">
        <f t="shared" si="160"/>
        <v>0</v>
      </c>
      <c r="N163" s="388">
        <f t="shared" si="160"/>
        <v>0</v>
      </c>
      <c r="O163" s="123">
        <f t="shared" si="160"/>
        <v>0</v>
      </c>
      <c r="P163" s="388">
        <f t="shared" si="160"/>
        <v>0</v>
      </c>
      <c r="Q163" s="123">
        <f t="shared" si="160"/>
        <v>0</v>
      </c>
      <c r="R163" s="388">
        <f t="shared" si="160"/>
        <v>0</v>
      </c>
      <c r="S163" s="123">
        <f t="shared" si="160"/>
        <v>0</v>
      </c>
      <c r="T163" s="388">
        <f t="shared" si="160"/>
        <v>0</v>
      </c>
      <c r="U163" s="123">
        <f t="shared" si="160"/>
        <v>0</v>
      </c>
      <c r="V163" s="388">
        <f t="shared" si="160"/>
        <v>0</v>
      </c>
      <c r="W163" s="123">
        <f t="shared" si="160"/>
        <v>0</v>
      </c>
      <c r="X163" s="388">
        <f t="shared" si="160"/>
        <v>0</v>
      </c>
      <c r="Y163" s="123">
        <f t="shared" si="160"/>
        <v>0</v>
      </c>
      <c r="Z163" s="388">
        <f t="shared" si="160"/>
        <v>0</v>
      </c>
      <c r="AA163" s="389" t="e">
        <f t="shared" si="160"/>
        <v>#REF!</v>
      </c>
      <c r="AB163" s="389" t="e">
        <f t="shared" si="160"/>
        <v>#REF!</v>
      </c>
      <c r="AC163" s="389" t="e">
        <f t="shared" si="160"/>
        <v>#REF!</v>
      </c>
      <c r="AD163" s="389" t="e">
        <f t="shared" si="160"/>
        <v>#REF!</v>
      </c>
      <c r="AE163" s="389" t="e">
        <f t="shared" si="160"/>
        <v>#REF!</v>
      </c>
      <c r="AF163" s="389" t="e">
        <f t="shared" si="160"/>
        <v>#REF!</v>
      </c>
      <c r="AG163" s="389" t="e">
        <f t="shared" si="160"/>
        <v>#REF!</v>
      </c>
      <c r="AH163" s="389" t="e">
        <f t="shared" si="160"/>
        <v>#REF!</v>
      </c>
      <c r="BC163" s="389"/>
    </row>
    <row r="165" spans="1:55" ht="15.6" x14ac:dyDescent="0.3">
      <c r="B165" s="157" t="s">
        <v>620</v>
      </c>
      <c r="C165" s="83"/>
      <c r="D165" s="82"/>
      <c r="E165" s="83"/>
      <c r="F165" s="82"/>
      <c r="G165" s="83"/>
      <c r="H165" s="82"/>
      <c r="I165" s="83"/>
      <c r="J165" s="82"/>
      <c r="K165" s="83"/>
      <c r="L165" s="82"/>
      <c r="M165" s="83"/>
      <c r="N165" s="82"/>
      <c r="O165" s="83"/>
      <c r="P165" s="82"/>
      <c r="Q165" s="83"/>
      <c r="R165" s="82"/>
      <c r="S165" s="83"/>
      <c r="T165" s="82"/>
      <c r="U165" s="83"/>
      <c r="V165" s="82"/>
      <c r="W165" s="83"/>
      <c r="X165" s="82"/>
      <c r="Y165" s="83"/>
      <c r="Z165" s="82"/>
    </row>
    <row r="166" spans="1:55" x14ac:dyDescent="0.3">
      <c r="A166" s="108"/>
      <c r="B166" s="380" t="s">
        <v>599</v>
      </c>
      <c r="C166" s="143">
        <v>0</v>
      </c>
      <c r="D166" s="385">
        <f>SUM(D167:D174)</f>
        <v>202626.64</v>
      </c>
      <c r="E166" s="143">
        <v>0</v>
      </c>
      <c r="F166" s="385">
        <f>SUM(F167:F174)</f>
        <v>0</v>
      </c>
      <c r="G166" s="143">
        <v>0</v>
      </c>
      <c r="H166" s="385">
        <f>SUM(H167:H174)</f>
        <v>0</v>
      </c>
      <c r="I166" s="143"/>
      <c r="J166" s="385">
        <f>SUM(J167:J174)</f>
        <v>0</v>
      </c>
      <c r="K166" s="143"/>
      <c r="L166" s="385">
        <f>SUM(L167:L174)</f>
        <v>0</v>
      </c>
      <c r="M166" s="143"/>
      <c r="N166" s="385">
        <f>SUM(N167:N174)</f>
        <v>0</v>
      </c>
      <c r="O166" s="143"/>
      <c r="P166" s="385">
        <f>SUM(P167:P174)</f>
        <v>0</v>
      </c>
      <c r="Q166" s="143"/>
      <c r="R166" s="385">
        <f>SUM(R167:R174)</f>
        <v>0</v>
      </c>
      <c r="S166" s="143"/>
      <c r="T166" s="385">
        <f>SUM(T167:T174)</f>
        <v>0</v>
      </c>
      <c r="U166" s="143"/>
      <c r="V166" s="385">
        <f>SUM(V167:V174)</f>
        <v>0</v>
      </c>
      <c r="W166" s="143"/>
      <c r="X166" s="385">
        <f>SUM(X167:X174)</f>
        <v>0</v>
      </c>
      <c r="Y166" s="143"/>
      <c r="Z166" s="385">
        <f>SUM(Z167:Z174)</f>
        <v>0</v>
      </c>
      <c r="AA166" s="387" t="e">
        <v>#REF!</v>
      </c>
      <c r="AB166" s="387" t="e">
        <v>#REF!</v>
      </c>
      <c r="AC166" s="387" t="e">
        <v>#REF!</v>
      </c>
      <c r="AD166" s="387" t="e">
        <v>#REF!</v>
      </c>
      <c r="AE166" s="387" t="e">
        <v>#REF!</v>
      </c>
      <c r="AF166" s="387" t="e">
        <v>#REF!</v>
      </c>
      <c r="AG166" s="387" t="e">
        <v>#REF!</v>
      </c>
      <c r="AH166" s="387" t="e">
        <v>#REF!</v>
      </c>
      <c r="BC166" s="387"/>
    </row>
    <row r="167" spans="1:55" x14ac:dyDescent="0.3">
      <c r="A167" s="108"/>
      <c r="B167" s="142" t="s">
        <v>600</v>
      </c>
      <c r="C167" s="141"/>
      <c r="D167" s="140"/>
      <c r="E167" s="141"/>
      <c r="F167" s="140"/>
      <c r="G167" s="141"/>
      <c r="H167" s="140"/>
      <c r="I167" s="141"/>
      <c r="J167" s="140"/>
      <c r="K167" s="141"/>
      <c r="L167" s="140"/>
      <c r="M167" s="141"/>
      <c r="N167" s="140"/>
      <c r="O167" s="141"/>
      <c r="P167" s="140"/>
      <c r="Q167" s="141"/>
      <c r="R167" s="140"/>
      <c r="S167" s="141"/>
      <c r="T167" s="140"/>
      <c r="U167" s="141"/>
      <c r="V167" s="140"/>
      <c r="W167" s="141"/>
      <c r="X167" s="140"/>
      <c r="Y167" s="141"/>
      <c r="Z167" s="140"/>
      <c r="AA167" s="108"/>
      <c r="AB167" s="108"/>
      <c r="AC167" s="108"/>
      <c r="AD167" s="108"/>
      <c r="AE167" s="108"/>
      <c r="AF167" s="108"/>
      <c r="AG167" s="108"/>
      <c r="AH167" s="108"/>
      <c r="BC167" s="108"/>
    </row>
    <row r="168" spans="1:55" x14ac:dyDescent="0.3">
      <c r="A168" s="156"/>
      <c r="B168" s="138" t="s">
        <v>601</v>
      </c>
      <c r="C168" s="116">
        <f>C166*$A$153</f>
        <v>0</v>
      </c>
      <c r="D168" s="115">
        <v>35377.47</v>
      </c>
      <c r="E168" s="116">
        <f>E166*$A$153</f>
        <v>0</v>
      </c>
      <c r="F168" s="115"/>
      <c r="G168" s="116">
        <f>G166*$A$153</f>
        <v>0</v>
      </c>
      <c r="H168" s="115"/>
      <c r="I168" s="116">
        <f>I166*$A$153</f>
        <v>0</v>
      </c>
      <c r="J168" s="115"/>
      <c r="K168" s="116">
        <f>K166*$A$153</f>
        <v>0</v>
      </c>
      <c r="L168" s="115"/>
      <c r="M168" s="116">
        <f>M166*$A$153</f>
        <v>0</v>
      </c>
      <c r="N168" s="115"/>
      <c r="O168" s="116">
        <f>O166*$A$153</f>
        <v>0</v>
      </c>
      <c r="P168" s="115"/>
      <c r="Q168" s="116">
        <f>Q166*$A$153</f>
        <v>0</v>
      </c>
      <c r="R168" s="115"/>
      <c r="S168" s="116">
        <f>S166*$A$153</f>
        <v>0</v>
      </c>
      <c r="T168" s="115"/>
      <c r="U168" s="116">
        <f>U166*$A$153</f>
        <v>0</v>
      </c>
      <c r="V168" s="115"/>
      <c r="W168" s="116">
        <f>W166*$A$153</f>
        <v>0</v>
      </c>
      <c r="X168" s="115"/>
      <c r="Y168" s="116">
        <f>Y166*$A$153</f>
        <v>0</v>
      </c>
      <c r="Z168" s="115"/>
      <c r="AA168" s="93" t="e">
        <f t="shared" ref="AA168:AH168" si="161">AA166*$A$83</f>
        <v>#REF!</v>
      </c>
      <c r="AB168" s="93" t="e">
        <f t="shared" si="161"/>
        <v>#REF!</v>
      </c>
      <c r="AC168" s="93" t="e">
        <f t="shared" si="161"/>
        <v>#REF!</v>
      </c>
      <c r="AD168" s="93" t="e">
        <f t="shared" si="161"/>
        <v>#REF!</v>
      </c>
      <c r="AE168" s="93" t="e">
        <f t="shared" si="161"/>
        <v>#REF!</v>
      </c>
      <c r="AF168" s="93" t="e">
        <f t="shared" si="161"/>
        <v>#REF!</v>
      </c>
      <c r="AG168" s="93" t="e">
        <f t="shared" si="161"/>
        <v>#REF!</v>
      </c>
      <c r="AH168" s="93" t="e">
        <f t="shared" si="161"/>
        <v>#REF!</v>
      </c>
      <c r="BC168" s="93"/>
    </row>
    <row r="169" spans="1:55" x14ac:dyDescent="0.3">
      <c r="A169" s="156"/>
      <c r="B169" s="138" t="s">
        <v>602</v>
      </c>
      <c r="C169" s="116">
        <f>C166*$A$154</f>
        <v>0</v>
      </c>
      <c r="D169" s="115"/>
      <c r="E169" s="116">
        <f>E166*$A$154</f>
        <v>0</v>
      </c>
      <c r="F169" s="115"/>
      <c r="G169" s="116">
        <f>G166*$A$154</f>
        <v>0</v>
      </c>
      <c r="H169" s="115"/>
      <c r="I169" s="116">
        <f>I166*$A$154</f>
        <v>0</v>
      </c>
      <c r="J169" s="115"/>
      <c r="K169" s="116">
        <f>K166*$A$154</f>
        <v>0</v>
      </c>
      <c r="L169" s="115"/>
      <c r="M169" s="116">
        <f>M166*$A$154</f>
        <v>0</v>
      </c>
      <c r="N169" s="115"/>
      <c r="O169" s="116">
        <f>O166*$A$154</f>
        <v>0</v>
      </c>
      <c r="P169" s="115"/>
      <c r="Q169" s="116">
        <f>Q166*$A$154</f>
        <v>0</v>
      </c>
      <c r="R169" s="115"/>
      <c r="S169" s="116">
        <f>S166*$A$154</f>
        <v>0</v>
      </c>
      <c r="T169" s="115"/>
      <c r="U169" s="116">
        <f>U166*$A$154</f>
        <v>0</v>
      </c>
      <c r="V169" s="115"/>
      <c r="W169" s="116">
        <f>W166*$A$154</f>
        <v>0</v>
      </c>
      <c r="X169" s="115"/>
      <c r="Y169" s="116">
        <f>Y166*$A$154</f>
        <v>0</v>
      </c>
      <c r="Z169" s="115"/>
      <c r="AA169" s="93" t="e">
        <f t="shared" ref="AA169:AH169" si="162">AA166*$A$84</f>
        <v>#REF!</v>
      </c>
      <c r="AB169" s="93" t="e">
        <f t="shared" si="162"/>
        <v>#REF!</v>
      </c>
      <c r="AC169" s="93" t="e">
        <f t="shared" si="162"/>
        <v>#REF!</v>
      </c>
      <c r="AD169" s="93" t="e">
        <f t="shared" si="162"/>
        <v>#REF!</v>
      </c>
      <c r="AE169" s="93" t="e">
        <f t="shared" si="162"/>
        <v>#REF!</v>
      </c>
      <c r="AF169" s="93" t="e">
        <f t="shared" si="162"/>
        <v>#REF!</v>
      </c>
      <c r="AG169" s="93" t="e">
        <f t="shared" si="162"/>
        <v>#REF!</v>
      </c>
      <c r="AH169" s="93" t="e">
        <f t="shared" si="162"/>
        <v>#REF!</v>
      </c>
      <c r="BC169" s="93"/>
    </row>
    <row r="170" spans="1:55" x14ac:dyDescent="0.3">
      <c r="A170" s="156"/>
      <c r="B170" s="138" t="s">
        <v>603</v>
      </c>
      <c r="C170" s="116">
        <f>C166*$A$155</f>
        <v>0</v>
      </c>
      <c r="D170" s="115">
        <v>167249.17000000001</v>
      </c>
      <c r="E170" s="116">
        <f>E166*$A$155</f>
        <v>0</v>
      </c>
      <c r="F170" s="115"/>
      <c r="G170" s="116">
        <f>G166*$A$155</f>
        <v>0</v>
      </c>
      <c r="H170" s="115"/>
      <c r="I170" s="116">
        <f>I166*$A$155</f>
        <v>0</v>
      </c>
      <c r="J170" s="115"/>
      <c r="K170" s="116">
        <f>K166*$A$155</f>
        <v>0</v>
      </c>
      <c r="L170" s="115"/>
      <c r="M170" s="116">
        <f>M166*$A$155</f>
        <v>0</v>
      </c>
      <c r="N170" s="115"/>
      <c r="O170" s="116">
        <f>O166*$A$155</f>
        <v>0</v>
      </c>
      <c r="P170" s="115"/>
      <c r="Q170" s="116">
        <f>Q166*$A$155</f>
        <v>0</v>
      </c>
      <c r="R170" s="115"/>
      <c r="S170" s="116">
        <f>S166*$A$155</f>
        <v>0</v>
      </c>
      <c r="T170" s="115"/>
      <c r="U170" s="116">
        <f>U166*$A$155</f>
        <v>0</v>
      </c>
      <c r="V170" s="115"/>
      <c r="W170" s="116">
        <f>W166*$A$155</f>
        <v>0</v>
      </c>
      <c r="X170" s="115"/>
      <c r="Y170" s="116">
        <f>Y166*$A$155</f>
        <v>0</v>
      </c>
      <c r="Z170" s="115"/>
      <c r="AA170" s="93" t="e">
        <f t="shared" ref="AA170:AH170" si="163">AA166*$A$85</f>
        <v>#REF!</v>
      </c>
      <c r="AB170" s="93" t="e">
        <f t="shared" si="163"/>
        <v>#REF!</v>
      </c>
      <c r="AC170" s="93" t="e">
        <f t="shared" si="163"/>
        <v>#REF!</v>
      </c>
      <c r="AD170" s="93" t="e">
        <f t="shared" si="163"/>
        <v>#REF!</v>
      </c>
      <c r="AE170" s="93" t="e">
        <f t="shared" si="163"/>
        <v>#REF!</v>
      </c>
      <c r="AF170" s="93" t="e">
        <f t="shared" si="163"/>
        <v>#REF!</v>
      </c>
      <c r="AG170" s="93" t="e">
        <f t="shared" si="163"/>
        <v>#REF!</v>
      </c>
      <c r="AH170" s="93" t="e">
        <f t="shared" si="163"/>
        <v>#REF!</v>
      </c>
      <c r="BC170" s="93"/>
    </row>
    <row r="171" spans="1:55" x14ac:dyDescent="0.3">
      <c r="A171" s="156"/>
      <c r="B171" s="138" t="s">
        <v>604</v>
      </c>
      <c r="C171" s="116">
        <f>C166*$A$156</f>
        <v>0</v>
      </c>
      <c r="D171" s="115"/>
      <c r="E171" s="116">
        <f>E166*$A$156</f>
        <v>0</v>
      </c>
      <c r="F171" s="115"/>
      <c r="G171" s="116">
        <f>G166*$A$156</f>
        <v>0</v>
      </c>
      <c r="H171" s="115"/>
      <c r="I171" s="116">
        <f>I166*$A$156</f>
        <v>0</v>
      </c>
      <c r="J171" s="115"/>
      <c r="K171" s="116">
        <f>K166*$A$156</f>
        <v>0</v>
      </c>
      <c r="L171" s="115"/>
      <c r="M171" s="116">
        <f>M166*$A$156</f>
        <v>0</v>
      </c>
      <c r="N171" s="115"/>
      <c r="O171" s="116">
        <f>O166*$A$156</f>
        <v>0</v>
      </c>
      <c r="P171" s="115"/>
      <c r="Q171" s="116">
        <f>Q166*$A$156</f>
        <v>0</v>
      </c>
      <c r="R171" s="115"/>
      <c r="S171" s="116">
        <f>S166*$A$156</f>
        <v>0</v>
      </c>
      <c r="T171" s="115"/>
      <c r="U171" s="116">
        <f>U166*$A$156</f>
        <v>0</v>
      </c>
      <c r="V171" s="115"/>
      <c r="W171" s="116">
        <f>W166*$A$156</f>
        <v>0</v>
      </c>
      <c r="X171" s="115"/>
      <c r="Y171" s="116">
        <f>Y166*$A$156</f>
        <v>0</v>
      </c>
      <c r="Z171" s="115"/>
      <c r="AA171" s="93" t="e">
        <f t="shared" ref="AA171:AH171" si="164">AA166*$A$86</f>
        <v>#REF!</v>
      </c>
      <c r="AB171" s="93" t="e">
        <f t="shared" si="164"/>
        <v>#REF!</v>
      </c>
      <c r="AC171" s="93" t="e">
        <f t="shared" si="164"/>
        <v>#REF!</v>
      </c>
      <c r="AD171" s="93" t="e">
        <f t="shared" si="164"/>
        <v>#REF!</v>
      </c>
      <c r="AE171" s="93" t="e">
        <f t="shared" si="164"/>
        <v>#REF!</v>
      </c>
      <c r="AF171" s="93" t="e">
        <f t="shared" si="164"/>
        <v>#REF!</v>
      </c>
      <c r="AG171" s="93" t="e">
        <f t="shared" si="164"/>
        <v>#REF!</v>
      </c>
      <c r="AH171" s="93" t="e">
        <f t="shared" si="164"/>
        <v>#REF!</v>
      </c>
      <c r="BC171" s="93"/>
    </row>
    <row r="172" spans="1:55" x14ac:dyDescent="0.3">
      <c r="A172" s="156"/>
      <c r="B172" s="138" t="s">
        <v>605</v>
      </c>
      <c r="C172" s="116">
        <f>C166*$A$157</f>
        <v>0</v>
      </c>
      <c r="D172" s="115"/>
      <c r="E172" s="116">
        <f>E166*$A$157</f>
        <v>0</v>
      </c>
      <c r="F172" s="115"/>
      <c r="G172" s="116">
        <f>G166*$A$157</f>
        <v>0</v>
      </c>
      <c r="H172" s="115"/>
      <c r="I172" s="116">
        <f>I166*$A$157</f>
        <v>0</v>
      </c>
      <c r="J172" s="115"/>
      <c r="K172" s="116">
        <f>K166*$A$157</f>
        <v>0</v>
      </c>
      <c r="L172" s="115"/>
      <c r="M172" s="116">
        <f>M166*$A$157</f>
        <v>0</v>
      </c>
      <c r="N172" s="115"/>
      <c r="O172" s="116">
        <f>O166*$A$157</f>
        <v>0</v>
      </c>
      <c r="P172" s="115"/>
      <c r="Q172" s="116">
        <f>Q166*$A$157</f>
        <v>0</v>
      </c>
      <c r="R172" s="115"/>
      <c r="S172" s="116">
        <f>S166*$A$157</f>
        <v>0</v>
      </c>
      <c r="T172" s="115"/>
      <c r="U172" s="116">
        <f>U166*$A$157</f>
        <v>0</v>
      </c>
      <c r="V172" s="115"/>
      <c r="W172" s="116">
        <f>W166*$A$157</f>
        <v>0</v>
      </c>
      <c r="X172" s="115"/>
      <c r="Y172" s="116">
        <f>Y166*$A$157</f>
        <v>0</v>
      </c>
      <c r="Z172" s="115"/>
      <c r="AA172" s="93" t="e">
        <f t="shared" ref="AA172:AH172" si="165">AA166*$A$87</f>
        <v>#REF!</v>
      </c>
      <c r="AB172" s="93" t="e">
        <f t="shared" si="165"/>
        <v>#REF!</v>
      </c>
      <c r="AC172" s="93" t="e">
        <f t="shared" si="165"/>
        <v>#REF!</v>
      </c>
      <c r="AD172" s="93" t="e">
        <f t="shared" si="165"/>
        <v>#REF!</v>
      </c>
      <c r="AE172" s="93" t="e">
        <f t="shared" si="165"/>
        <v>#REF!</v>
      </c>
      <c r="AF172" s="93" t="e">
        <f t="shared" si="165"/>
        <v>#REF!</v>
      </c>
      <c r="AG172" s="93" t="e">
        <f t="shared" si="165"/>
        <v>#REF!</v>
      </c>
      <c r="AH172" s="93" t="e">
        <f t="shared" si="165"/>
        <v>#REF!</v>
      </c>
      <c r="BC172" s="93"/>
    </row>
    <row r="173" spans="1:55" x14ac:dyDescent="0.3">
      <c r="A173" s="156"/>
      <c r="B173" s="138" t="s">
        <v>606</v>
      </c>
      <c r="C173" s="116">
        <f>C166*$A$158</f>
        <v>0</v>
      </c>
      <c r="D173" s="115"/>
      <c r="E173" s="116">
        <f>E166*$A$158</f>
        <v>0</v>
      </c>
      <c r="F173" s="115"/>
      <c r="G173" s="116">
        <f>G166*$A$158</f>
        <v>0</v>
      </c>
      <c r="H173" s="115"/>
      <c r="I173" s="116">
        <f>I166*$A$158</f>
        <v>0</v>
      </c>
      <c r="J173" s="115"/>
      <c r="K173" s="116">
        <f>K166*$A$158</f>
        <v>0</v>
      </c>
      <c r="L173" s="115"/>
      <c r="M173" s="116">
        <f>M166*$A$158</f>
        <v>0</v>
      </c>
      <c r="N173" s="115"/>
      <c r="O173" s="116">
        <f>O166*$A$158</f>
        <v>0</v>
      </c>
      <c r="P173" s="115"/>
      <c r="Q173" s="116">
        <f>Q166*$A$158</f>
        <v>0</v>
      </c>
      <c r="R173" s="115"/>
      <c r="S173" s="116">
        <f>S166*$A$158</f>
        <v>0</v>
      </c>
      <c r="T173" s="115"/>
      <c r="U173" s="116">
        <f>U166*$A$158</f>
        <v>0</v>
      </c>
      <c r="V173" s="115"/>
      <c r="W173" s="116">
        <f>W166*$A$158</f>
        <v>0</v>
      </c>
      <c r="X173" s="115"/>
      <c r="Y173" s="116">
        <f>Y166*$A$158</f>
        <v>0</v>
      </c>
      <c r="Z173" s="115"/>
      <c r="AA173" s="93" t="e">
        <f t="shared" ref="AA173:AH173" si="166">AA166*$A$88</f>
        <v>#REF!</v>
      </c>
      <c r="AB173" s="93" t="e">
        <f t="shared" si="166"/>
        <v>#REF!</v>
      </c>
      <c r="AC173" s="93" t="e">
        <f t="shared" si="166"/>
        <v>#REF!</v>
      </c>
      <c r="AD173" s="93" t="e">
        <f t="shared" si="166"/>
        <v>#REF!</v>
      </c>
      <c r="AE173" s="93" t="e">
        <f t="shared" si="166"/>
        <v>#REF!</v>
      </c>
      <c r="AF173" s="93" t="e">
        <f t="shared" si="166"/>
        <v>#REF!</v>
      </c>
      <c r="AG173" s="93" t="e">
        <f t="shared" si="166"/>
        <v>#REF!</v>
      </c>
      <c r="AH173" s="93" t="e">
        <f t="shared" si="166"/>
        <v>#REF!</v>
      </c>
      <c r="BC173" s="93"/>
    </row>
    <row r="174" spans="1:55" x14ac:dyDescent="0.3">
      <c r="A174" s="156"/>
      <c r="B174" s="138" t="s">
        <v>607</v>
      </c>
      <c r="C174" s="116">
        <f>C166*$A$159</f>
        <v>0</v>
      </c>
      <c r="D174" s="115"/>
      <c r="E174" s="116">
        <f>E166*$A$159</f>
        <v>0</v>
      </c>
      <c r="F174" s="115"/>
      <c r="G174" s="116">
        <f>G166*$A$159</f>
        <v>0</v>
      </c>
      <c r="H174" s="115"/>
      <c r="I174" s="116">
        <f>I166*$A$159</f>
        <v>0</v>
      </c>
      <c r="J174" s="115"/>
      <c r="K174" s="116">
        <f>K166*$A$159</f>
        <v>0</v>
      </c>
      <c r="L174" s="115"/>
      <c r="M174" s="116">
        <f>M166*$A$159</f>
        <v>0</v>
      </c>
      <c r="N174" s="115"/>
      <c r="O174" s="116">
        <f>O166*$A$159</f>
        <v>0</v>
      </c>
      <c r="P174" s="115"/>
      <c r="Q174" s="116">
        <f>Q166*$A$159</f>
        <v>0</v>
      </c>
      <c r="R174" s="115"/>
      <c r="S174" s="116">
        <f>S166*$A$159</f>
        <v>0</v>
      </c>
      <c r="T174" s="115"/>
      <c r="U174" s="116">
        <f>U166*$A$159</f>
        <v>0</v>
      </c>
      <c r="V174" s="115"/>
      <c r="W174" s="116">
        <f>W166*$A$159</f>
        <v>0</v>
      </c>
      <c r="X174" s="115"/>
      <c r="Y174" s="116">
        <f>Y166*$A$159</f>
        <v>0</v>
      </c>
      <c r="Z174" s="115"/>
      <c r="AA174" s="93" t="e">
        <f t="shared" ref="AA174:AH174" si="167">AA166*$A$89</f>
        <v>#REF!</v>
      </c>
      <c r="AB174" s="93" t="e">
        <f t="shared" si="167"/>
        <v>#REF!</v>
      </c>
      <c r="AC174" s="93" t="e">
        <f t="shared" si="167"/>
        <v>#REF!</v>
      </c>
      <c r="AD174" s="93" t="e">
        <f t="shared" si="167"/>
        <v>#REF!</v>
      </c>
      <c r="AE174" s="93" t="e">
        <f t="shared" si="167"/>
        <v>#REF!</v>
      </c>
      <c r="AF174" s="93" t="e">
        <f t="shared" si="167"/>
        <v>#REF!</v>
      </c>
      <c r="AG174" s="93" t="e">
        <f t="shared" si="167"/>
        <v>#REF!</v>
      </c>
      <c r="AH174" s="93" t="e">
        <f t="shared" si="167"/>
        <v>#REF!</v>
      </c>
      <c r="BC174" s="93"/>
    </row>
    <row r="175" spans="1:55" x14ac:dyDescent="0.3">
      <c r="A175" s="108"/>
      <c r="B175" s="137" t="s">
        <v>608</v>
      </c>
      <c r="C175" s="136"/>
      <c r="D175" s="135"/>
      <c r="E175" s="136"/>
      <c r="F175" s="135"/>
      <c r="G175" s="136"/>
      <c r="H175" s="135"/>
      <c r="I175" s="136"/>
      <c r="J175" s="135"/>
      <c r="K175" s="136"/>
      <c r="L175" s="135"/>
      <c r="M175" s="136"/>
      <c r="N175" s="135"/>
      <c r="O175" s="136"/>
      <c r="P175" s="135"/>
      <c r="Q175" s="136"/>
      <c r="R175" s="135"/>
      <c r="S175" s="136"/>
      <c r="T175" s="135"/>
      <c r="U175" s="136"/>
      <c r="V175" s="135"/>
      <c r="W175" s="136"/>
      <c r="X175" s="135"/>
      <c r="Y175" s="136"/>
      <c r="Z175" s="135"/>
      <c r="AA175" s="132"/>
      <c r="AB175" s="132"/>
      <c r="AC175" s="132"/>
      <c r="AD175" s="132"/>
      <c r="AE175" s="132"/>
      <c r="AF175" s="132"/>
      <c r="AG175" s="132"/>
      <c r="AH175" s="132"/>
      <c r="BC175" s="132"/>
    </row>
    <row r="176" spans="1:55" x14ac:dyDescent="0.3">
      <c r="A176" s="125">
        <v>0</v>
      </c>
      <c r="B176" s="131" t="s">
        <v>609</v>
      </c>
      <c r="C176" s="130">
        <f>C166*$A$91</f>
        <v>0</v>
      </c>
      <c r="D176" s="129"/>
      <c r="E176" s="130">
        <f>E166*$A$91</f>
        <v>0</v>
      </c>
      <c r="F176" s="129"/>
      <c r="G176" s="130">
        <f>G166*$A$91</f>
        <v>0</v>
      </c>
      <c r="H176" s="129"/>
      <c r="I176" s="130">
        <f>I166*$A$91</f>
        <v>0</v>
      </c>
      <c r="J176" s="129"/>
      <c r="K176" s="130">
        <f>K166*$A$91</f>
        <v>0</v>
      </c>
      <c r="L176" s="129"/>
      <c r="M176" s="130">
        <f>M166*$A$91</f>
        <v>0</v>
      </c>
      <c r="N176" s="129"/>
      <c r="O176" s="130">
        <f>O166*$A$91</f>
        <v>0</v>
      </c>
      <c r="P176" s="129"/>
      <c r="Q176" s="130">
        <f>Q166*$A$91</f>
        <v>0</v>
      </c>
      <c r="R176" s="129"/>
      <c r="S176" s="130">
        <f>S166*$A$91</f>
        <v>0</v>
      </c>
      <c r="T176" s="129"/>
      <c r="U176" s="130">
        <f>U166*$A$91</f>
        <v>0</v>
      </c>
      <c r="V176" s="129"/>
      <c r="W176" s="130">
        <f>W166*$A$91</f>
        <v>0</v>
      </c>
      <c r="X176" s="129"/>
      <c r="Y176" s="130">
        <f>Y166*$A$91</f>
        <v>0</v>
      </c>
      <c r="Z176" s="129"/>
      <c r="AA176" s="126" t="e">
        <f t="shared" ref="AA176:AH176" si="168">AA166*$A$91</f>
        <v>#REF!</v>
      </c>
      <c r="AB176" s="126" t="e">
        <f t="shared" si="168"/>
        <v>#REF!</v>
      </c>
      <c r="AC176" s="126" t="e">
        <f t="shared" si="168"/>
        <v>#REF!</v>
      </c>
      <c r="AD176" s="126" t="e">
        <f t="shared" si="168"/>
        <v>#REF!</v>
      </c>
      <c r="AE176" s="126" t="e">
        <f t="shared" si="168"/>
        <v>#REF!</v>
      </c>
      <c r="AF176" s="126" t="e">
        <f t="shared" si="168"/>
        <v>#REF!</v>
      </c>
      <c r="AG176" s="126" t="e">
        <f t="shared" si="168"/>
        <v>#REF!</v>
      </c>
      <c r="AH176" s="126" t="e">
        <f t="shared" si="168"/>
        <v>#REF!</v>
      </c>
      <c r="BC176" s="126"/>
    </row>
    <row r="177" spans="1:55" x14ac:dyDescent="0.3">
      <c r="A177" s="125">
        <v>1.9E-2</v>
      </c>
      <c r="B177" s="124" t="s">
        <v>610</v>
      </c>
      <c r="C177" s="112">
        <f>((C168+C169+C174)*3%)+(C170*1.75%)+((C172+C173+C171)*2%)</f>
        <v>0</v>
      </c>
      <c r="D177" s="111">
        <f>D166*$A$192</f>
        <v>5065.6660000000011</v>
      </c>
      <c r="E177" s="112">
        <f>((E168+E169+E174)*3%)+(E170*1.75%)+((E172+E173+E171)*2%)</f>
        <v>0</v>
      </c>
      <c r="F177" s="111">
        <f>F166*$A$192</f>
        <v>0</v>
      </c>
      <c r="G177" s="112">
        <f>((G168+G169+G174)*3%)+(G170*1.75%)+((G172+G173+G171)*2%)</f>
        <v>0</v>
      </c>
      <c r="H177" s="111">
        <f>H166*$A$192</f>
        <v>0</v>
      </c>
      <c r="I177" s="112">
        <f>((I168+I169+I174)*3%)+(I170*1.75%)+((I172+I173+I171)*2%)</f>
        <v>0</v>
      </c>
      <c r="J177" s="111">
        <f>J166*$A$192</f>
        <v>0</v>
      </c>
      <c r="K177" s="112">
        <f>((K168+K169+K174)*3%)+(K170*1.75%)+((K172+K173+K171)*2%)</f>
        <v>0</v>
      </c>
      <c r="L177" s="111">
        <f>L166*$A$192</f>
        <v>0</v>
      </c>
      <c r="M177" s="112">
        <f>((M168+M169+M174)*3%)+(M170*1.75%)+((M172+M173+M171)*2%)</f>
        <v>0</v>
      </c>
      <c r="N177" s="111">
        <f>N166*$A$192</f>
        <v>0</v>
      </c>
      <c r="O177" s="112">
        <f>((O168+O169+O174)*3%)+(O170*1.75%)+((O172+O173+O171)*2%)</f>
        <v>0</v>
      </c>
      <c r="P177" s="111">
        <f>P166*$A$192</f>
        <v>0</v>
      </c>
      <c r="Q177" s="112">
        <f>((Q168+Q169+Q174)*3%)+(Q170*1.75%)+((Q172+Q173+Q171)*2%)</f>
        <v>0</v>
      </c>
      <c r="R177" s="111">
        <f>R166*$A$192</f>
        <v>0</v>
      </c>
      <c r="S177" s="112">
        <f>((S168+S169+S174)*3%)+(S170*1.75%)+((S172+S173+S171)*2%)</f>
        <v>0</v>
      </c>
      <c r="T177" s="111">
        <f>T166*$A$192</f>
        <v>0</v>
      </c>
      <c r="U177" s="112">
        <f>((U168+U169+U174)*3%)+(U170*1.75%)+((U172+U173+U171)*2%)</f>
        <v>0</v>
      </c>
      <c r="V177" s="111">
        <v>0</v>
      </c>
      <c r="W177" s="112">
        <f>((W168+W169+W174)*3%)+(W170*1.75%)+((W172+W173+W171)*2%)</f>
        <v>0</v>
      </c>
      <c r="X177" s="111">
        <f>X166*$A$192</f>
        <v>0</v>
      </c>
      <c r="Y177" s="112">
        <f>((Y168+Y169+Y174)*3%)+(Y170*1.75%)+((Y172+Y173+Y171)*2%)</f>
        <v>0</v>
      </c>
      <c r="Z177" s="111">
        <f>Z166*$A$192</f>
        <v>0</v>
      </c>
      <c r="AA177" s="109" t="e">
        <f t="shared" ref="AA177:AH177" si="169">AA166*$A$92</f>
        <v>#REF!</v>
      </c>
      <c r="AB177" s="109" t="e">
        <f t="shared" si="169"/>
        <v>#REF!</v>
      </c>
      <c r="AC177" s="109" t="e">
        <f t="shared" si="169"/>
        <v>#REF!</v>
      </c>
      <c r="AD177" s="109" t="e">
        <f t="shared" si="169"/>
        <v>#REF!</v>
      </c>
      <c r="AE177" s="109" t="e">
        <f t="shared" si="169"/>
        <v>#REF!</v>
      </c>
      <c r="AF177" s="109" t="e">
        <f t="shared" si="169"/>
        <v>#REF!</v>
      </c>
      <c r="AG177" s="109" t="e">
        <f t="shared" si="169"/>
        <v>#REF!</v>
      </c>
      <c r="AH177" s="109" t="e">
        <f t="shared" si="169"/>
        <v>#REF!</v>
      </c>
      <c r="BC177" s="109"/>
    </row>
    <row r="178" spans="1:55" x14ac:dyDescent="0.3">
      <c r="A178" s="108"/>
      <c r="B178" s="380" t="s">
        <v>611</v>
      </c>
      <c r="C178" s="123">
        <f t="shared" ref="C178:AH178" si="170">SUM(C176:C177)</f>
        <v>0</v>
      </c>
      <c r="D178" s="388">
        <f t="shared" si="170"/>
        <v>5065.6660000000011</v>
      </c>
      <c r="E178" s="123">
        <f t="shared" si="170"/>
        <v>0</v>
      </c>
      <c r="F178" s="388">
        <f t="shared" si="170"/>
        <v>0</v>
      </c>
      <c r="G178" s="123">
        <f t="shared" si="170"/>
        <v>0</v>
      </c>
      <c r="H178" s="388">
        <f t="shared" si="170"/>
        <v>0</v>
      </c>
      <c r="I178" s="123">
        <f t="shared" si="170"/>
        <v>0</v>
      </c>
      <c r="J178" s="388">
        <f t="shared" si="170"/>
        <v>0</v>
      </c>
      <c r="K178" s="123">
        <f t="shared" si="170"/>
        <v>0</v>
      </c>
      <c r="L178" s="388">
        <f t="shared" si="170"/>
        <v>0</v>
      </c>
      <c r="M178" s="123">
        <f t="shared" si="170"/>
        <v>0</v>
      </c>
      <c r="N178" s="388">
        <f t="shared" si="170"/>
        <v>0</v>
      </c>
      <c r="O178" s="123">
        <f t="shared" si="170"/>
        <v>0</v>
      </c>
      <c r="P178" s="388">
        <f t="shared" si="170"/>
        <v>0</v>
      </c>
      <c r="Q178" s="123">
        <f t="shared" si="170"/>
        <v>0</v>
      </c>
      <c r="R178" s="388">
        <f t="shared" si="170"/>
        <v>0</v>
      </c>
      <c r="S178" s="123">
        <f t="shared" si="170"/>
        <v>0</v>
      </c>
      <c r="T178" s="388">
        <f t="shared" si="170"/>
        <v>0</v>
      </c>
      <c r="U178" s="123">
        <f t="shared" si="170"/>
        <v>0</v>
      </c>
      <c r="V178" s="388">
        <f t="shared" si="170"/>
        <v>0</v>
      </c>
      <c r="W178" s="123">
        <f t="shared" si="170"/>
        <v>0</v>
      </c>
      <c r="X178" s="388">
        <f t="shared" si="170"/>
        <v>0</v>
      </c>
      <c r="Y178" s="123">
        <f t="shared" si="170"/>
        <v>0</v>
      </c>
      <c r="Z178" s="388">
        <f t="shared" si="170"/>
        <v>0</v>
      </c>
      <c r="AA178" s="389" t="e">
        <f t="shared" si="170"/>
        <v>#REF!</v>
      </c>
      <c r="AB178" s="389" t="e">
        <f t="shared" si="170"/>
        <v>#REF!</v>
      </c>
      <c r="AC178" s="389" t="e">
        <f t="shared" si="170"/>
        <v>#REF!</v>
      </c>
      <c r="AD178" s="389" t="e">
        <f t="shared" si="170"/>
        <v>#REF!</v>
      </c>
      <c r="AE178" s="389" t="e">
        <f t="shared" si="170"/>
        <v>#REF!</v>
      </c>
      <c r="AF178" s="389" t="e">
        <f t="shared" si="170"/>
        <v>#REF!</v>
      </c>
      <c r="AG178" s="389" t="e">
        <f t="shared" si="170"/>
        <v>#REF!</v>
      </c>
      <c r="AH178" s="389" t="e">
        <f t="shared" si="170"/>
        <v>#REF!</v>
      </c>
      <c r="BC178" s="389"/>
    </row>
    <row r="179" spans="1:55" x14ac:dyDescent="0.3">
      <c r="A179" s="108"/>
      <c r="B179" s="161"/>
      <c r="C179" s="160"/>
      <c r="D179" s="159"/>
      <c r="E179" s="160"/>
      <c r="F179" s="159"/>
      <c r="G179" s="160"/>
      <c r="H179" s="159"/>
      <c r="I179" s="160"/>
      <c r="J179" s="159"/>
      <c r="K179" s="160"/>
      <c r="L179" s="159"/>
      <c r="M179" s="160"/>
      <c r="N179" s="159"/>
      <c r="O179" s="160"/>
      <c r="P179" s="159"/>
      <c r="Q179" s="160"/>
      <c r="R179" s="159"/>
      <c r="S179" s="160"/>
      <c r="T179" s="159"/>
      <c r="U179" s="160"/>
      <c r="V179" s="159"/>
      <c r="W179" s="160"/>
      <c r="X179" s="159"/>
      <c r="Y179" s="160"/>
      <c r="Z179" s="159"/>
      <c r="AA179" s="158"/>
      <c r="AB179" s="158"/>
      <c r="AC179" s="158"/>
      <c r="AD179" s="158"/>
      <c r="AE179" s="158"/>
      <c r="AF179" s="158"/>
      <c r="AG179" s="158"/>
      <c r="AH179" s="158"/>
      <c r="BC179" s="158"/>
    </row>
    <row r="180" spans="1:55" ht="15.6" x14ac:dyDescent="0.3">
      <c r="B180" s="157" t="s">
        <v>57</v>
      </c>
      <c r="C180" s="83"/>
      <c r="D180" s="82"/>
      <c r="E180" s="83"/>
      <c r="F180" s="82"/>
      <c r="G180" s="83"/>
      <c r="H180" s="82"/>
      <c r="I180" s="83"/>
      <c r="J180" s="82"/>
      <c r="K180" s="83"/>
      <c r="L180" s="82"/>
      <c r="M180" s="83"/>
      <c r="N180" s="82"/>
      <c r="O180" s="83"/>
      <c r="P180" s="82"/>
      <c r="Q180" s="83"/>
      <c r="R180" s="82"/>
      <c r="S180" s="83"/>
      <c r="T180" s="82"/>
      <c r="U180" s="83"/>
      <c r="V180" s="82"/>
      <c r="W180" s="83"/>
      <c r="X180" s="82"/>
      <c r="Y180" s="83"/>
      <c r="Z180" s="82"/>
    </row>
    <row r="181" spans="1:55" x14ac:dyDescent="0.3">
      <c r="A181" s="108"/>
      <c r="B181" s="380" t="s">
        <v>599</v>
      </c>
      <c r="C181" s="143">
        <v>0</v>
      </c>
      <c r="D181" s="385">
        <f>SUM(D182:D189)</f>
        <v>13457.330000000002</v>
      </c>
      <c r="E181" s="143">
        <v>0</v>
      </c>
      <c r="F181" s="385">
        <f>SUM(F182:F189)</f>
        <v>0</v>
      </c>
      <c r="G181" s="143">
        <v>0</v>
      </c>
      <c r="H181" s="385">
        <f>SUM(H182:H189)</f>
        <v>0</v>
      </c>
      <c r="I181" s="143"/>
      <c r="J181" s="385">
        <f>SUM(J182:J189)</f>
        <v>0</v>
      </c>
      <c r="K181" s="143"/>
      <c r="L181" s="385">
        <f>SUM(L182:L189)</f>
        <v>0</v>
      </c>
      <c r="M181" s="143"/>
      <c r="N181" s="385">
        <f>SUM(N182:N189)</f>
        <v>0</v>
      </c>
      <c r="O181" s="143"/>
      <c r="P181" s="385">
        <f>SUM(P182:P189)</f>
        <v>0</v>
      </c>
      <c r="Q181" s="143"/>
      <c r="R181" s="385">
        <f>SUM(R182:R189)</f>
        <v>0</v>
      </c>
      <c r="S181" s="143"/>
      <c r="T181" s="385">
        <f>SUM(T182:T189)</f>
        <v>0</v>
      </c>
      <c r="U181" s="143"/>
      <c r="V181" s="385">
        <f>SUM(V182:V189)</f>
        <v>0</v>
      </c>
      <c r="W181" s="143"/>
      <c r="X181" s="385">
        <f>SUM(X182:X189)</f>
        <v>0</v>
      </c>
      <c r="Y181" s="143"/>
      <c r="Z181" s="385">
        <f>SUM(Z182:Z189)</f>
        <v>0</v>
      </c>
      <c r="AA181" s="387" t="e">
        <v>#REF!</v>
      </c>
      <c r="AB181" s="387" t="e">
        <v>#REF!</v>
      </c>
      <c r="AC181" s="387" t="e">
        <v>#REF!</v>
      </c>
      <c r="AD181" s="387" t="e">
        <v>#REF!</v>
      </c>
      <c r="AE181" s="387" t="e">
        <v>#REF!</v>
      </c>
      <c r="AF181" s="387" t="e">
        <v>#REF!</v>
      </c>
      <c r="AG181" s="387" t="e">
        <v>#REF!</v>
      </c>
      <c r="AH181" s="387" t="e">
        <v>#REF!</v>
      </c>
      <c r="BC181" s="387"/>
    </row>
    <row r="182" spans="1:55" x14ac:dyDescent="0.3">
      <c r="A182" s="108"/>
      <c r="B182" s="142" t="s">
        <v>600</v>
      </c>
      <c r="C182" s="141"/>
      <c r="D182" s="140"/>
      <c r="E182" s="141"/>
      <c r="F182" s="140"/>
      <c r="G182" s="141"/>
      <c r="H182" s="140"/>
      <c r="I182" s="141"/>
      <c r="J182" s="140"/>
      <c r="K182" s="141"/>
      <c r="L182" s="140"/>
      <c r="M182" s="141"/>
      <c r="N182" s="140"/>
      <c r="O182" s="141"/>
      <c r="P182" s="140"/>
      <c r="Q182" s="141"/>
      <c r="R182" s="140"/>
      <c r="S182" s="141"/>
      <c r="T182" s="140"/>
      <c r="U182" s="141"/>
      <c r="V182" s="140"/>
      <c r="W182" s="141"/>
      <c r="X182" s="140"/>
      <c r="Y182" s="141"/>
      <c r="Z182" s="140"/>
      <c r="AA182" s="108"/>
      <c r="AB182" s="108"/>
      <c r="AC182" s="108"/>
      <c r="AD182" s="108"/>
      <c r="AE182" s="108"/>
      <c r="AF182" s="108"/>
      <c r="AG182" s="108"/>
      <c r="AH182" s="108"/>
      <c r="BC182" s="108"/>
    </row>
    <row r="183" spans="1:55" x14ac:dyDescent="0.3">
      <c r="A183" s="156"/>
      <c r="B183" s="138" t="s">
        <v>601</v>
      </c>
      <c r="C183" s="116">
        <f>C181*$A$153</f>
        <v>0</v>
      </c>
      <c r="D183" s="115">
        <v>977.29</v>
      </c>
      <c r="E183" s="116">
        <f>E181*$A$153</f>
        <v>0</v>
      </c>
      <c r="F183" s="115"/>
      <c r="G183" s="116">
        <f>G181*$A$153</f>
        <v>0</v>
      </c>
      <c r="H183" s="115"/>
      <c r="I183" s="116">
        <f>I181*$A$153</f>
        <v>0</v>
      </c>
      <c r="J183" s="115"/>
      <c r="K183" s="116">
        <f>K181*$A$153</f>
        <v>0</v>
      </c>
      <c r="L183" s="115"/>
      <c r="M183" s="116">
        <f>M181*$A$153</f>
        <v>0</v>
      </c>
      <c r="N183" s="115"/>
      <c r="O183" s="116">
        <f>O181*$A$153</f>
        <v>0</v>
      </c>
      <c r="P183" s="115"/>
      <c r="Q183" s="116">
        <f>Q181*$A$153</f>
        <v>0</v>
      </c>
      <c r="R183" s="115"/>
      <c r="S183" s="116">
        <f>S181*$A$153</f>
        <v>0</v>
      </c>
      <c r="T183" s="115"/>
      <c r="U183" s="116">
        <f>U181*$A$153</f>
        <v>0</v>
      </c>
      <c r="V183" s="115"/>
      <c r="W183" s="116"/>
      <c r="X183" s="115"/>
      <c r="Y183" s="116"/>
      <c r="Z183" s="115"/>
      <c r="AA183" s="93" t="e">
        <f t="shared" ref="AA183:AH183" si="171">AA181*$A$83</f>
        <v>#REF!</v>
      </c>
      <c r="AB183" s="93" t="e">
        <f t="shared" si="171"/>
        <v>#REF!</v>
      </c>
      <c r="AC183" s="93" t="e">
        <f t="shared" si="171"/>
        <v>#REF!</v>
      </c>
      <c r="AD183" s="93" t="e">
        <f t="shared" si="171"/>
        <v>#REF!</v>
      </c>
      <c r="AE183" s="93" t="e">
        <f t="shared" si="171"/>
        <v>#REF!</v>
      </c>
      <c r="AF183" s="93" t="e">
        <f t="shared" si="171"/>
        <v>#REF!</v>
      </c>
      <c r="AG183" s="93" t="e">
        <f t="shared" si="171"/>
        <v>#REF!</v>
      </c>
      <c r="AH183" s="93" t="e">
        <f t="shared" si="171"/>
        <v>#REF!</v>
      </c>
      <c r="BC183" s="93"/>
    </row>
    <row r="184" spans="1:55" x14ac:dyDescent="0.3">
      <c r="A184" s="156"/>
      <c r="B184" s="138" t="s">
        <v>602</v>
      </c>
      <c r="C184" s="116">
        <f>C181*$A$154</f>
        <v>0</v>
      </c>
      <c r="D184" s="115"/>
      <c r="E184" s="116">
        <f>E181*$A$154</f>
        <v>0</v>
      </c>
      <c r="F184" s="115"/>
      <c r="G184" s="116">
        <f>G181*$A$154</f>
        <v>0</v>
      </c>
      <c r="H184" s="115"/>
      <c r="I184" s="116">
        <f>I181*$A$154</f>
        <v>0</v>
      </c>
      <c r="J184" s="115"/>
      <c r="K184" s="116">
        <f>K181*$A$154</f>
        <v>0</v>
      </c>
      <c r="L184" s="115"/>
      <c r="M184" s="116">
        <f>M181*$A$154</f>
        <v>0</v>
      </c>
      <c r="N184" s="115"/>
      <c r="O184" s="116">
        <f>O181*$A$154</f>
        <v>0</v>
      </c>
      <c r="P184" s="115"/>
      <c r="Q184" s="116">
        <f>Q181*$A$154</f>
        <v>0</v>
      </c>
      <c r="R184" s="115"/>
      <c r="S184" s="116">
        <f>S181*$A$154</f>
        <v>0</v>
      </c>
      <c r="T184" s="115"/>
      <c r="U184" s="116">
        <f>U181*$A$154</f>
        <v>0</v>
      </c>
      <c r="V184" s="115"/>
      <c r="W184" s="116"/>
      <c r="X184" s="115"/>
      <c r="Y184" s="116"/>
      <c r="Z184" s="115"/>
      <c r="AA184" s="93" t="e">
        <f t="shared" ref="AA184:AH184" si="172">AA181*$A$84</f>
        <v>#REF!</v>
      </c>
      <c r="AB184" s="93" t="e">
        <f t="shared" si="172"/>
        <v>#REF!</v>
      </c>
      <c r="AC184" s="93" t="e">
        <f t="shared" si="172"/>
        <v>#REF!</v>
      </c>
      <c r="AD184" s="93" t="e">
        <f t="shared" si="172"/>
        <v>#REF!</v>
      </c>
      <c r="AE184" s="93" t="e">
        <f t="shared" si="172"/>
        <v>#REF!</v>
      </c>
      <c r="AF184" s="93" t="e">
        <f t="shared" si="172"/>
        <v>#REF!</v>
      </c>
      <c r="AG184" s="93" t="e">
        <f t="shared" si="172"/>
        <v>#REF!</v>
      </c>
      <c r="AH184" s="93" t="e">
        <f t="shared" si="172"/>
        <v>#REF!</v>
      </c>
      <c r="BC184" s="93"/>
    </row>
    <row r="185" spans="1:55" x14ac:dyDescent="0.3">
      <c r="A185" s="156"/>
      <c r="B185" s="138" t="s">
        <v>603</v>
      </c>
      <c r="C185" s="116">
        <f>C181*$A$155</f>
        <v>0</v>
      </c>
      <c r="D185" s="115">
        <v>12480.04</v>
      </c>
      <c r="E185" s="116">
        <f>E181*$A$155</f>
        <v>0</v>
      </c>
      <c r="F185" s="115"/>
      <c r="G185" s="116">
        <f>G181*$A$155</f>
        <v>0</v>
      </c>
      <c r="H185" s="115"/>
      <c r="I185" s="116">
        <f>I181*$A$155</f>
        <v>0</v>
      </c>
      <c r="J185" s="115"/>
      <c r="K185" s="116">
        <f>K181*$A$155</f>
        <v>0</v>
      </c>
      <c r="L185" s="115"/>
      <c r="M185" s="116">
        <f>M181*$A$155</f>
        <v>0</v>
      </c>
      <c r="N185" s="115"/>
      <c r="O185" s="116">
        <f>O181*$A$155</f>
        <v>0</v>
      </c>
      <c r="P185" s="115"/>
      <c r="Q185" s="116">
        <f>Q181*$A$155</f>
        <v>0</v>
      </c>
      <c r="R185" s="115"/>
      <c r="S185" s="116">
        <f>S181*$A$155</f>
        <v>0</v>
      </c>
      <c r="T185" s="115"/>
      <c r="U185" s="116">
        <f>U181*$A$155</f>
        <v>0</v>
      </c>
      <c r="V185" s="115"/>
      <c r="W185" s="116"/>
      <c r="X185" s="115"/>
      <c r="Y185" s="116"/>
      <c r="Z185" s="115"/>
      <c r="AA185" s="93" t="e">
        <f t="shared" ref="AA185:AH185" si="173">AA181*$A$85</f>
        <v>#REF!</v>
      </c>
      <c r="AB185" s="93" t="e">
        <f t="shared" si="173"/>
        <v>#REF!</v>
      </c>
      <c r="AC185" s="93" t="e">
        <f t="shared" si="173"/>
        <v>#REF!</v>
      </c>
      <c r="AD185" s="93" t="e">
        <f t="shared" si="173"/>
        <v>#REF!</v>
      </c>
      <c r="AE185" s="93" t="e">
        <f t="shared" si="173"/>
        <v>#REF!</v>
      </c>
      <c r="AF185" s="93" t="e">
        <f t="shared" si="173"/>
        <v>#REF!</v>
      </c>
      <c r="AG185" s="93" t="e">
        <f t="shared" si="173"/>
        <v>#REF!</v>
      </c>
      <c r="AH185" s="93" t="e">
        <f t="shared" si="173"/>
        <v>#REF!</v>
      </c>
      <c r="BC185" s="93"/>
    </row>
    <row r="186" spans="1:55" x14ac:dyDescent="0.3">
      <c r="A186" s="156"/>
      <c r="B186" s="138" t="s">
        <v>604</v>
      </c>
      <c r="C186" s="116">
        <f>C181*$A$156</f>
        <v>0</v>
      </c>
      <c r="D186" s="115"/>
      <c r="E186" s="116">
        <f>E181*$A$156</f>
        <v>0</v>
      </c>
      <c r="F186" s="115"/>
      <c r="G186" s="116">
        <f>G181*$A$156</f>
        <v>0</v>
      </c>
      <c r="H186" s="115"/>
      <c r="I186" s="116">
        <f>I181*$A$156</f>
        <v>0</v>
      </c>
      <c r="J186" s="115"/>
      <c r="K186" s="116">
        <f>K181*$A$156</f>
        <v>0</v>
      </c>
      <c r="L186" s="115"/>
      <c r="M186" s="116">
        <f>M181*$A$156</f>
        <v>0</v>
      </c>
      <c r="N186" s="115"/>
      <c r="O186" s="116">
        <f>O181*$A$156</f>
        <v>0</v>
      </c>
      <c r="P186" s="115"/>
      <c r="Q186" s="116">
        <f>Q181*$A$156</f>
        <v>0</v>
      </c>
      <c r="R186" s="115"/>
      <c r="S186" s="116">
        <f>S181*$A$156</f>
        <v>0</v>
      </c>
      <c r="T186" s="115"/>
      <c r="U186" s="116">
        <f>U181*$A$156</f>
        <v>0</v>
      </c>
      <c r="V186" s="115"/>
      <c r="W186" s="116"/>
      <c r="X186" s="115"/>
      <c r="Y186" s="116"/>
      <c r="Z186" s="115"/>
      <c r="AA186" s="93" t="e">
        <f t="shared" ref="AA186:AH186" si="174">AA181*$A$86</f>
        <v>#REF!</v>
      </c>
      <c r="AB186" s="93" t="e">
        <f t="shared" si="174"/>
        <v>#REF!</v>
      </c>
      <c r="AC186" s="93" t="e">
        <f t="shared" si="174"/>
        <v>#REF!</v>
      </c>
      <c r="AD186" s="93" t="e">
        <f t="shared" si="174"/>
        <v>#REF!</v>
      </c>
      <c r="AE186" s="93" t="e">
        <f t="shared" si="174"/>
        <v>#REF!</v>
      </c>
      <c r="AF186" s="93" t="e">
        <f t="shared" si="174"/>
        <v>#REF!</v>
      </c>
      <c r="AG186" s="93" t="e">
        <f t="shared" si="174"/>
        <v>#REF!</v>
      </c>
      <c r="AH186" s="93" t="e">
        <f t="shared" si="174"/>
        <v>#REF!</v>
      </c>
      <c r="BC186" s="93"/>
    </row>
    <row r="187" spans="1:55" x14ac:dyDescent="0.3">
      <c r="A187" s="156"/>
      <c r="B187" s="138" t="s">
        <v>605</v>
      </c>
      <c r="C187" s="116">
        <f>C181*$A$157</f>
        <v>0</v>
      </c>
      <c r="D187" s="115"/>
      <c r="E187" s="116">
        <f>E181*$A$157</f>
        <v>0</v>
      </c>
      <c r="F187" s="115"/>
      <c r="G187" s="116">
        <f>G181*$A$157</f>
        <v>0</v>
      </c>
      <c r="H187" s="115"/>
      <c r="I187" s="116">
        <f>I181*$A$157</f>
        <v>0</v>
      </c>
      <c r="J187" s="115"/>
      <c r="K187" s="116">
        <f>K181*$A$157</f>
        <v>0</v>
      </c>
      <c r="L187" s="115"/>
      <c r="M187" s="116">
        <f>M181*$A$157</f>
        <v>0</v>
      </c>
      <c r="N187" s="115"/>
      <c r="O187" s="116">
        <f>O181*$A$157</f>
        <v>0</v>
      </c>
      <c r="P187" s="115"/>
      <c r="Q187" s="116">
        <f>Q181*$A$157</f>
        <v>0</v>
      </c>
      <c r="R187" s="115"/>
      <c r="S187" s="116">
        <f>S181*$A$157</f>
        <v>0</v>
      </c>
      <c r="T187" s="115"/>
      <c r="U187" s="116">
        <f>U181*$A$157</f>
        <v>0</v>
      </c>
      <c r="V187" s="115"/>
      <c r="W187" s="116">
        <f>W181*$A$157</f>
        <v>0</v>
      </c>
      <c r="X187" s="115"/>
      <c r="Y187" s="116">
        <f>Y181*$A$157</f>
        <v>0</v>
      </c>
      <c r="Z187" s="115"/>
      <c r="AA187" s="93" t="e">
        <f t="shared" ref="AA187:AH187" si="175">AA181*$A$87</f>
        <v>#REF!</v>
      </c>
      <c r="AB187" s="93" t="e">
        <f t="shared" si="175"/>
        <v>#REF!</v>
      </c>
      <c r="AC187" s="93" t="e">
        <f t="shared" si="175"/>
        <v>#REF!</v>
      </c>
      <c r="AD187" s="93" t="e">
        <f t="shared" si="175"/>
        <v>#REF!</v>
      </c>
      <c r="AE187" s="93" t="e">
        <f t="shared" si="175"/>
        <v>#REF!</v>
      </c>
      <c r="AF187" s="93" t="e">
        <f t="shared" si="175"/>
        <v>#REF!</v>
      </c>
      <c r="AG187" s="93" t="e">
        <f t="shared" si="175"/>
        <v>#REF!</v>
      </c>
      <c r="AH187" s="93" t="e">
        <f t="shared" si="175"/>
        <v>#REF!</v>
      </c>
      <c r="BC187" s="93"/>
    </row>
    <row r="188" spans="1:55" x14ac:dyDescent="0.3">
      <c r="A188" s="156"/>
      <c r="B188" s="138" t="s">
        <v>606</v>
      </c>
      <c r="C188" s="116">
        <f>C181*$A$158</f>
        <v>0</v>
      </c>
      <c r="D188" s="115"/>
      <c r="E188" s="116">
        <f>E181*$A$158</f>
        <v>0</v>
      </c>
      <c r="F188" s="115"/>
      <c r="G188" s="116">
        <f>G181*$A$158</f>
        <v>0</v>
      </c>
      <c r="H188" s="115"/>
      <c r="I188" s="116">
        <f>I181*$A$158</f>
        <v>0</v>
      </c>
      <c r="J188" s="115"/>
      <c r="K188" s="116">
        <f>K181*$A$158</f>
        <v>0</v>
      </c>
      <c r="L188" s="115"/>
      <c r="M188" s="116">
        <f>M181*$A$158</f>
        <v>0</v>
      </c>
      <c r="N188" s="115"/>
      <c r="O188" s="116">
        <f>O181*$A$158</f>
        <v>0</v>
      </c>
      <c r="P188" s="115"/>
      <c r="Q188" s="116">
        <f>Q181*$A$158</f>
        <v>0</v>
      </c>
      <c r="R188" s="115"/>
      <c r="S188" s="116">
        <f>S181*$A$158</f>
        <v>0</v>
      </c>
      <c r="T188" s="115"/>
      <c r="U188" s="116">
        <f>U181*$A$158</f>
        <v>0</v>
      </c>
      <c r="V188" s="115"/>
      <c r="W188" s="116">
        <f>W181*$A$158</f>
        <v>0</v>
      </c>
      <c r="X188" s="115"/>
      <c r="Y188" s="116">
        <f>Y181*$A$158</f>
        <v>0</v>
      </c>
      <c r="Z188" s="115"/>
      <c r="AA188" s="93" t="e">
        <f t="shared" ref="AA188:AH188" si="176">AA181*$A$88</f>
        <v>#REF!</v>
      </c>
      <c r="AB188" s="93" t="e">
        <f t="shared" si="176"/>
        <v>#REF!</v>
      </c>
      <c r="AC188" s="93" t="e">
        <f t="shared" si="176"/>
        <v>#REF!</v>
      </c>
      <c r="AD188" s="93" t="e">
        <f t="shared" si="176"/>
        <v>#REF!</v>
      </c>
      <c r="AE188" s="93" t="e">
        <f t="shared" si="176"/>
        <v>#REF!</v>
      </c>
      <c r="AF188" s="93" t="e">
        <f t="shared" si="176"/>
        <v>#REF!</v>
      </c>
      <c r="AG188" s="93" t="e">
        <f t="shared" si="176"/>
        <v>#REF!</v>
      </c>
      <c r="AH188" s="93" t="e">
        <f t="shared" si="176"/>
        <v>#REF!</v>
      </c>
      <c r="BC188" s="93"/>
    </row>
    <row r="189" spans="1:55" x14ac:dyDescent="0.3">
      <c r="A189" s="156"/>
      <c r="B189" s="138" t="s">
        <v>607</v>
      </c>
      <c r="C189" s="116">
        <f>C181*$A$159</f>
        <v>0</v>
      </c>
      <c r="D189" s="115"/>
      <c r="E189" s="116">
        <f>E181*$A$159</f>
        <v>0</v>
      </c>
      <c r="F189" s="115"/>
      <c r="G189" s="116">
        <f>G181*$A$159</f>
        <v>0</v>
      </c>
      <c r="H189" s="115"/>
      <c r="I189" s="116">
        <f>I181*$A$159</f>
        <v>0</v>
      </c>
      <c r="J189" s="115"/>
      <c r="K189" s="116">
        <f>K181*$A$159</f>
        <v>0</v>
      </c>
      <c r="L189" s="115"/>
      <c r="M189" s="116">
        <f>M181*$A$159</f>
        <v>0</v>
      </c>
      <c r="N189" s="115"/>
      <c r="O189" s="116">
        <f>O181*$A$159</f>
        <v>0</v>
      </c>
      <c r="P189" s="115"/>
      <c r="Q189" s="116">
        <f>Q181*$A$159</f>
        <v>0</v>
      </c>
      <c r="R189" s="115"/>
      <c r="S189" s="116">
        <f>S181*$A$159</f>
        <v>0</v>
      </c>
      <c r="T189" s="115"/>
      <c r="U189" s="116">
        <f>U181*$A$159</f>
        <v>0</v>
      </c>
      <c r="V189" s="115"/>
      <c r="W189" s="116">
        <f>W181*$A$159</f>
        <v>0</v>
      </c>
      <c r="X189" s="115"/>
      <c r="Y189" s="116">
        <f>Y181*$A$159</f>
        <v>0</v>
      </c>
      <c r="Z189" s="115"/>
      <c r="AA189" s="93" t="e">
        <f t="shared" ref="AA189:AH189" si="177">AA181*$A$89</f>
        <v>#REF!</v>
      </c>
      <c r="AB189" s="93" t="e">
        <f t="shared" si="177"/>
        <v>#REF!</v>
      </c>
      <c r="AC189" s="93" t="e">
        <f t="shared" si="177"/>
        <v>#REF!</v>
      </c>
      <c r="AD189" s="93" t="e">
        <f t="shared" si="177"/>
        <v>#REF!</v>
      </c>
      <c r="AE189" s="93" t="e">
        <f t="shared" si="177"/>
        <v>#REF!</v>
      </c>
      <c r="AF189" s="93" t="e">
        <f t="shared" si="177"/>
        <v>#REF!</v>
      </c>
      <c r="AG189" s="93" t="e">
        <f t="shared" si="177"/>
        <v>#REF!</v>
      </c>
      <c r="AH189" s="93" t="e">
        <f t="shared" si="177"/>
        <v>#REF!</v>
      </c>
      <c r="BC189" s="93"/>
    </row>
    <row r="190" spans="1:55" x14ac:dyDescent="0.3">
      <c r="A190" s="108"/>
      <c r="B190" s="137" t="s">
        <v>608</v>
      </c>
      <c r="C190" s="136"/>
      <c r="D190" s="135"/>
      <c r="E190" s="136"/>
      <c r="F190" s="135"/>
      <c r="G190" s="136"/>
      <c r="H190" s="135"/>
      <c r="I190" s="136"/>
      <c r="J190" s="135"/>
      <c r="K190" s="136"/>
      <c r="L190" s="135"/>
      <c r="M190" s="136"/>
      <c r="N190" s="135"/>
      <c r="O190" s="136"/>
      <c r="P190" s="135"/>
      <c r="Q190" s="136"/>
      <c r="R190" s="135"/>
      <c r="S190" s="136"/>
      <c r="T190" s="135"/>
      <c r="U190" s="136"/>
      <c r="V190" s="135"/>
      <c r="W190" s="136"/>
      <c r="X190" s="135"/>
      <c r="Y190" s="136"/>
      <c r="Z190" s="135"/>
      <c r="AA190" s="132"/>
      <c r="AB190" s="132"/>
      <c r="AC190" s="132"/>
      <c r="AD190" s="132"/>
      <c r="AE190" s="132"/>
      <c r="AF190" s="132"/>
      <c r="AG190" s="132"/>
      <c r="AH190" s="132"/>
      <c r="BC190" s="132"/>
    </row>
    <row r="191" spans="1:55" x14ac:dyDescent="0.3">
      <c r="A191" s="125">
        <v>0</v>
      </c>
      <c r="B191" s="131" t="s">
        <v>609</v>
      </c>
      <c r="C191" s="130">
        <f>C181*$A$91</f>
        <v>0</v>
      </c>
      <c r="D191" s="129"/>
      <c r="E191" s="130">
        <f>E181*$A$91</f>
        <v>0</v>
      </c>
      <c r="F191" s="129"/>
      <c r="G191" s="130">
        <f>G181*$A$91</f>
        <v>0</v>
      </c>
      <c r="H191" s="129"/>
      <c r="I191" s="130">
        <f>I181*$A$91</f>
        <v>0</v>
      </c>
      <c r="J191" s="129"/>
      <c r="K191" s="130">
        <f>K181*$A$91</f>
        <v>0</v>
      </c>
      <c r="L191" s="129"/>
      <c r="M191" s="130">
        <f>M181*$A$91</f>
        <v>0</v>
      </c>
      <c r="N191" s="129"/>
      <c r="O191" s="130">
        <f>O181*$A$91</f>
        <v>0</v>
      </c>
      <c r="P191" s="129"/>
      <c r="Q191" s="130">
        <f>Q181*$A$91</f>
        <v>0</v>
      </c>
      <c r="R191" s="129"/>
      <c r="S191" s="130">
        <f>S181*$A$91</f>
        <v>0</v>
      </c>
      <c r="T191" s="129"/>
      <c r="U191" s="130">
        <f>U181*$A$91</f>
        <v>0</v>
      </c>
      <c r="V191" s="129"/>
      <c r="W191" s="130">
        <f>W181*$A$91</f>
        <v>0</v>
      </c>
      <c r="X191" s="129"/>
      <c r="Y191" s="130">
        <f>Y181*$A$91</f>
        <v>0</v>
      </c>
      <c r="Z191" s="129"/>
      <c r="AA191" s="126" t="e">
        <f t="shared" ref="AA191:AH191" si="178">AA181*$A$91</f>
        <v>#REF!</v>
      </c>
      <c r="AB191" s="126" t="e">
        <f t="shared" si="178"/>
        <v>#REF!</v>
      </c>
      <c r="AC191" s="126" t="e">
        <f t="shared" si="178"/>
        <v>#REF!</v>
      </c>
      <c r="AD191" s="126" t="e">
        <f t="shared" si="178"/>
        <v>#REF!</v>
      </c>
      <c r="AE191" s="126" t="e">
        <f t="shared" si="178"/>
        <v>#REF!</v>
      </c>
      <c r="AF191" s="126" t="e">
        <f t="shared" si="178"/>
        <v>#REF!</v>
      </c>
      <c r="AG191" s="126" t="e">
        <f t="shared" si="178"/>
        <v>#REF!</v>
      </c>
      <c r="AH191" s="126" t="e">
        <f t="shared" si="178"/>
        <v>#REF!</v>
      </c>
      <c r="BC191" s="126"/>
    </row>
    <row r="192" spans="1:55" x14ac:dyDescent="0.3">
      <c r="A192" s="125">
        <v>2.5000000000000001E-2</v>
      </c>
      <c r="B192" s="124" t="s">
        <v>610</v>
      </c>
      <c r="C192" s="112">
        <f>((C183+C184+C189)*3%)+(C185*1.75%)+((C187+C188+C186)*2%)</f>
        <v>0</v>
      </c>
      <c r="D192" s="111">
        <f>D181*$A$192</f>
        <v>336.43325000000004</v>
      </c>
      <c r="E192" s="112">
        <f>((E183+E184+E189)*3%)+(E185*1.75%)+((E187+E188+E186)*2%)</f>
        <v>0</v>
      </c>
      <c r="F192" s="111">
        <f>F181*$A$192</f>
        <v>0</v>
      </c>
      <c r="G192" s="112">
        <f>((G183+G184+G189)*3%)+(G185*1.75%)+((G187+G188+G186)*2%)</f>
        <v>0</v>
      </c>
      <c r="H192" s="111">
        <f>H181*$A$192</f>
        <v>0</v>
      </c>
      <c r="I192" s="112">
        <f>((I183+I184+I189)*3%)+(I185*1.75%)+((I187+I188+I186)*2%)</f>
        <v>0</v>
      </c>
      <c r="J192" s="111">
        <f>J181*$A$192</f>
        <v>0</v>
      </c>
      <c r="K192" s="112">
        <f>((K183+K184+K189)*3%)+(K185*1.75%)+((K187+K188+K186)*2%)</f>
        <v>0</v>
      </c>
      <c r="L192" s="111">
        <f>L181*$A$192</f>
        <v>0</v>
      </c>
      <c r="M192" s="112">
        <f>((M183+M184+M189)*3%)+(M185*1.75%)+((M187+M188+M186)*2%)</f>
        <v>0</v>
      </c>
      <c r="N192" s="111">
        <f>N181*$A$192</f>
        <v>0</v>
      </c>
      <c r="O192" s="112">
        <f>((O183+O184+O189)*3%)+(O185*1.75%)+((O187+O188+O186)*2%)</f>
        <v>0</v>
      </c>
      <c r="P192" s="111">
        <f>P181*$A$192</f>
        <v>0</v>
      </c>
      <c r="Q192" s="112">
        <f>((Q183+Q184+Q189)*3%)+(Q185*1.75%)+((Q187+Q188+Q186)*2%)</f>
        <v>0</v>
      </c>
      <c r="R192" s="111">
        <f>R181*$A$192</f>
        <v>0</v>
      </c>
      <c r="S192" s="112">
        <f>((S183+S184+S189)*3%)+(S185*1.75%)+((S187+S188+S186)*2%)</f>
        <v>0</v>
      </c>
      <c r="T192" s="111">
        <f>T181*$A$192</f>
        <v>0</v>
      </c>
      <c r="U192" s="112">
        <f>((U183+U184+U189)*3%)+(U185*1.75%)+((U187+U188+U186)*2%)</f>
        <v>0</v>
      </c>
      <c r="V192" s="111">
        <f>V181*$A$192</f>
        <v>0</v>
      </c>
      <c r="W192" s="112">
        <f>((W183+W184+W189)*3%)+(W185*1.75%)+((W187+W188+W186)*2%)</f>
        <v>0</v>
      </c>
      <c r="X192" s="111">
        <f>X181*$A$192</f>
        <v>0</v>
      </c>
      <c r="Y192" s="112">
        <f>((Y183+Y184+Y189)*3%)+(Y185*1.75%)+((Y187+Y188+Y186)*2%)</f>
        <v>0</v>
      </c>
      <c r="Z192" s="111">
        <f>Z181*$A$192</f>
        <v>0</v>
      </c>
      <c r="AA192" s="109" t="e">
        <f t="shared" ref="AA192:AH192" si="179">AA181*$A$92</f>
        <v>#REF!</v>
      </c>
      <c r="AB192" s="109" t="e">
        <f t="shared" si="179"/>
        <v>#REF!</v>
      </c>
      <c r="AC192" s="109" t="e">
        <f t="shared" si="179"/>
        <v>#REF!</v>
      </c>
      <c r="AD192" s="109" t="e">
        <f t="shared" si="179"/>
        <v>#REF!</v>
      </c>
      <c r="AE192" s="109" t="e">
        <f t="shared" si="179"/>
        <v>#REF!</v>
      </c>
      <c r="AF192" s="109" t="e">
        <f t="shared" si="179"/>
        <v>#REF!</v>
      </c>
      <c r="AG192" s="109" t="e">
        <f t="shared" si="179"/>
        <v>#REF!</v>
      </c>
      <c r="AH192" s="109" t="e">
        <f t="shared" si="179"/>
        <v>#REF!</v>
      </c>
      <c r="BC192" s="109"/>
    </row>
    <row r="193" spans="1:55" x14ac:dyDescent="0.3">
      <c r="A193" s="108"/>
      <c r="B193" s="380" t="s">
        <v>611</v>
      </c>
      <c r="C193" s="123">
        <f t="shared" ref="C193:AH193" si="180">SUM(C191:C192)</f>
        <v>0</v>
      </c>
      <c r="D193" s="388">
        <f t="shared" si="180"/>
        <v>336.43325000000004</v>
      </c>
      <c r="E193" s="123">
        <f t="shared" si="180"/>
        <v>0</v>
      </c>
      <c r="F193" s="388">
        <f t="shared" si="180"/>
        <v>0</v>
      </c>
      <c r="G193" s="123">
        <f t="shared" si="180"/>
        <v>0</v>
      </c>
      <c r="H193" s="388">
        <f t="shared" si="180"/>
        <v>0</v>
      </c>
      <c r="I193" s="123">
        <f t="shared" si="180"/>
        <v>0</v>
      </c>
      <c r="J193" s="388">
        <f t="shared" si="180"/>
        <v>0</v>
      </c>
      <c r="K193" s="123">
        <f t="shared" si="180"/>
        <v>0</v>
      </c>
      <c r="L193" s="388">
        <f t="shared" si="180"/>
        <v>0</v>
      </c>
      <c r="M193" s="123">
        <f t="shared" si="180"/>
        <v>0</v>
      </c>
      <c r="N193" s="388">
        <f t="shared" si="180"/>
        <v>0</v>
      </c>
      <c r="O193" s="123">
        <f t="shared" si="180"/>
        <v>0</v>
      </c>
      <c r="P193" s="388">
        <f t="shared" si="180"/>
        <v>0</v>
      </c>
      <c r="Q193" s="123">
        <f t="shared" si="180"/>
        <v>0</v>
      </c>
      <c r="R193" s="388">
        <f t="shared" si="180"/>
        <v>0</v>
      </c>
      <c r="S193" s="123">
        <f t="shared" si="180"/>
        <v>0</v>
      </c>
      <c r="T193" s="388">
        <f t="shared" si="180"/>
        <v>0</v>
      </c>
      <c r="U193" s="123">
        <f t="shared" si="180"/>
        <v>0</v>
      </c>
      <c r="V193" s="388">
        <f t="shared" si="180"/>
        <v>0</v>
      </c>
      <c r="W193" s="123">
        <f t="shared" si="180"/>
        <v>0</v>
      </c>
      <c r="X193" s="388">
        <f t="shared" si="180"/>
        <v>0</v>
      </c>
      <c r="Y193" s="123">
        <f t="shared" si="180"/>
        <v>0</v>
      </c>
      <c r="Z193" s="388">
        <f t="shared" si="180"/>
        <v>0</v>
      </c>
      <c r="AA193" s="389" t="e">
        <f t="shared" si="180"/>
        <v>#REF!</v>
      </c>
      <c r="AB193" s="389" t="e">
        <f t="shared" si="180"/>
        <v>#REF!</v>
      </c>
      <c r="AC193" s="389" t="e">
        <f t="shared" si="180"/>
        <v>#REF!</v>
      </c>
      <c r="AD193" s="389" t="e">
        <f t="shared" si="180"/>
        <v>#REF!</v>
      </c>
      <c r="AE193" s="389" t="e">
        <f t="shared" si="180"/>
        <v>#REF!</v>
      </c>
      <c r="AF193" s="389" t="e">
        <f t="shared" si="180"/>
        <v>#REF!</v>
      </c>
      <c r="AG193" s="389" t="e">
        <f t="shared" si="180"/>
        <v>#REF!</v>
      </c>
      <c r="AH193" s="389" t="e">
        <f t="shared" si="180"/>
        <v>#REF!</v>
      </c>
      <c r="BC193" s="389"/>
    </row>
    <row r="194" spans="1:55" ht="18.600000000000001" thickBot="1" x14ac:dyDescent="0.4">
      <c r="C194" s="151" t="s">
        <v>621</v>
      </c>
      <c r="D194" s="150"/>
      <c r="E194" s="151"/>
      <c r="F194" s="150"/>
      <c r="G194" s="151"/>
      <c r="H194" s="150"/>
      <c r="I194" s="151"/>
      <c r="J194" s="150"/>
      <c r="K194" s="83"/>
      <c r="L194" s="82"/>
      <c r="M194" s="83"/>
      <c r="N194" s="82"/>
      <c r="O194" s="83"/>
      <c r="P194" s="82"/>
      <c r="Q194" s="83"/>
      <c r="R194" s="82"/>
      <c r="S194" s="83"/>
      <c r="T194" s="82"/>
      <c r="U194" s="83"/>
      <c r="V194" s="82"/>
      <c r="W194" s="83"/>
      <c r="X194" s="82"/>
      <c r="Y194" s="83"/>
      <c r="Z194" s="82"/>
    </row>
    <row r="195" spans="1:55" ht="15" thickTop="1" x14ac:dyDescent="0.3">
      <c r="B195" s="381"/>
      <c r="C195" s="149">
        <v>45292</v>
      </c>
      <c r="D195" s="148">
        <v>45292</v>
      </c>
      <c r="E195" s="149">
        <v>45323</v>
      </c>
      <c r="F195" s="148">
        <v>45323</v>
      </c>
      <c r="G195" s="149">
        <v>45352</v>
      </c>
      <c r="H195" s="148">
        <v>45352</v>
      </c>
      <c r="I195" s="149">
        <v>45383</v>
      </c>
      <c r="J195" s="148">
        <v>45383</v>
      </c>
      <c r="K195" s="149">
        <v>45413</v>
      </c>
      <c r="L195" s="148">
        <v>45413</v>
      </c>
      <c r="M195" s="149">
        <v>45444</v>
      </c>
      <c r="N195" s="148">
        <v>45444</v>
      </c>
      <c r="O195" s="149">
        <v>45474</v>
      </c>
      <c r="P195" s="148">
        <v>45474</v>
      </c>
      <c r="Q195" s="149">
        <v>45505</v>
      </c>
      <c r="R195" s="148">
        <v>45505</v>
      </c>
      <c r="S195" s="149">
        <v>45536</v>
      </c>
      <c r="T195" s="148">
        <v>45536</v>
      </c>
      <c r="U195" s="149">
        <v>45566</v>
      </c>
      <c r="V195" s="148">
        <v>45566</v>
      </c>
      <c r="W195" s="149">
        <v>45597</v>
      </c>
      <c r="X195" s="148">
        <v>45597</v>
      </c>
      <c r="Y195" s="149">
        <v>45627</v>
      </c>
      <c r="Z195" s="148">
        <v>45627</v>
      </c>
      <c r="AA195" s="382">
        <f t="shared" ref="AA195:AH195" si="181">AA4</f>
        <v>44927</v>
      </c>
      <c r="AB195" s="382">
        <f t="shared" si="181"/>
        <v>44958</v>
      </c>
      <c r="AC195" s="382">
        <f t="shared" si="181"/>
        <v>44986</v>
      </c>
      <c r="AD195" s="382">
        <f t="shared" si="181"/>
        <v>45017</v>
      </c>
      <c r="AE195" s="382">
        <f t="shared" si="181"/>
        <v>45047</v>
      </c>
      <c r="AF195" s="382">
        <f t="shared" si="181"/>
        <v>45078</v>
      </c>
      <c r="AG195" s="382">
        <f t="shared" si="181"/>
        <v>45108</v>
      </c>
      <c r="AH195" s="382">
        <f t="shared" si="181"/>
        <v>45139</v>
      </c>
      <c r="AI195" s="382"/>
      <c r="AJ195" s="381" t="s">
        <v>579</v>
      </c>
      <c r="AK195" s="381" t="s">
        <v>580</v>
      </c>
      <c r="AL195" s="381" t="s">
        <v>581</v>
      </c>
      <c r="AM195" s="381" t="s">
        <v>582</v>
      </c>
      <c r="AN195" s="381" t="s">
        <v>583</v>
      </c>
      <c r="AO195" s="383" t="s">
        <v>584</v>
      </c>
      <c r="AP195" s="381" t="s">
        <v>585</v>
      </c>
      <c r="AQ195" s="381" t="s">
        <v>586</v>
      </c>
      <c r="AR195" s="381" t="s">
        <v>587</v>
      </c>
      <c r="AS195" s="381" t="s">
        <v>588</v>
      </c>
      <c r="AT195" s="381" t="s">
        <v>589</v>
      </c>
      <c r="AU195" s="381" t="s">
        <v>590</v>
      </c>
      <c r="AV195" s="381" t="s">
        <v>591</v>
      </c>
      <c r="AW195" s="381" t="s">
        <v>592</v>
      </c>
      <c r="AX195" s="381" t="s">
        <v>593</v>
      </c>
      <c r="AY195" s="381" t="s">
        <v>594</v>
      </c>
      <c r="AZ195" s="381" t="s">
        <v>595</v>
      </c>
      <c r="BA195" s="381" t="s">
        <v>596</v>
      </c>
      <c r="BB195" s="383" t="s">
        <v>597</v>
      </c>
      <c r="BC195" s="382"/>
    </row>
    <row r="196" spans="1:55" s="108" customFormat="1" ht="12" x14ac:dyDescent="0.25">
      <c r="B196" s="113" t="str">
        <f>B5</f>
        <v>Salvadorcard/SSA</v>
      </c>
      <c r="C196" s="146"/>
      <c r="D196" s="145"/>
      <c r="E196" s="146"/>
      <c r="F196" s="145"/>
      <c r="G196" s="146"/>
      <c r="H196" s="145"/>
      <c r="I196" s="146"/>
      <c r="J196" s="145"/>
      <c r="K196" s="146"/>
      <c r="L196" s="145"/>
      <c r="M196" s="146"/>
      <c r="N196" s="145"/>
      <c r="O196" s="146"/>
      <c r="P196" s="145"/>
      <c r="Q196" s="146"/>
      <c r="R196" s="145"/>
      <c r="S196" s="146"/>
      <c r="T196" s="145"/>
      <c r="U196" s="146"/>
      <c r="V196" s="145"/>
      <c r="W196" s="146"/>
      <c r="X196" s="145"/>
      <c r="Y196" s="146"/>
      <c r="Z196" s="145"/>
      <c r="AA196" s="144">
        <v>0</v>
      </c>
      <c r="AB196" s="144">
        <v>0</v>
      </c>
      <c r="AC196" s="144">
        <v>0</v>
      </c>
      <c r="AD196" s="144">
        <v>0</v>
      </c>
      <c r="AE196" s="144">
        <v>0</v>
      </c>
      <c r="AF196" s="144">
        <v>0</v>
      </c>
      <c r="AG196" s="144">
        <v>0</v>
      </c>
      <c r="AH196" s="144">
        <v>0</v>
      </c>
      <c r="AI196" s="144"/>
      <c r="AJ196" s="144">
        <v>0</v>
      </c>
      <c r="AK196" s="144">
        <v>0</v>
      </c>
      <c r="AL196" s="144">
        <v>0</v>
      </c>
      <c r="AM196" s="144">
        <v>0</v>
      </c>
      <c r="AN196" s="144">
        <v>0</v>
      </c>
      <c r="AO196" s="391">
        <v>0</v>
      </c>
      <c r="AP196" s="144">
        <v>0</v>
      </c>
      <c r="AQ196" s="144">
        <v>0</v>
      </c>
      <c r="AR196" s="144">
        <v>0</v>
      </c>
      <c r="AS196" s="144">
        <v>0</v>
      </c>
      <c r="AT196" s="144">
        <v>0</v>
      </c>
      <c r="AU196" s="144">
        <v>0</v>
      </c>
      <c r="AV196" s="144">
        <v>0</v>
      </c>
      <c r="AW196" s="144">
        <v>0</v>
      </c>
      <c r="AX196" s="144">
        <v>0</v>
      </c>
      <c r="AY196" s="144">
        <v>0</v>
      </c>
      <c r="AZ196" s="144">
        <v>0</v>
      </c>
      <c r="BA196" s="144">
        <v>0</v>
      </c>
      <c r="BB196" s="391">
        <v>0</v>
      </c>
      <c r="BC196" s="144"/>
    </row>
    <row r="197" spans="1:55" s="108" customFormat="1" ht="12" x14ac:dyDescent="0.25">
      <c r="B197" s="91" t="str">
        <f>B20</f>
        <v>Metropasse/SSA</v>
      </c>
      <c r="C197" s="90"/>
      <c r="D197" s="89"/>
      <c r="E197" s="90"/>
      <c r="F197" s="89"/>
      <c r="G197" s="90"/>
      <c r="H197" s="89"/>
      <c r="I197" s="90"/>
      <c r="J197" s="89"/>
      <c r="K197" s="90"/>
      <c r="L197" s="89"/>
      <c r="M197" s="90"/>
      <c r="N197" s="89"/>
      <c r="O197" s="90"/>
      <c r="P197" s="89"/>
      <c r="Q197" s="90"/>
      <c r="R197" s="89"/>
      <c r="S197" s="90"/>
      <c r="T197" s="89"/>
      <c r="U197" s="90"/>
      <c r="V197" s="89"/>
      <c r="W197" s="90"/>
      <c r="X197" s="89"/>
      <c r="Y197" s="90"/>
      <c r="Z197" s="89"/>
      <c r="AA197" s="96">
        <v>0</v>
      </c>
      <c r="AB197" s="96">
        <v>0</v>
      </c>
      <c r="AC197" s="96">
        <v>0</v>
      </c>
      <c r="AD197" s="96">
        <v>0</v>
      </c>
      <c r="AE197" s="96">
        <v>0</v>
      </c>
      <c r="AF197" s="96">
        <v>0</v>
      </c>
      <c r="AG197" s="96">
        <v>0</v>
      </c>
      <c r="AH197" s="96">
        <v>0</v>
      </c>
      <c r="AI197" s="96"/>
      <c r="AJ197" s="96" t="e">
        <v>#REF!</v>
      </c>
      <c r="AK197" s="96" t="e">
        <v>#REF!</v>
      </c>
      <c r="AL197" s="96" t="e">
        <v>#REF!</v>
      </c>
      <c r="AM197" s="96" t="e">
        <v>#REF!</v>
      </c>
      <c r="AN197" s="96" t="e">
        <v>#REF!</v>
      </c>
      <c r="AO197" s="147" t="e">
        <v>#REF!</v>
      </c>
      <c r="AP197" s="96" t="e">
        <v>#REF!</v>
      </c>
      <c r="AQ197" s="96" t="e">
        <v>#REF!</v>
      </c>
      <c r="AR197" s="96" t="e">
        <v>#REF!</v>
      </c>
      <c r="AS197" s="96" t="e">
        <v>#REF!</v>
      </c>
      <c r="AT197" s="96" t="e">
        <v>#REF!</v>
      </c>
      <c r="AU197" s="96" t="e">
        <v>#REF!</v>
      </c>
      <c r="AV197" s="96" t="e">
        <v>#REF!</v>
      </c>
      <c r="AW197" s="96" t="e">
        <v>#REF!</v>
      </c>
      <c r="AX197" s="96" t="e">
        <v>#REF!</v>
      </c>
      <c r="AY197" s="96" t="e">
        <v>#REF!</v>
      </c>
      <c r="AZ197" s="96" t="e">
        <v>#REF!</v>
      </c>
      <c r="BA197" s="96" t="e">
        <v>#REF!</v>
      </c>
      <c r="BB197" s="147" t="e">
        <v>#REF!</v>
      </c>
      <c r="BC197" s="96"/>
    </row>
    <row r="198" spans="1:55" s="108" customFormat="1" ht="12" x14ac:dyDescent="0.25">
      <c r="B198" s="91" t="str">
        <f>B35</f>
        <v>GVBus/VIX</v>
      </c>
      <c r="C198" s="90"/>
      <c r="D198" s="89"/>
      <c r="E198" s="90"/>
      <c r="F198" s="89"/>
      <c r="G198" s="90"/>
      <c r="H198" s="89"/>
      <c r="I198" s="90"/>
      <c r="J198" s="89"/>
      <c r="K198" s="90"/>
      <c r="L198" s="89"/>
      <c r="M198" s="90"/>
      <c r="N198" s="89"/>
      <c r="O198" s="90"/>
      <c r="P198" s="89"/>
      <c r="Q198" s="90"/>
      <c r="R198" s="89"/>
      <c r="S198" s="90"/>
      <c r="T198" s="89"/>
      <c r="U198" s="90"/>
      <c r="V198" s="89"/>
      <c r="W198" s="90"/>
      <c r="X198" s="89"/>
      <c r="Y198" s="90"/>
      <c r="Z198" s="89"/>
      <c r="AA198" s="96">
        <v>0</v>
      </c>
      <c r="AB198" s="96">
        <v>0</v>
      </c>
      <c r="AC198" s="96">
        <v>0</v>
      </c>
      <c r="AD198" s="96">
        <v>0</v>
      </c>
      <c r="AE198" s="96">
        <v>0</v>
      </c>
      <c r="AF198" s="96">
        <v>0</v>
      </c>
      <c r="AG198" s="96">
        <v>0</v>
      </c>
      <c r="AH198" s="96">
        <v>0</v>
      </c>
      <c r="AI198" s="96"/>
      <c r="AJ198" s="96">
        <v>0</v>
      </c>
      <c r="AK198" s="96">
        <v>0</v>
      </c>
      <c r="AL198" s="96">
        <v>0</v>
      </c>
      <c r="AM198" s="96">
        <v>0</v>
      </c>
      <c r="AN198" s="96">
        <v>0</v>
      </c>
      <c r="AO198" s="147">
        <v>0</v>
      </c>
      <c r="AP198" s="96">
        <v>0</v>
      </c>
      <c r="AQ198" s="96">
        <v>0</v>
      </c>
      <c r="AR198" s="96">
        <v>0</v>
      </c>
      <c r="AS198" s="96">
        <v>0</v>
      </c>
      <c r="AT198" s="96">
        <v>0</v>
      </c>
      <c r="AU198" s="96">
        <v>0</v>
      </c>
      <c r="AV198" s="96">
        <v>0</v>
      </c>
      <c r="AW198" s="96">
        <v>0</v>
      </c>
      <c r="AX198" s="96">
        <v>0</v>
      </c>
      <c r="AY198" s="96">
        <v>0</v>
      </c>
      <c r="AZ198" s="96">
        <v>0</v>
      </c>
      <c r="BA198" s="96">
        <v>0</v>
      </c>
      <c r="BB198" s="147">
        <v>0</v>
      </c>
      <c r="BC198" s="96"/>
    </row>
    <row r="199" spans="1:55" s="108" customFormat="1" ht="12" x14ac:dyDescent="0.25">
      <c r="B199" s="91" t="str">
        <f>B50</f>
        <v>Teu/POA</v>
      </c>
      <c r="C199" s="90"/>
      <c r="D199" s="89"/>
      <c r="E199" s="90"/>
      <c r="F199" s="89"/>
      <c r="G199" s="90"/>
      <c r="H199" s="89"/>
      <c r="I199" s="90"/>
      <c r="J199" s="89"/>
      <c r="K199" s="90"/>
      <c r="L199" s="89"/>
      <c r="M199" s="90"/>
      <c r="N199" s="89"/>
      <c r="O199" s="90"/>
      <c r="P199" s="89"/>
      <c r="Q199" s="90"/>
      <c r="R199" s="89"/>
      <c r="S199" s="90"/>
      <c r="T199" s="89"/>
      <c r="U199" s="90"/>
      <c r="V199" s="89"/>
      <c r="W199" s="90"/>
      <c r="X199" s="89"/>
      <c r="Y199" s="90"/>
      <c r="Z199" s="89"/>
      <c r="AA199" s="96">
        <v>0</v>
      </c>
      <c r="AB199" s="96">
        <v>0</v>
      </c>
      <c r="AC199" s="96">
        <v>0</v>
      </c>
      <c r="AD199" s="96">
        <v>0</v>
      </c>
      <c r="AE199" s="96">
        <v>0</v>
      </c>
      <c r="AF199" s="96">
        <v>0</v>
      </c>
      <c r="AG199" s="96">
        <v>0</v>
      </c>
      <c r="AH199" s="96">
        <v>0</v>
      </c>
      <c r="AI199" s="96"/>
      <c r="AJ199" s="96">
        <v>0</v>
      </c>
      <c r="AK199" s="96">
        <v>0</v>
      </c>
      <c r="AL199" s="96">
        <v>0</v>
      </c>
      <c r="AM199" s="96">
        <v>0</v>
      </c>
      <c r="AN199" s="96">
        <v>0</v>
      </c>
      <c r="AO199" s="147">
        <v>0</v>
      </c>
      <c r="AP199" s="96">
        <v>0</v>
      </c>
      <c r="AQ199" s="96">
        <v>0</v>
      </c>
      <c r="AR199" s="96">
        <v>0</v>
      </c>
      <c r="AS199" s="96">
        <v>0</v>
      </c>
      <c r="AT199" s="96">
        <v>0</v>
      </c>
      <c r="AU199" s="96">
        <v>0</v>
      </c>
      <c r="AV199" s="96">
        <v>0</v>
      </c>
      <c r="AW199" s="96">
        <v>0</v>
      </c>
      <c r="AX199" s="96">
        <v>0</v>
      </c>
      <c r="AY199" s="96">
        <v>0</v>
      </c>
      <c r="AZ199" s="96">
        <v>0</v>
      </c>
      <c r="BA199" s="96">
        <v>0</v>
      </c>
      <c r="BB199" s="147">
        <v>0</v>
      </c>
      <c r="BC199" s="96"/>
    </row>
    <row r="200" spans="1:55" s="108" customFormat="1" ht="12" x14ac:dyDescent="0.25">
      <c r="B200" s="91" t="str">
        <f>B65</f>
        <v>Transfácil/BHZ</v>
      </c>
      <c r="C200" s="90"/>
      <c r="D200" s="89"/>
      <c r="E200" s="90"/>
      <c r="F200" s="89"/>
      <c r="G200" s="90"/>
      <c r="H200" s="89"/>
      <c r="I200" s="90"/>
      <c r="J200" s="89"/>
      <c r="K200" s="90"/>
      <c r="L200" s="89"/>
      <c r="M200" s="90"/>
      <c r="N200" s="89"/>
      <c r="O200" s="90"/>
      <c r="P200" s="89"/>
      <c r="Q200" s="90"/>
      <c r="R200" s="89"/>
      <c r="S200" s="90"/>
      <c r="T200" s="89"/>
      <c r="U200" s="90"/>
      <c r="V200" s="89"/>
      <c r="W200" s="90"/>
      <c r="X200" s="89"/>
      <c r="Y200" s="90"/>
      <c r="Z200" s="89"/>
      <c r="AA200" s="96">
        <v>0</v>
      </c>
      <c r="AB200" s="96">
        <v>0</v>
      </c>
      <c r="AC200" s="96">
        <v>0</v>
      </c>
      <c r="AD200" s="96">
        <v>0</v>
      </c>
      <c r="AE200" s="96">
        <v>0</v>
      </c>
      <c r="AF200" s="96">
        <v>0</v>
      </c>
      <c r="AG200" s="96">
        <v>0</v>
      </c>
      <c r="AH200" s="96">
        <v>0</v>
      </c>
      <c r="AI200" s="96"/>
      <c r="AJ200" s="96">
        <v>0</v>
      </c>
      <c r="AK200" s="96">
        <v>0</v>
      </c>
      <c r="AL200" s="96">
        <v>0</v>
      </c>
      <c r="AM200" s="96">
        <v>0</v>
      </c>
      <c r="AN200" s="96">
        <v>0</v>
      </c>
      <c r="AO200" s="147">
        <v>0</v>
      </c>
      <c r="AP200" s="96">
        <v>0</v>
      </c>
      <c r="AQ200" s="96">
        <v>0</v>
      </c>
      <c r="AR200" s="96">
        <v>0</v>
      </c>
      <c r="AS200" s="96">
        <v>0</v>
      </c>
      <c r="AT200" s="96">
        <v>0</v>
      </c>
      <c r="AU200" s="96">
        <v>0</v>
      </c>
      <c r="AV200" s="96">
        <v>0</v>
      </c>
      <c r="AW200" s="96">
        <v>0</v>
      </c>
      <c r="AX200" s="96">
        <v>0</v>
      </c>
      <c r="AY200" s="96">
        <v>0</v>
      </c>
      <c r="AZ200" s="96">
        <v>0</v>
      </c>
      <c r="BA200" s="96">
        <v>0</v>
      </c>
      <c r="BB200" s="147">
        <v>0</v>
      </c>
      <c r="BC200" s="96"/>
    </row>
    <row r="201" spans="1:55" s="108" customFormat="1" ht="12" x14ac:dyDescent="0.25">
      <c r="B201" s="113" t="str">
        <f>B80</f>
        <v>Biguaçú-Jotur-Santa Terezinha/Florianopolis</v>
      </c>
      <c r="C201" s="146"/>
      <c r="D201" s="145"/>
      <c r="E201" s="146"/>
      <c r="F201" s="145"/>
      <c r="G201" s="146"/>
      <c r="H201" s="145"/>
      <c r="I201" s="146"/>
      <c r="J201" s="145"/>
      <c r="K201" s="146"/>
      <c r="L201" s="145"/>
      <c r="M201" s="146"/>
      <c r="N201" s="145"/>
      <c r="O201" s="146"/>
      <c r="P201" s="145"/>
      <c r="Q201" s="146"/>
      <c r="R201" s="145"/>
      <c r="S201" s="146"/>
      <c r="T201" s="145"/>
      <c r="U201" s="146"/>
      <c r="V201" s="145"/>
      <c r="W201" s="146"/>
      <c r="X201" s="145"/>
      <c r="Y201" s="146"/>
      <c r="Z201" s="145"/>
      <c r="AA201" s="144">
        <v>0</v>
      </c>
      <c r="AB201" s="144">
        <v>0</v>
      </c>
      <c r="AC201" s="144">
        <v>0</v>
      </c>
      <c r="AD201" s="144">
        <v>0</v>
      </c>
      <c r="AE201" s="144">
        <v>0</v>
      </c>
      <c r="AF201" s="144">
        <v>0</v>
      </c>
      <c r="AG201" s="144">
        <v>0</v>
      </c>
      <c r="AH201" s="144">
        <v>0</v>
      </c>
      <c r="AI201" s="144"/>
      <c r="AJ201" s="144">
        <v>0</v>
      </c>
      <c r="AK201" s="144">
        <v>0</v>
      </c>
      <c r="AL201" s="144">
        <v>0</v>
      </c>
      <c r="AM201" s="144">
        <v>0</v>
      </c>
      <c r="AN201" s="144">
        <v>0</v>
      </c>
      <c r="AO201" s="206">
        <v>0</v>
      </c>
      <c r="AP201" s="144">
        <v>0</v>
      </c>
      <c r="AQ201" s="144">
        <v>0</v>
      </c>
      <c r="AR201" s="144">
        <v>0</v>
      </c>
      <c r="AS201" s="144">
        <v>0</v>
      </c>
      <c r="AT201" s="144">
        <v>0</v>
      </c>
      <c r="AU201" s="144">
        <v>0</v>
      </c>
      <c r="AV201" s="144">
        <v>0</v>
      </c>
      <c r="AW201" s="144">
        <v>0</v>
      </c>
      <c r="AX201" s="144">
        <v>0</v>
      </c>
      <c r="AY201" s="144">
        <v>0</v>
      </c>
      <c r="AZ201" s="144">
        <v>0</v>
      </c>
      <c r="BA201" s="144">
        <v>0</v>
      </c>
      <c r="BB201" s="206">
        <v>0</v>
      </c>
      <c r="BC201" s="144"/>
    </row>
    <row r="202" spans="1:55" s="108" customFormat="1" ht="12" x14ac:dyDescent="0.25">
      <c r="B202" s="91" t="str">
        <f>B94</f>
        <v>Via Ouro/Nova Lima</v>
      </c>
      <c r="C202" s="90"/>
      <c r="D202" s="89"/>
      <c r="E202" s="90"/>
      <c r="F202" s="89"/>
      <c r="G202" s="90"/>
      <c r="H202" s="89"/>
      <c r="I202" s="90"/>
      <c r="J202" s="89"/>
      <c r="K202" s="90"/>
      <c r="L202" s="89"/>
      <c r="M202" s="90"/>
      <c r="N202" s="89"/>
      <c r="O202" s="90"/>
      <c r="P202" s="89"/>
      <c r="Q202" s="90"/>
      <c r="R202" s="89"/>
      <c r="S202" s="90"/>
      <c r="T202" s="89"/>
      <c r="U202" s="90"/>
      <c r="V202" s="89"/>
      <c r="W202" s="90"/>
      <c r="X202" s="89"/>
      <c r="Y202" s="90"/>
      <c r="Z202" s="89"/>
      <c r="AA202" s="96"/>
      <c r="AB202" s="96"/>
      <c r="AC202" s="96"/>
      <c r="AD202" s="96"/>
      <c r="AE202" s="96"/>
      <c r="AF202" s="96"/>
      <c r="AG202" s="96"/>
      <c r="AH202" s="96"/>
      <c r="AI202" s="144"/>
      <c r="AJ202" s="144"/>
      <c r="AK202" s="144"/>
      <c r="AL202" s="144"/>
      <c r="AM202" s="144"/>
      <c r="AN202" s="144"/>
      <c r="AO202" s="206"/>
      <c r="AP202" s="144"/>
      <c r="AQ202" s="144"/>
      <c r="AR202" s="144"/>
      <c r="AS202" s="144"/>
      <c r="AT202" s="144"/>
      <c r="AU202" s="144"/>
      <c r="AV202" s="144"/>
      <c r="AW202" s="144"/>
      <c r="AX202" s="144"/>
      <c r="AY202" s="144"/>
      <c r="AZ202" s="144"/>
      <c r="BA202" s="144"/>
      <c r="BB202" s="206"/>
      <c r="BC202" s="96"/>
    </row>
    <row r="203" spans="1:55" s="108" customFormat="1" ht="12" x14ac:dyDescent="0.25">
      <c r="B203" s="113" t="str">
        <f>B150</f>
        <v>Alagoinhas</v>
      </c>
      <c r="C203" s="146"/>
      <c r="D203" s="145"/>
      <c r="E203" s="146"/>
      <c r="F203" s="145"/>
      <c r="G203" s="146"/>
      <c r="H203" s="145"/>
      <c r="I203" s="146"/>
      <c r="J203" s="145"/>
      <c r="K203" s="146"/>
      <c r="L203" s="145"/>
      <c r="M203" s="146"/>
      <c r="N203" s="145"/>
      <c r="O203" s="146"/>
      <c r="P203" s="145"/>
      <c r="Q203" s="146"/>
      <c r="R203" s="145"/>
      <c r="S203" s="146"/>
      <c r="T203" s="145"/>
      <c r="U203" s="146"/>
      <c r="V203" s="145"/>
      <c r="W203" s="146"/>
      <c r="X203" s="145"/>
      <c r="Y203" s="146"/>
      <c r="Z203" s="145"/>
      <c r="AA203" s="144"/>
      <c r="AB203" s="144"/>
      <c r="AC203" s="144"/>
      <c r="AD203" s="144"/>
      <c r="AE203" s="144"/>
      <c r="AF203" s="144"/>
      <c r="AG203" s="144"/>
      <c r="AH203" s="144"/>
      <c r="AI203" s="144"/>
      <c r="AJ203" s="144"/>
      <c r="AK203" s="144"/>
      <c r="AL203" s="144"/>
      <c r="AM203" s="144"/>
      <c r="AN203" s="144"/>
      <c r="AO203" s="206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  <c r="AZ203" s="144"/>
      <c r="BA203" s="144"/>
      <c r="BB203" s="206"/>
      <c r="BC203" s="144"/>
    </row>
    <row r="204" spans="1:55" x14ac:dyDescent="0.3">
      <c r="B204" s="380" t="s">
        <v>599</v>
      </c>
      <c r="C204" s="143">
        <f>SUM(C196:C203)</f>
        <v>0</v>
      </c>
      <c r="D204" s="385">
        <f>SUM(D205:D212)</f>
        <v>0</v>
      </c>
      <c r="E204" s="143">
        <f>SUM(E196:E203)</f>
        <v>0</v>
      </c>
      <c r="F204" s="385">
        <f>F206+F208+F207+F209+F210+F211+F212</f>
        <v>0</v>
      </c>
      <c r="G204" s="143">
        <f>SUM(G196:G203)</f>
        <v>0</v>
      </c>
      <c r="H204" s="385">
        <f>H206+H208+H207+H209+H210+H211+H212</f>
        <v>0</v>
      </c>
      <c r="I204" s="143">
        <f>SUM(I196:I203)</f>
        <v>0</v>
      </c>
      <c r="J204" s="385">
        <f>J206+J208+J207+J209+J210+J211+J212</f>
        <v>0</v>
      </c>
      <c r="K204" s="143">
        <f>SUM(K196:K203)</f>
        <v>0</v>
      </c>
      <c r="L204" s="385">
        <f>L206+L208+L207+L209+L210+L211+L212</f>
        <v>0</v>
      </c>
      <c r="M204" s="143">
        <f>SUM(M196:M203)</f>
        <v>0</v>
      </c>
      <c r="N204" s="385">
        <f>N206+N208+N207+N209+N210+N211+N212</f>
        <v>0</v>
      </c>
      <c r="O204" s="143">
        <f>SUM(O196:O203)</f>
        <v>0</v>
      </c>
      <c r="P204" s="385">
        <f>P206+P208+P207+P209+P210+P211+P212</f>
        <v>0</v>
      </c>
      <c r="Q204" s="143">
        <f>SUM(Q196:Q203)</f>
        <v>0</v>
      </c>
      <c r="R204" s="385">
        <f>R206+R208+R207+R209+R210+R211+R212</f>
        <v>0</v>
      </c>
      <c r="S204" s="143">
        <f>SUM(S196:S203)</f>
        <v>0</v>
      </c>
      <c r="T204" s="385">
        <f>T206+T208+T207+T209+T210+T211+T212</f>
        <v>0</v>
      </c>
      <c r="U204" s="143">
        <f>SUM(U196:U203)</f>
        <v>0</v>
      </c>
      <c r="V204" s="385">
        <f>V206+V208+V207+V209+V210+V211+V212</f>
        <v>0</v>
      </c>
      <c r="W204" s="143">
        <f>SUM(W196:W203)</f>
        <v>0</v>
      </c>
      <c r="X204" s="385">
        <f>X206+X208+X207+X209+X210+X211+X212</f>
        <v>0</v>
      </c>
      <c r="Y204" s="143">
        <f>SUM(Y196:Y203)</f>
        <v>0</v>
      </c>
      <c r="Z204" s="385">
        <f>Z206+Z208+Z207+Z209+Z210+Z211+Z212</f>
        <v>0</v>
      </c>
      <c r="AA204" s="387">
        <f t="shared" ref="AA204:AH204" si="182">SUM(AA196:AA203)</f>
        <v>0</v>
      </c>
      <c r="AB204" s="387">
        <f t="shared" si="182"/>
        <v>0</v>
      </c>
      <c r="AC204" s="387">
        <f t="shared" si="182"/>
        <v>0</v>
      </c>
      <c r="AD204" s="387">
        <f t="shared" si="182"/>
        <v>0</v>
      </c>
      <c r="AE204" s="387">
        <f t="shared" si="182"/>
        <v>0</v>
      </c>
      <c r="AF204" s="387">
        <f t="shared" si="182"/>
        <v>0</v>
      </c>
      <c r="AG204" s="387">
        <f t="shared" si="182"/>
        <v>0</v>
      </c>
      <c r="AH204" s="387">
        <f t="shared" si="182"/>
        <v>0</v>
      </c>
      <c r="AI204" s="387"/>
      <c r="AJ204" s="387" t="e">
        <f>SUM(AJ196:AJ201)</f>
        <v>#REF!</v>
      </c>
      <c r="AK204" s="387" t="e">
        <f>SUM(AK196:AK201)</f>
        <v>#REF!</v>
      </c>
      <c r="AL204" s="387" t="e">
        <f>SUM(AL196:AL201)</f>
        <v>#REF!</v>
      </c>
      <c r="AM204" s="387" t="e">
        <f>SUM(AM196:AM201)</f>
        <v>#REF!</v>
      </c>
      <c r="AN204" s="387" t="e">
        <f>SUM(AN196:AN201)</f>
        <v>#REF!</v>
      </c>
      <c r="AO204" s="386" t="e">
        <f>SUM(AB204:AN204)</f>
        <v>#REF!</v>
      </c>
      <c r="AP204" s="387" t="e">
        <f t="shared" ref="AP204:BA204" si="183">SUM(AP196:AP201)</f>
        <v>#REF!</v>
      </c>
      <c r="AQ204" s="387" t="e">
        <f t="shared" si="183"/>
        <v>#REF!</v>
      </c>
      <c r="AR204" s="387" t="e">
        <f t="shared" si="183"/>
        <v>#REF!</v>
      </c>
      <c r="AS204" s="387" t="e">
        <f t="shared" si="183"/>
        <v>#REF!</v>
      </c>
      <c r="AT204" s="387" t="e">
        <f t="shared" si="183"/>
        <v>#REF!</v>
      </c>
      <c r="AU204" s="387" t="e">
        <f t="shared" si="183"/>
        <v>#REF!</v>
      </c>
      <c r="AV204" s="387" t="e">
        <f t="shared" si="183"/>
        <v>#REF!</v>
      </c>
      <c r="AW204" s="387" t="e">
        <f t="shared" si="183"/>
        <v>#REF!</v>
      </c>
      <c r="AX204" s="387" t="e">
        <f t="shared" si="183"/>
        <v>#REF!</v>
      </c>
      <c r="AY204" s="387" t="e">
        <f t="shared" si="183"/>
        <v>#REF!</v>
      </c>
      <c r="AZ204" s="387" t="e">
        <f t="shared" si="183"/>
        <v>#REF!</v>
      </c>
      <c r="BA204" s="387" t="e">
        <f t="shared" si="183"/>
        <v>#REF!</v>
      </c>
      <c r="BB204" s="386" t="e">
        <f>SUM(AP204:BA204)</f>
        <v>#REF!</v>
      </c>
      <c r="BC204" s="387"/>
    </row>
    <row r="205" spans="1:55" x14ac:dyDescent="0.3">
      <c r="A205" s="108"/>
      <c r="B205" s="142" t="s">
        <v>600</v>
      </c>
      <c r="C205" s="141"/>
      <c r="D205" s="140"/>
      <c r="E205" s="141"/>
      <c r="F205" s="140"/>
      <c r="G205" s="141"/>
      <c r="H205" s="140"/>
      <c r="I205" s="141"/>
      <c r="J205" s="140"/>
      <c r="K205" s="141"/>
      <c r="L205" s="140"/>
      <c r="M205" s="141"/>
      <c r="N205" s="140"/>
      <c r="O205" s="141"/>
      <c r="P205" s="140"/>
      <c r="Q205" s="141"/>
      <c r="R205" s="140"/>
      <c r="S205" s="141"/>
      <c r="T205" s="140"/>
      <c r="U205" s="141"/>
      <c r="V205" s="140"/>
      <c r="W205" s="141"/>
      <c r="X205" s="140"/>
      <c r="Y205" s="141"/>
      <c r="Z205" s="140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  <c r="AO205" s="139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39"/>
      <c r="BC205" s="108"/>
    </row>
    <row r="206" spans="1:55" x14ac:dyDescent="0.3">
      <c r="A206" s="156">
        <v>0.25345000000000001</v>
      </c>
      <c r="B206" s="138" t="s">
        <v>601</v>
      </c>
      <c r="C206" s="116">
        <f>C204*$A$206</f>
        <v>0</v>
      </c>
      <c r="D206" s="115"/>
      <c r="E206" s="116"/>
      <c r="F206" s="115"/>
      <c r="G206" s="116"/>
      <c r="H206" s="115"/>
      <c r="I206" s="116"/>
      <c r="J206" s="115"/>
      <c r="K206" s="116"/>
      <c r="L206" s="115"/>
      <c r="M206" s="116"/>
      <c r="N206" s="115"/>
      <c r="O206" s="116"/>
      <c r="P206" s="115"/>
      <c r="Q206" s="116"/>
      <c r="R206" s="115"/>
      <c r="S206" s="116"/>
      <c r="T206" s="115"/>
      <c r="U206" s="116"/>
      <c r="V206" s="115"/>
      <c r="W206" s="116"/>
      <c r="X206" s="115"/>
      <c r="Y206" s="116"/>
      <c r="Z206" s="115"/>
      <c r="AA206" s="93">
        <f t="shared" ref="AA206:AH206" si="184">AA204*$A$206</f>
        <v>0</v>
      </c>
      <c r="AB206" s="93">
        <f t="shared" si="184"/>
        <v>0</v>
      </c>
      <c r="AC206" s="93">
        <f t="shared" si="184"/>
        <v>0</v>
      </c>
      <c r="AD206" s="93">
        <f t="shared" si="184"/>
        <v>0</v>
      </c>
      <c r="AE206" s="93">
        <f t="shared" si="184"/>
        <v>0</v>
      </c>
      <c r="AF206" s="93">
        <f t="shared" si="184"/>
        <v>0</v>
      </c>
      <c r="AG206" s="93">
        <f t="shared" si="184"/>
        <v>0</v>
      </c>
      <c r="AH206" s="93">
        <f t="shared" si="184"/>
        <v>0</v>
      </c>
      <c r="AI206" s="93"/>
      <c r="AJ206" s="93" t="e">
        <f>AJ204*$A$206</f>
        <v>#REF!</v>
      </c>
      <c r="AK206" s="93" t="e">
        <f>AK204*$A$206</f>
        <v>#REF!</v>
      </c>
      <c r="AL206" s="93" t="e">
        <f>AL204*$A$206</f>
        <v>#REF!</v>
      </c>
      <c r="AM206" s="93" t="e">
        <f>AM204*$A$206</f>
        <v>#REF!</v>
      </c>
      <c r="AN206" s="93" t="e">
        <f>AN204*$A$206</f>
        <v>#REF!</v>
      </c>
      <c r="AO206" s="114" t="e">
        <f t="shared" ref="AO206:AO212" si="185">SUM(AB206:AN206)</f>
        <v>#REF!</v>
      </c>
      <c r="AP206" s="93" t="e">
        <f t="shared" ref="AP206:BA206" si="186">AP204*$A$206</f>
        <v>#REF!</v>
      </c>
      <c r="AQ206" s="93" t="e">
        <f t="shared" si="186"/>
        <v>#REF!</v>
      </c>
      <c r="AR206" s="93" t="e">
        <f t="shared" si="186"/>
        <v>#REF!</v>
      </c>
      <c r="AS206" s="93" t="e">
        <f t="shared" si="186"/>
        <v>#REF!</v>
      </c>
      <c r="AT206" s="93" t="e">
        <f t="shared" si="186"/>
        <v>#REF!</v>
      </c>
      <c r="AU206" s="93" t="e">
        <f t="shared" si="186"/>
        <v>#REF!</v>
      </c>
      <c r="AV206" s="93" t="e">
        <f t="shared" si="186"/>
        <v>#REF!</v>
      </c>
      <c r="AW206" s="93" t="e">
        <f t="shared" si="186"/>
        <v>#REF!</v>
      </c>
      <c r="AX206" s="93" t="e">
        <f t="shared" si="186"/>
        <v>#REF!</v>
      </c>
      <c r="AY206" s="93" t="e">
        <f t="shared" si="186"/>
        <v>#REF!</v>
      </c>
      <c r="AZ206" s="93" t="e">
        <f t="shared" si="186"/>
        <v>#REF!</v>
      </c>
      <c r="BA206" s="93" t="e">
        <f t="shared" si="186"/>
        <v>#REF!</v>
      </c>
      <c r="BB206" s="114" t="e">
        <f t="shared" ref="BB206:BB212" si="187">SUM(AP206:BA206)</f>
        <v>#REF!</v>
      </c>
      <c r="BC206" s="93"/>
    </row>
    <row r="207" spans="1:55" x14ac:dyDescent="0.3">
      <c r="A207" s="156">
        <v>0</v>
      </c>
      <c r="B207" s="138" t="s">
        <v>602</v>
      </c>
      <c r="C207" s="116">
        <f>C204*$A$207</f>
        <v>0</v>
      </c>
      <c r="D207" s="115"/>
      <c r="E207" s="116"/>
      <c r="F207" s="115"/>
      <c r="G207" s="116"/>
      <c r="H207" s="115"/>
      <c r="I207" s="116"/>
      <c r="J207" s="115"/>
      <c r="K207" s="116"/>
      <c r="L207" s="115"/>
      <c r="M207" s="116"/>
      <c r="N207" s="115"/>
      <c r="O207" s="116"/>
      <c r="P207" s="115"/>
      <c r="Q207" s="116"/>
      <c r="R207" s="115"/>
      <c r="S207" s="116"/>
      <c r="T207" s="115"/>
      <c r="U207" s="116"/>
      <c r="V207" s="115"/>
      <c r="W207" s="116"/>
      <c r="X207" s="115"/>
      <c r="Y207" s="116"/>
      <c r="Z207" s="115"/>
      <c r="AA207" s="93">
        <f t="shared" ref="AA207:AH207" si="188">AA204*$A$207</f>
        <v>0</v>
      </c>
      <c r="AB207" s="93">
        <f t="shared" si="188"/>
        <v>0</v>
      </c>
      <c r="AC207" s="93">
        <f t="shared" si="188"/>
        <v>0</v>
      </c>
      <c r="AD207" s="93">
        <f t="shared" si="188"/>
        <v>0</v>
      </c>
      <c r="AE207" s="93">
        <f t="shared" si="188"/>
        <v>0</v>
      </c>
      <c r="AF207" s="93">
        <f t="shared" si="188"/>
        <v>0</v>
      </c>
      <c r="AG207" s="93">
        <f t="shared" si="188"/>
        <v>0</v>
      </c>
      <c r="AH207" s="93">
        <f t="shared" si="188"/>
        <v>0</v>
      </c>
      <c r="AI207" s="93"/>
      <c r="AJ207" s="93" t="e">
        <f>AJ204*$A$207</f>
        <v>#REF!</v>
      </c>
      <c r="AK207" s="93" t="e">
        <f>AK204*$A$207</f>
        <v>#REF!</v>
      </c>
      <c r="AL207" s="93" t="e">
        <f>AL204*$A$207</f>
        <v>#REF!</v>
      </c>
      <c r="AM207" s="93" t="e">
        <f>AM204*$A$207</f>
        <v>#REF!</v>
      </c>
      <c r="AN207" s="93" t="e">
        <f>AN204*$A$207</f>
        <v>#REF!</v>
      </c>
      <c r="AO207" s="114" t="e">
        <f t="shared" si="185"/>
        <v>#REF!</v>
      </c>
      <c r="AP207" s="93" t="e">
        <f t="shared" ref="AP207:BA207" si="189">AP204*$A$207</f>
        <v>#REF!</v>
      </c>
      <c r="AQ207" s="93" t="e">
        <f t="shared" si="189"/>
        <v>#REF!</v>
      </c>
      <c r="AR207" s="93" t="e">
        <f t="shared" si="189"/>
        <v>#REF!</v>
      </c>
      <c r="AS207" s="93" t="e">
        <f t="shared" si="189"/>
        <v>#REF!</v>
      </c>
      <c r="AT207" s="93" t="e">
        <f t="shared" si="189"/>
        <v>#REF!</v>
      </c>
      <c r="AU207" s="93" t="e">
        <f t="shared" si="189"/>
        <v>#REF!</v>
      </c>
      <c r="AV207" s="93" t="e">
        <f t="shared" si="189"/>
        <v>#REF!</v>
      </c>
      <c r="AW207" s="93" t="e">
        <f t="shared" si="189"/>
        <v>#REF!</v>
      </c>
      <c r="AX207" s="93" t="e">
        <f t="shared" si="189"/>
        <v>#REF!</v>
      </c>
      <c r="AY207" s="93" t="e">
        <f t="shared" si="189"/>
        <v>#REF!</v>
      </c>
      <c r="AZ207" s="93" t="e">
        <f t="shared" si="189"/>
        <v>#REF!</v>
      </c>
      <c r="BA207" s="93" t="e">
        <f t="shared" si="189"/>
        <v>#REF!</v>
      </c>
      <c r="BB207" s="114" t="e">
        <f t="shared" si="187"/>
        <v>#REF!</v>
      </c>
      <c r="BC207" s="93"/>
    </row>
    <row r="208" spans="1:55" x14ac:dyDescent="0.3">
      <c r="A208" s="156">
        <f>71.058%+0.015%</f>
        <v>0.71073000000000008</v>
      </c>
      <c r="B208" s="138" t="s">
        <v>603</v>
      </c>
      <c r="C208" s="116">
        <f>C204*$A$208</f>
        <v>0</v>
      </c>
      <c r="D208" s="115"/>
      <c r="E208" s="116"/>
      <c r="F208" s="115"/>
      <c r="G208" s="116"/>
      <c r="H208" s="115"/>
      <c r="I208" s="116"/>
      <c r="J208" s="115"/>
      <c r="K208" s="116"/>
      <c r="L208" s="115"/>
      <c r="M208" s="116"/>
      <c r="N208" s="115"/>
      <c r="O208" s="116"/>
      <c r="P208" s="115"/>
      <c r="Q208" s="116"/>
      <c r="R208" s="115"/>
      <c r="S208" s="116"/>
      <c r="T208" s="115"/>
      <c r="U208" s="116"/>
      <c r="V208" s="115"/>
      <c r="W208" s="116"/>
      <c r="X208" s="115"/>
      <c r="Y208" s="116"/>
      <c r="Z208" s="115"/>
      <c r="AA208" s="93">
        <f t="shared" ref="AA208:AH208" si="190">AA204*$A$208</f>
        <v>0</v>
      </c>
      <c r="AB208" s="93">
        <f t="shared" si="190"/>
        <v>0</v>
      </c>
      <c r="AC208" s="93">
        <f t="shared" si="190"/>
        <v>0</v>
      </c>
      <c r="AD208" s="93">
        <f t="shared" si="190"/>
        <v>0</v>
      </c>
      <c r="AE208" s="93">
        <f t="shared" si="190"/>
        <v>0</v>
      </c>
      <c r="AF208" s="93">
        <f t="shared" si="190"/>
        <v>0</v>
      </c>
      <c r="AG208" s="93">
        <f t="shared" si="190"/>
        <v>0</v>
      </c>
      <c r="AH208" s="93">
        <f t="shared" si="190"/>
        <v>0</v>
      </c>
      <c r="AI208" s="93"/>
      <c r="AJ208" s="93" t="e">
        <f>AJ204*$A$208</f>
        <v>#REF!</v>
      </c>
      <c r="AK208" s="93" t="e">
        <f>AK204*$A$208</f>
        <v>#REF!</v>
      </c>
      <c r="AL208" s="93" t="e">
        <f>AL204*$A$208</f>
        <v>#REF!</v>
      </c>
      <c r="AM208" s="93" t="e">
        <f>AM204*$A$208</f>
        <v>#REF!</v>
      </c>
      <c r="AN208" s="93" t="e">
        <f>AN204*$A$208</f>
        <v>#REF!</v>
      </c>
      <c r="AO208" s="114" t="e">
        <f t="shared" si="185"/>
        <v>#REF!</v>
      </c>
      <c r="AP208" s="93" t="e">
        <f t="shared" ref="AP208:BA208" si="191">AP204*$A$208</f>
        <v>#REF!</v>
      </c>
      <c r="AQ208" s="93" t="e">
        <f t="shared" si="191"/>
        <v>#REF!</v>
      </c>
      <c r="AR208" s="93" t="e">
        <f t="shared" si="191"/>
        <v>#REF!</v>
      </c>
      <c r="AS208" s="93" t="e">
        <f t="shared" si="191"/>
        <v>#REF!</v>
      </c>
      <c r="AT208" s="93" t="e">
        <f t="shared" si="191"/>
        <v>#REF!</v>
      </c>
      <c r="AU208" s="93" t="e">
        <f t="shared" si="191"/>
        <v>#REF!</v>
      </c>
      <c r="AV208" s="93" t="e">
        <f t="shared" si="191"/>
        <v>#REF!</v>
      </c>
      <c r="AW208" s="93" t="e">
        <f t="shared" si="191"/>
        <v>#REF!</v>
      </c>
      <c r="AX208" s="93" t="e">
        <f t="shared" si="191"/>
        <v>#REF!</v>
      </c>
      <c r="AY208" s="93" t="e">
        <f t="shared" si="191"/>
        <v>#REF!</v>
      </c>
      <c r="AZ208" s="93" t="e">
        <f t="shared" si="191"/>
        <v>#REF!</v>
      </c>
      <c r="BA208" s="93" t="e">
        <f t="shared" si="191"/>
        <v>#REF!</v>
      </c>
      <c r="BB208" s="114" t="e">
        <f t="shared" si="187"/>
        <v>#REF!</v>
      </c>
      <c r="BC208" s="93"/>
    </row>
    <row r="209" spans="1:61" x14ac:dyDescent="0.3">
      <c r="A209" s="156">
        <v>0</v>
      </c>
      <c r="B209" s="138" t="s">
        <v>604</v>
      </c>
      <c r="C209" s="116">
        <f>C204*$A$209</f>
        <v>0</v>
      </c>
      <c r="D209" s="115"/>
      <c r="E209" s="116"/>
      <c r="F209" s="115"/>
      <c r="G209" s="116"/>
      <c r="H209" s="115"/>
      <c r="I209" s="116"/>
      <c r="J209" s="115"/>
      <c r="K209" s="116"/>
      <c r="L209" s="115"/>
      <c r="M209" s="116"/>
      <c r="N209" s="115"/>
      <c r="O209" s="116"/>
      <c r="P209" s="115"/>
      <c r="Q209" s="116"/>
      <c r="R209" s="115"/>
      <c r="S209" s="116"/>
      <c r="T209" s="115"/>
      <c r="U209" s="116"/>
      <c r="V209" s="115"/>
      <c r="W209" s="116"/>
      <c r="X209" s="115"/>
      <c r="Y209" s="116"/>
      <c r="Z209" s="115"/>
      <c r="AA209" s="93">
        <f t="shared" ref="AA209:AH209" si="192">AA204*$A$209</f>
        <v>0</v>
      </c>
      <c r="AB209" s="93">
        <f t="shared" si="192"/>
        <v>0</v>
      </c>
      <c r="AC209" s="93">
        <f t="shared" si="192"/>
        <v>0</v>
      </c>
      <c r="AD209" s="93">
        <f t="shared" si="192"/>
        <v>0</v>
      </c>
      <c r="AE209" s="93">
        <f t="shared" si="192"/>
        <v>0</v>
      </c>
      <c r="AF209" s="93">
        <f t="shared" si="192"/>
        <v>0</v>
      </c>
      <c r="AG209" s="93">
        <f t="shared" si="192"/>
        <v>0</v>
      </c>
      <c r="AH209" s="93">
        <f t="shared" si="192"/>
        <v>0</v>
      </c>
      <c r="AI209" s="93"/>
      <c r="AJ209" s="93" t="e">
        <f>AJ204*$A$209</f>
        <v>#REF!</v>
      </c>
      <c r="AK209" s="93" t="e">
        <f>AK204*$A$209</f>
        <v>#REF!</v>
      </c>
      <c r="AL209" s="93" t="e">
        <f>AL204*$A$209</f>
        <v>#REF!</v>
      </c>
      <c r="AM209" s="93" t="e">
        <f>AM204*$A$209</f>
        <v>#REF!</v>
      </c>
      <c r="AN209" s="93" t="e">
        <f>AN204*$A$209</f>
        <v>#REF!</v>
      </c>
      <c r="AO209" s="114" t="e">
        <f t="shared" si="185"/>
        <v>#REF!</v>
      </c>
      <c r="AP209" s="93" t="e">
        <f t="shared" ref="AP209:BA209" si="193">AP204*$A$209</f>
        <v>#REF!</v>
      </c>
      <c r="AQ209" s="93" t="e">
        <f t="shared" si="193"/>
        <v>#REF!</v>
      </c>
      <c r="AR209" s="93" t="e">
        <f t="shared" si="193"/>
        <v>#REF!</v>
      </c>
      <c r="AS209" s="93" t="e">
        <f t="shared" si="193"/>
        <v>#REF!</v>
      </c>
      <c r="AT209" s="93" t="e">
        <f t="shared" si="193"/>
        <v>#REF!</v>
      </c>
      <c r="AU209" s="93" t="e">
        <f t="shared" si="193"/>
        <v>#REF!</v>
      </c>
      <c r="AV209" s="93" t="e">
        <f t="shared" si="193"/>
        <v>#REF!</v>
      </c>
      <c r="AW209" s="93" t="e">
        <f t="shared" si="193"/>
        <v>#REF!</v>
      </c>
      <c r="AX209" s="93" t="e">
        <f t="shared" si="193"/>
        <v>#REF!</v>
      </c>
      <c r="AY209" s="93" t="e">
        <f t="shared" si="193"/>
        <v>#REF!</v>
      </c>
      <c r="AZ209" s="93" t="e">
        <f t="shared" si="193"/>
        <v>#REF!</v>
      </c>
      <c r="BA209" s="93" t="e">
        <f t="shared" si="193"/>
        <v>#REF!</v>
      </c>
      <c r="BB209" s="114" t="e">
        <f t="shared" si="187"/>
        <v>#REF!</v>
      </c>
      <c r="BC209" s="93"/>
    </row>
    <row r="210" spans="1:61" x14ac:dyDescent="0.3">
      <c r="A210" s="156">
        <v>1.438E-2</v>
      </c>
      <c r="B210" s="138" t="s">
        <v>605</v>
      </c>
      <c r="C210" s="116">
        <f>C204*$A$210</f>
        <v>0</v>
      </c>
      <c r="D210" s="115"/>
      <c r="E210" s="116"/>
      <c r="F210" s="115"/>
      <c r="G210" s="116"/>
      <c r="H210" s="115"/>
      <c r="I210" s="116"/>
      <c r="J210" s="115"/>
      <c r="K210" s="116"/>
      <c r="L210" s="115"/>
      <c r="M210" s="116"/>
      <c r="N210" s="115"/>
      <c r="O210" s="116"/>
      <c r="P210" s="115"/>
      <c r="Q210" s="116"/>
      <c r="R210" s="115"/>
      <c r="S210" s="116"/>
      <c r="T210" s="115"/>
      <c r="U210" s="116"/>
      <c r="V210" s="115"/>
      <c r="W210" s="116"/>
      <c r="X210" s="115"/>
      <c r="Y210" s="116"/>
      <c r="Z210" s="115"/>
      <c r="AA210" s="93">
        <f t="shared" ref="AA210:AH210" si="194">AA204*$A$210</f>
        <v>0</v>
      </c>
      <c r="AB210" s="93">
        <f t="shared" si="194"/>
        <v>0</v>
      </c>
      <c r="AC210" s="93">
        <f t="shared" si="194"/>
        <v>0</v>
      </c>
      <c r="AD210" s="93">
        <f t="shared" si="194"/>
        <v>0</v>
      </c>
      <c r="AE210" s="93">
        <f t="shared" si="194"/>
        <v>0</v>
      </c>
      <c r="AF210" s="93">
        <f t="shared" si="194"/>
        <v>0</v>
      </c>
      <c r="AG210" s="93">
        <f t="shared" si="194"/>
        <v>0</v>
      </c>
      <c r="AH210" s="93">
        <f t="shared" si="194"/>
        <v>0</v>
      </c>
      <c r="AI210" s="93"/>
      <c r="AJ210" s="93" t="e">
        <f>AJ204*$A$210</f>
        <v>#REF!</v>
      </c>
      <c r="AK210" s="93" t="e">
        <f>AK204*$A$210</f>
        <v>#REF!</v>
      </c>
      <c r="AL210" s="93" t="e">
        <f>AL204*$A$210</f>
        <v>#REF!</v>
      </c>
      <c r="AM210" s="93" t="e">
        <f>AM204*$A$210</f>
        <v>#REF!</v>
      </c>
      <c r="AN210" s="93" t="e">
        <f>AN204*$A$210</f>
        <v>#REF!</v>
      </c>
      <c r="AO210" s="114" t="e">
        <f t="shared" si="185"/>
        <v>#REF!</v>
      </c>
      <c r="AP210" s="93" t="e">
        <f t="shared" ref="AP210:BA210" si="195">AP204*$A$210</f>
        <v>#REF!</v>
      </c>
      <c r="AQ210" s="93" t="e">
        <f t="shared" si="195"/>
        <v>#REF!</v>
      </c>
      <c r="AR210" s="93" t="e">
        <f t="shared" si="195"/>
        <v>#REF!</v>
      </c>
      <c r="AS210" s="93" t="e">
        <f t="shared" si="195"/>
        <v>#REF!</v>
      </c>
      <c r="AT210" s="93" t="e">
        <f t="shared" si="195"/>
        <v>#REF!</v>
      </c>
      <c r="AU210" s="93" t="e">
        <f t="shared" si="195"/>
        <v>#REF!</v>
      </c>
      <c r="AV210" s="93" t="e">
        <f t="shared" si="195"/>
        <v>#REF!</v>
      </c>
      <c r="AW210" s="93" t="e">
        <f t="shared" si="195"/>
        <v>#REF!</v>
      </c>
      <c r="AX210" s="93" t="e">
        <f t="shared" si="195"/>
        <v>#REF!</v>
      </c>
      <c r="AY210" s="93" t="e">
        <f t="shared" si="195"/>
        <v>#REF!</v>
      </c>
      <c r="AZ210" s="93" t="e">
        <f t="shared" si="195"/>
        <v>#REF!</v>
      </c>
      <c r="BA210" s="93" t="e">
        <f t="shared" si="195"/>
        <v>#REF!</v>
      </c>
      <c r="BB210" s="114" t="e">
        <f t="shared" si="187"/>
        <v>#REF!</v>
      </c>
      <c r="BC210" s="93"/>
    </row>
    <row r="211" spans="1:61" x14ac:dyDescent="0.3">
      <c r="A211" s="156">
        <v>6.3000000000000003E-4</v>
      </c>
      <c r="B211" s="138" t="s">
        <v>606</v>
      </c>
      <c r="C211" s="116">
        <f>C204*$A$211</f>
        <v>0</v>
      </c>
      <c r="D211" s="115"/>
      <c r="E211" s="116"/>
      <c r="F211" s="115"/>
      <c r="G211" s="116"/>
      <c r="H211" s="115"/>
      <c r="I211" s="116"/>
      <c r="J211" s="115"/>
      <c r="K211" s="116"/>
      <c r="L211" s="115"/>
      <c r="M211" s="116"/>
      <c r="N211" s="115"/>
      <c r="O211" s="116"/>
      <c r="P211" s="115"/>
      <c r="Q211" s="116"/>
      <c r="R211" s="115"/>
      <c r="S211" s="116"/>
      <c r="T211" s="115"/>
      <c r="U211" s="116"/>
      <c r="V211" s="115"/>
      <c r="W211" s="116"/>
      <c r="X211" s="115"/>
      <c r="Y211" s="116"/>
      <c r="Z211" s="115"/>
      <c r="AA211" s="93">
        <f t="shared" ref="AA211:AH211" si="196">AA204*$A$211</f>
        <v>0</v>
      </c>
      <c r="AB211" s="93">
        <f t="shared" si="196"/>
        <v>0</v>
      </c>
      <c r="AC211" s="93">
        <f t="shared" si="196"/>
        <v>0</v>
      </c>
      <c r="AD211" s="93">
        <f t="shared" si="196"/>
        <v>0</v>
      </c>
      <c r="AE211" s="93">
        <f t="shared" si="196"/>
        <v>0</v>
      </c>
      <c r="AF211" s="93">
        <f t="shared" si="196"/>
        <v>0</v>
      </c>
      <c r="AG211" s="93">
        <f t="shared" si="196"/>
        <v>0</v>
      </c>
      <c r="AH211" s="93">
        <f t="shared" si="196"/>
        <v>0</v>
      </c>
      <c r="AI211" s="93"/>
      <c r="AJ211" s="93" t="e">
        <f>AJ204*$A$211</f>
        <v>#REF!</v>
      </c>
      <c r="AK211" s="93" t="e">
        <f>AK204*$A$211</f>
        <v>#REF!</v>
      </c>
      <c r="AL211" s="93" t="e">
        <f>AL204*$A$211</f>
        <v>#REF!</v>
      </c>
      <c r="AM211" s="93" t="e">
        <f>AM204*$A$211</f>
        <v>#REF!</v>
      </c>
      <c r="AN211" s="93" t="e">
        <f>AN204*$A$211</f>
        <v>#REF!</v>
      </c>
      <c r="AO211" s="114" t="e">
        <f t="shared" si="185"/>
        <v>#REF!</v>
      </c>
      <c r="AP211" s="93" t="e">
        <f t="shared" ref="AP211:BA211" si="197">AP204*$A$211</f>
        <v>#REF!</v>
      </c>
      <c r="AQ211" s="93" t="e">
        <f t="shared" si="197"/>
        <v>#REF!</v>
      </c>
      <c r="AR211" s="93" t="e">
        <f t="shared" si="197"/>
        <v>#REF!</v>
      </c>
      <c r="AS211" s="93" t="e">
        <f t="shared" si="197"/>
        <v>#REF!</v>
      </c>
      <c r="AT211" s="93" t="e">
        <f t="shared" si="197"/>
        <v>#REF!</v>
      </c>
      <c r="AU211" s="93" t="e">
        <f t="shared" si="197"/>
        <v>#REF!</v>
      </c>
      <c r="AV211" s="93" t="e">
        <f t="shared" si="197"/>
        <v>#REF!</v>
      </c>
      <c r="AW211" s="93" t="e">
        <f t="shared" si="197"/>
        <v>#REF!</v>
      </c>
      <c r="AX211" s="93" t="e">
        <f t="shared" si="197"/>
        <v>#REF!</v>
      </c>
      <c r="AY211" s="93" t="e">
        <f t="shared" si="197"/>
        <v>#REF!</v>
      </c>
      <c r="AZ211" s="93" t="e">
        <f t="shared" si="197"/>
        <v>#REF!</v>
      </c>
      <c r="BA211" s="93" t="e">
        <f t="shared" si="197"/>
        <v>#REF!</v>
      </c>
      <c r="BB211" s="114" t="e">
        <f t="shared" si="187"/>
        <v>#REF!</v>
      </c>
      <c r="BC211" s="93"/>
    </row>
    <row r="212" spans="1:61" x14ac:dyDescent="0.3">
      <c r="A212" s="156">
        <v>2.0809999999999999E-2</v>
      </c>
      <c r="B212" s="138" t="s">
        <v>607</v>
      </c>
      <c r="C212" s="116">
        <f>C204*$A$212</f>
        <v>0</v>
      </c>
      <c r="D212" s="115"/>
      <c r="E212" s="116"/>
      <c r="F212" s="115"/>
      <c r="G212" s="116"/>
      <c r="H212" s="115"/>
      <c r="I212" s="116"/>
      <c r="J212" s="115"/>
      <c r="K212" s="116"/>
      <c r="L212" s="115"/>
      <c r="M212" s="116"/>
      <c r="N212" s="115"/>
      <c r="O212" s="116"/>
      <c r="P212" s="115"/>
      <c r="Q212" s="116"/>
      <c r="R212" s="115"/>
      <c r="S212" s="116"/>
      <c r="T212" s="115"/>
      <c r="U212" s="116"/>
      <c r="V212" s="115"/>
      <c r="W212" s="116"/>
      <c r="X212" s="115"/>
      <c r="Y212" s="116"/>
      <c r="Z212" s="115"/>
      <c r="AA212" s="93">
        <f t="shared" ref="AA212:AH212" si="198">AA204*$A$212</f>
        <v>0</v>
      </c>
      <c r="AB212" s="93">
        <f t="shared" si="198"/>
        <v>0</v>
      </c>
      <c r="AC212" s="93">
        <f t="shared" si="198"/>
        <v>0</v>
      </c>
      <c r="AD212" s="93">
        <f t="shared" si="198"/>
        <v>0</v>
      </c>
      <c r="AE212" s="93">
        <f t="shared" si="198"/>
        <v>0</v>
      </c>
      <c r="AF212" s="93">
        <f t="shared" si="198"/>
        <v>0</v>
      </c>
      <c r="AG212" s="93">
        <f t="shared" si="198"/>
        <v>0</v>
      </c>
      <c r="AH212" s="93">
        <f t="shared" si="198"/>
        <v>0</v>
      </c>
      <c r="AI212" s="93"/>
      <c r="AJ212" s="93" t="e">
        <f>AJ204*$A$212</f>
        <v>#REF!</v>
      </c>
      <c r="AK212" s="93" t="e">
        <f>AK204*$A$212</f>
        <v>#REF!</v>
      </c>
      <c r="AL212" s="93" t="e">
        <f>AL204*$A$212</f>
        <v>#REF!</v>
      </c>
      <c r="AM212" s="93" t="e">
        <f>AM204*$A$212</f>
        <v>#REF!</v>
      </c>
      <c r="AN212" s="93" t="e">
        <f>AN204*$A$212</f>
        <v>#REF!</v>
      </c>
      <c r="AO212" s="114" t="e">
        <f t="shared" si="185"/>
        <v>#REF!</v>
      </c>
      <c r="AP212" s="93" t="e">
        <f t="shared" ref="AP212:BA212" si="199">AP204*$A$212</f>
        <v>#REF!</v>
      </c>
      <c r="AQ212" s="93" t="e">
        <f t="shared" si="199"/>
        <v>#REF!</v>
      </c>
      <c r="AR212" s="93" t="e">
        <f t="shared" si="199"/>
        <v>#REF!</v>
      </c>
      <c r="AS212" s="93" t="e">
        <f t="shared" si="199"/>
        <v>#REF!</v>
      </c>
      <c r="AT212" s="93" t="e">
        <f t="shared" si="199"/>
        <v>#REF!</v>
      </c>
      <c r="AU212" s="93" t="e">
        <f t="shared" si="199"/>
        <v>#REF!</v>
      </c>
      <c r="AV212" s="93" t="e">
        <f t="shared" si="199"/>
        <v>#REF!</v>
      </c>
      <c r="AW212" s="93" t="e">
        <f t="shared" si="199"/>
        <v>#REF!</v>
      </c>
      <c r="AX212" s="93" t="e">
        <f t="shared" si="199"/>
        <v>#REF!</v>
      </c>
      <c r="AY212" s="93" t="e">
        <f t="shared" si="199"/>
        <v>#REF!</v>
      </c>
      <c r="AZ212" s="93" t="e">
        <f t="shared" si="199"/>
        <v>#REF!</v>
      </c>
      <c r="BA212" s="93" t="e">
        <f t="shared" si="199"/>
        <v>#REF!</v>
      </c>
      <c r="BB212" s="114" t="e">
        <f t="shared" si="187"/>
        <v>#REF!</v>
      </c>
      <c r="BC212" s="93"/>
    </row>
    <row r="213" spans="1:61" x14ac:dyDescent="0.3">
      <c r="A213" s="108"/>
      <c r="B213" s="137" t="s">
        <v>608</v>
      </c>
      <c r="C213" s="136"/>
      <c r="D213" s="135"/>
      <c r="E213" s="136"/>
      <c r="F213" s="135"/>
      <c r="G213" s="136"/>
      <c r="H213" s="135"/>
      <c r="I213" s="136"/>
      <c r="J213" s="135"/>
      <c r="K213" s="136"/>
      <c r="L213" s="135"/>
      <c r="M213" s="136"/>
      <c r="N213" s="135"/>
      <c r="O213" s="136"/>
      <c r="P213" s="135"/>
      <c r="Q213" s="136"/>
      <c r="R213" s="135"/>
      <c r="S213" s="136"/>
      <c r="T213" s="135"/>
      <c r="U213" s="136"/>
      <c r="V213" s="135"/>
      <c r="W213" s="136"/>
      <c r="X213" s="135"/>
      <c r="Y213" s="136"/>
      <c r="Z213" s="135"/>
      <c r="AA213" s="132"/>
      <c r="AB213" s="132"/>
      <c r="AC213" s="132"/>
      <c r="AD213" s="132"/>
      <c r="AE213" s="132"/>
      <c r="AF213" s="132"/>
      <c r="AG213" s="132"/>
      <c r="AH213" s="132"/>
      <c r="AI213" s="132"/>
      <c r="AJ213" s="132"/>
      <c r="AK213" s="132"/>
      <c r="AL213" s="132"/>
      <c r="AM213" s="132"/>
      <c r="AN213" s="132"/>
      <c r="AO213" s="155"/>
      <c r="AP213" s="132"/>
      <c r="AQ213" s="132"/>
      <c r="AR213" s="132"/>
      <c r="AS213" s="132"/>
      <c r="AT213" s="132"/>
      <c r="AU213" s="132"/>
      <c r="AV213" s="132"/>
      <c r="AW213" s="132"/>
      <c r="AX213" s="132"/>
      <c r="AY213" s="132"/>
      <c r="AZ213" s="132"/>
      <c r="BA213" s="132"/>
      <c r="BB213" s="155"/>
      <c r="BC213" s="132"/>
    </row>
    <row r="214" spans="1:61" x14ac:dyDescent="0.3">
      <c r="A214" s="125">
        <v>0</v>
      </c>
      <c r="B214" s="131" t="s">
        <v>609</v>
      </c>
      <c r="C214" s="130">
        <f>C204*$A$214</f>
        <v>0</v>
      </c>
      <c r="D214" s="129"/>
      <c r="E214" s="130">
        <f>E204*$A$214</f>
        <v>0</v>
      </c>
      <c r="F214" s="129"/>
      <c r="G214" s="130">
        <f>G204*$A$214</f>
        <v>0</v>
      </c>
      <c r="H214" s="129"/>
      <c r="I214" s="130">
        <f>I204*$A$214</f>
        <v>0</v>
      </c>
      <c r="J214" s="129"/>
      <c r="K214" s="130">
        <f>K204*$A$214</f>
        <v>0</v>
      </c>
      <c r="L214" s="129"/>
      <c r="M214" s="130">
        <f>M204*$A$214</f>
        <v>0</v>
      </c>
      <c r="N214" s="129"/>
      <c r="O214" s="130">
        <f>O204*$A$214</f>
        <v>0</v>
      </c>
      <c r="P214" s="129"/>
      <c r="Q214" s="130">
        <f>Q204*$A$214</f>
        <v>0</v>
      </c>
      <c r="R214" s="129"/>
      <c r="S214" s="130">
        <f>S204*$A$214</f>
        <v>0</v>
      </c>
      <c r="T214" s="129"/>
      <c r="U214" s="130">
        <f>U204*$A$214</f>
        <v>0</v>
      </c>
      <c r="V214" s="129"/>
      <c r="W214" s="130">
        <f>W204*$A$214</f>
        <v>0</v>
      </c>
      <c r="X214" s="129"/>
      <c r="Y214" s="130">
        <f>Y204*$A$214</f>
        <v>0</v>
      </c>
      <c r="Z214" s="129"/>
      <c r="AA214" s="126">
        <f t="shared" ref="AA214:AH214" si="200">AA204*$A$214</f>
        <v>0</v>
      </c>
      <c r="AB214" s="126">
        <f t="shared" si="200"/>
        <v>0</v>
      </c>
      <c r="AC214" s="126">
        <f t="shared" si="200"/>
        <v>0</v>
      </c>
      <c r="AD214" s="126">
        <f t="shared" si="200"/>
        <v>0</v>
      </c>
      <c r="AE214" s="126">
        <f t="shared" si="200"/>
        <v>0</v>
      </c>
      <c r="AF214" s="126">
        <f t="shared" si="200"/>
        <v>0</v>
      </c>
      <c r="AG214" s="126">
        <f t="shared" si="200"/>
        <v>0</v>
      </c>
      <c r="AH214" s="126">
        <f t="shared" si="200"/>
        <v>0</v>
      </c>
      <c r="AI214" s="126"/>
      <c r="AJ214" s="126" t="e">
        <f>AJ204*$A$214</f>
        <v>#REF!</v>
      </c>
      <c r="AK214" s="126" t="e">
        <f>AK204*$A$214</f>
        <v>#REF!</v>
      </c>
      <c r="AL214" s="126" t="e">
        <f>AL204*$A$214</f>
        <v>#REF!</v>
      </c>
      <c r="AM214" s="126" t="e">
        <f>AM204*$A$214</f>
        <v>#REF!</v>
      </c>
      <c r="AN214" s="126" t="e">
        <f>AN204*$A$214</f>
        <v>#REF!</v>
      </c>
      <c r="AO214" s="114" t="e">
        <f>SUM(AB214:AN214)</f>
        <v>#REF!</v>
      </c>
      <c r="AP214" s="126" t="e">
        <f t="shared" ref="AP214:BA214" si="201">AP204*$A$214</f>
        <v>#REF!</v>
      </c>
      <c r="AQ214" s="126" t="e">
        <f t="shared" si="201"/>
        <v>#REF!</v>
      </c>
      <c r="AR214" s="126" t="e">
        <f t="shared" si="201"/>
        <v>#REF!</v>
      </c>
      <c r="AS214" s="126" t="e">
        <f t="shared" si="201"/>
        <v>#REF!</v>
      </c>
      <c r="AT214" s="126" t="e">
        <f t="shared" si="201"/>
        <v>#REF!</v>
      </c>
      <c r="AU214" s="126" t="e">
        <f t="shared" si="201"/>
        <v>#REF!</v>
      </c>
      <c r="AV214" s="126" t="e">
        <f t="shared" si="201"/>
        <v>#REF!</v>
      </c>
      <c r="AW214" s="126" t="e">
        <f t="shared" si="201"/>
        <v>#REF!</v>
      </c>
      <c r="AX214" s="126" t="e">
        <f t="shared" si="201"/>
        <v>#REF!</v>
      </c>
      <c r="AY214" s="126" t="e">
        <f t="shared" si="201"/>
        <v>#REF!</v>
      </c>
      <c r="AZ214" s="126" t="e">
        <f t="shared" si="201"/>
        <v>#REF!</v>
      </c>
      <c r="BA214" s="126" t="e">
        <f t="shared" si="201"/>
        <v>#REF!</v>
      </c>
      <c r="BB214" s="114" t="e">
        <f>SUM(AP214:BA214)</f>
        <v>#REF!</v>
      </c>
      <c r="BC214" s="126"/>
    </row>
    <row r="215" spans="1:61" x14ac:dyDescent="0.3">
      <c r="A215" s="125">
        <v>4.2999999999999997E-2</v>
      </c>
      <c r="B215" s="124" t="s">
        <v>610</v>
      </c>
      <c r="C215" s="112">
        <f>C204*$A$215</f>
        <v>0</v>
      </c>
      <c r="D215" s="111"/>
      <c r="E215" s="112"/>
      <c r="F215" s="111"/>
      <c r="G215" s="112"/>
      <c r="H215" s="111"/>
      <c r="I215" s="112"/>
      <c r="J215" s="111"/>
      <c r="K215" s="112"/>
      <c r="L215" s="111"/>
      <c r="M215" s="112"/>
      <c r="N215" s="111"/>
      <c r="O215" s="112"/>
      <c r="P215" s="111"/>
      <c r="Q215" s="112"/>
      <c r="R215" s="111"/>
      <c r="S215" s="112"/>
      <c r="T215" s="111"/>
      <c r="U215" s="112"/>
      <c r="V215" s="111"/>
      <c r="W215" s="112"/>
      <c r="X215" s="111"/>
      <c r="Y215" s="112"/>
      <c r="Z215" s="111"/>
      <c r="AA215" s="109">
        <f t="shared" ref="AA215:AH215" si="202">AA204*$A$215</f>
        <v>0</v>
      </c>
      <c r="AB215" s="109">
        <f t="shared" si="202"/>
        <v>0</v>
      </c>
      <c r="AC215" s="109">
        <f t="shared" si="202"/>
        <v>0</v>
      </c>
      <c r="AD215" s="109">
        <f t="shared" si="202"/>
        <v>0</v>
      </c>
      <c r="AE215" s="109">
        <f t="shared" si="202"/>
        <v>0</v>
      </c>
      <c r="AF215" s="109">
        <f t="shared" si="202"/>
        <v>0</v>
      </c>
      <c r="AG215" s="109">
        <f t="shared" si="202"/>
        <v>0</v>
      </c>
      <c r="AH215" s="109">
        <f t="shared" si="202"/>
        <v>0</v>
      </c>
      <c r="AI215" s="109"/>
      <c r="AJ215" s="109" t="e">
        <f>AJ204*$A$215</f>
        <v>#REF!</v>
      </c>
      <c r="AK215" s="109" t="e">
        <f>AK204*$A$215</f>
        <v>#REF!</v>
      </c>
      <c r="AL215" s="109" t="e">
        <f>AL204*$A$215</f>
        <v>#REF!</v>
      </c>
      <c r="AM215" s="109" t="e">
        <f>AM204*$A$215</f>
        <v>#REF!</v>
      </c>
      <c r="AN215" s="109" t="e">
        <f>AN204*$A$215</f>
        <v>#REF!</v>
      </c>
      <c r="AO215" s="110" t="e">
        <f>SUM(AB215:AN215)</f>
        <v>#REF!</v>
      </c>
      <c r="AP215" s="109" t="e">
        <f t="shared" ref="AP215:BA215" si="203">AP204*$A$215</f>
        <v>#REF!</v>
      </c>
      <c r="AQ215" s="109" t="e">
        <f t="shared" si="203"/>
        <v>#REF!</v>
      </c>
      <c r="AR215" s="109" t="e">
        <f t="shared" si="203"/>
        <v>#REF!</v>
      </c>
      <c r="AS215" s="109" t="e">
        <f t="shared" si="203"/>
        <v>#REF!</v>
      </c>
      <c r="AT215" s="109" t="e">
        <f t="shared" si="203"/>
        <v>#REF!</v>
      </c>
      <c r="AU215" s="109" t="e">
        <f t="shared" si="203"/>
        <v>#REF!</v>
      </c>
      <c r="AV215" s="109" t="e">
        <f t="shared" si="203"/>
        <v>#REF!</v>
      </c>
      <c r="AW215" s="109" t="e">
        <f t="shared" si="203"/>
        <v>#REF!</v>
      </c>
      <c r="AX215" s="109" t="e">
        <f t="shared" si="203"/>
        <v>#REF!</v>
      </c>
      <c r="AY215" s="109" t="e">
        <f t="shared" si="203"/>
        <v>#REF!</v>
      </c>
      <c r="AZ215" s="109" t="e">
        <f t="shared" si="203"/>
        <v>#REF!</v>
      </c>
      <c r="BA215" s="109" t="e">
        <f t="shared" si="203"/>
        <v>#REF!</v>
      </c>
      <c r="BB215" s="110" t="e">
        <f>SUM(AP215:BA215)</f>
        <v>#REF!</v>
      </c>
      <c r="BC215" s="109"/>
      <c r="BI215" s="79" t="e">
        <f>Z215/Z208</f>
        <v>#DIV/0!</v>
      </c>
    </row>
    <row r="216" spans="1:61" x14ac:dyDescent="0.3">
      <c r="A216" s="108"/>
      <c r="B216" s="380" t="s">
        <v>611</v>
      </c>
      <c r="C216" s="123">
        <f t="shared" ref="C216:AH216" si="204">SUM(C214:C215)</f>
        <v>0</v>
      </c>
      <c r="D216" s="388">
        <f t="shared" si="204"/>
        <v>0</v>
      </c>
      <c r="E216" s="123">
        <f t="shared" si="204"/>
        <v>0</v>
      </c>
      <c r="F216" s="388">
        <f t="shared" si="204"/>
        <v>0</v>
      </c>
      <c r="G216" s="123">
        <f t="shared" si="204"/>
        <v>0</v>
      </c>
      <c r="H216" s="388">
        <f t="shared" si="204"/>
        <v>0</v>
      </c>
      <c r="I216" s="123">
        <f t="shared" si="204"/>
        <v>0</v>
      </c>
      <c r="J216" s="388">
        <f t="shared" si="204"/>
        <v>0</v>
      </c>
      <c r="K216" s="123">
        <f t="shared" si="204"/>
        <v>0</v>
      </c>
      <c r="L216" s="388">
        <f t="shared" si="204"/>
        <v>0</v>
      </c>
      <c r="M216" s="123">
        <f t="shared" si="204"/>
        <v>0</v>
      </c>
      <c r="N216" s="388">
        <f t="shared" si="204"/>
        <v>0</v>
      </c>
      <c r="O216" s="123">
        <f t="shared" si="204"/>
        <v>0</v>
      </c>
      <c r="P216" s="388">
        <f t="shared" si="204"/>
        <v>0</v>
      </c>
      <c r="Q216" s="123">
        <f t="shared" si="204"/>
        <v>0</v>
      </c>
      <c r="R216" s="388">
        <f t="shared" si="204"/>
        <v>0</v>
      </c>
      <c r="S216" s="123">
        <f t="shared" si="204"/>
        <v>0</v>
      </c>
      <c r="T216" s="388">
        <f t="shared" si="204"/>
        <v>0</v>
      </c>
      <c r="U216" s="123">
        <f t="shared" si="204"/>
        <v>0</v>
      </c>
      <c r="V216" s="388">
        <f t="shared" si="204"/>
        <v>0</v>
      </c>
      <c r="W216" s="123">
        <f t="shared" si="204"/>
        <v>0</v>
      </c>
      <c r="X216" s="388">
        <f t="shared" si="204"/>
        <v>0</v>
      </c>
      <c r="Y216" s="123">
        <f t="shared" si="204"/>
        <v>0</v>
      </c>
      <c r="Z216" s="388">
        <f t="shared" si="204"/>
        <v>0</v>
      </c>
      <c r="AA216" s="389">
        <f t="shared" si="204"/>
        <v>0</v>
      </c>
      <c r="AB216" s="389">
        <f t="shared" si="204"/>
        <v>0</v>
      </c>
      <c r="AC216" s="389">
        <f t="shared" si="204"/>
        <v>0</v>
      </c>
      <c r="AD216" s="389">
        <f t="shared" si="204"/>
        <v>0</v>
      </c>
      <c r="AE216" s="389">
        <f t="shared" si="204"/>
        <v>0</v>
      </c>
      <c r="AF216" s="389">
        <f t="shared" si="204"/>
        <v>0</v>
      </c>
      <c r="AG216" s="389">
        <f t="shared" si="204"/>
        <v>0</v>
      </c>
      <c r="AH216" s="389">
        <f t="shared" si="204"/>
        <v>0</v>
      </c>
      <c r="AI216" s="389"/>
      <c r="AJ216" s="389" t="e">
        <f>SUM(AJ214:AJ215)</f>
        <v>#REF!</v>
      </c>
      <c r="AK216" s="389" t="e">
        <f>SUM(AK214:AK215)</f>
        <v>#REF!</v>
      </c>
      <c r="AL216" s="389" t="e">
        <f>SUM(AL214:AL215)</f>
        <v>#REF!</v>
      </c>
      <c r="AM216" s="389" t="e">
        <f>SUM(AM214:AM215)</f>
        <v>#REF!</v>
      </c>
      <c r="AN216" s="389" t="e">
        <f>SUM(AN214:AN215)</f>
        <v>#REF!</v>
      </c>
      <c r="AO216" s="390" t="e">
        <f>SUM(AB216:AN216)</f>
        <v>#REF!</v>
      </c>
      <c r="AP216" s="389" t="e">
        <f t="shared" ref="AP216:BA216" si="205">SUM(AP214:AP215)</f>
        <v>#REF!</v>
      </c>
      <c r="AQ216" s="389" t="e">
        <f t="shared" si="205"/>
        <v>#REF!</v>
      </c>
      <c r="AR216" s="389" t="e">
        <f t="shared" si="205"/>
        <v>#REF!</v>
      </c>
      <c r="AS216" s="389" t="e">
        <f t="shared" si="205"/>
        <v>#REF!</v>
      </c>
      <c r="AT216" s="389" t="e">
        <f t="shared" si="205"/>
        <v>#REF!</v>
      </c>
      <c r="AU216" s="389" t="e">
        <f t="shared" si="205"/>
        <v>#REF!</v>
      </c>
      <c r="AV216" s="389" t="e">
        <f t="shared" si="205"/>
        <v>#REF!</v>
      </c>
      <c r="AW216" s="389" t="e">
        <f t="shared" si="205"/>
        <v>#REF!</v>
      </c>
      <c r="AX216" s="389" t="e">
        <f t="shared" si="205"/>
        <v>#REF!</v>
      </c>
      <c r="AY216" s="389" t="e">
        <f t="shared" si="205"/>
        <v>#REF!</v>
      </c>
      <c r="AZ216" s="389" t="e">
        <f t="shared" si="205"/>
        <v>#REF!</v>
      </c>
      <c r="BA216" s="389" t="e">
        <f t="shared" si="205"/>
        <v>#REF!</v>
      </c>
      <c r="BB216" s="390" t="e">
        <f>SUM(AP216:BA216)</f>
        <v>#REF!</v>
      </c>
      <c r="BC216" s="389"/>
    </row>
    <row r="217" spans="1:61" x14ac:dyDescent="0.3">
      <c r="C217" s="83"/>
      <c r="D217" s="82"/>
      <c r="E217" s="83"/>
      <c r="F217" s="82"/>
      <c r="G217" s="83"/>
      <c r="H217" s="82"/>
      <c r="I217" s="83"/>
      <c r="J217" s="82"/>
      <c r="K217" s="83"/>
      <c r="L217" s="82"/>
      <c r="M217" s="83"/>
      <c r="N217" s="82"/>
      <c r="O217" s="83"/>
      <c r="P217" s="82"/>
      <c r="Q217" s="83"/>
      <c r="R217" s="82"/>
      <c r="S217" s="83"/>
      <c r="T217" s="82"/>
      <c r="U217" s="83"/>
      <c r="V217" s="82"/>
      <c r="W217" s="83"/>
      <c r="X217" s="82"/>
      <c r="Y217" s="83"/>
      <c r="Z217" s="82"/>
    </row>
    <row r="218" spans="1:61" ht="18.600000000000001" thickBot="1" x14ac:dyDescent="0.4">
      <c r="C218" s="151" t="s">
        <v>622</v>
      </c>
      <c r="D218" s="150"/>
      <c r="E218" s="151"/>
      <c r="F218" s="150"/>
      <c r="G218" s="151"/>
      <c r="H218" s="150"/>
      <c r="I218" s="151"/>
      <c r="J218" s="150"/>
      <c r="K218" s="83"/>
      <c r="L218" s="105"/>
      <c r="M218" s="83"/>
      <c r="N218" s="105"/>
      <c r="O218" s="83"/>
      <c r="P218" s="105"/>
      <c r="Q218" s="83"/>
      <c r="R218" s="82"/>
      <c r="S218" s="83"/>
      <c r="T218" s="82"/>
      <c r="U218" s="83"/>
      <c r="V218" s="82"/>
      <c r="W218" s="83"/>
      <c r="X218" s="82"/>
      <c r="Y218" s="83"/>
      <c r="Z218" s="82"/>
    </row>
    <row r="219" spans="1:61" ht="15" thickTop="1" x14ac:dyDescent="0.3">
      <c r="B219" s="381"/>
      <c r="C219" s="149">
        <v>45292</v>
      </c>
      <c r="D219" s="148">
        <v>45292</v>
      </c>
      <c r="E219" s="149">
        <v>45323</v>
      </c>
      <c r="F219" s="148">
        <v>45323</v>
      </c>
      <c r="G219" s="149">
        <v>45352</v>
      </c>
      <c r="H219" s="148">
        <v>45352</v>
      </c>
      <c r="I219" s="149">
        <v>45383</v>
      </c>
      <c r="J219" s="148">
        <v>45383</v>
      </c>
      <c r="K219" s="149">
        <v>45413</v>
      </c>
      <c r="L219" s="148">
        <v>45413</v>
      </c>
      <c r="M219" s="149">
        <v>45444</v>
      </c>
      <c r="N219" s="148">
        <v>45444</v>
      </c>
      <c r="O219" s="149">
        <v>45474</v>
      </c>
      <c r="P219" s="148">
        <v>45474</v>
      </c>
      <c r="Q219" s="149">
        <v>45505</v>
      </c>
      <c r="R219" s="148">
        <v>45505</v>
      </c>
      <c r="S219" s="149">
        <v>45536</v>
      </c>
      <c r="T219" s="148">
        <v>45536</v>
      </c>
      <c r="U219" s="149">
        <v>45566</v>
      </c>
      <c r="V219" s="148">
        <v>45566</v>
      </c>
      <c r="W219" s="149">
        <v>45597</v>
      </c>
      <c r="X219" s="148">
        <v>45597</v>
      </c>
      <c r="Y219" s="149">
        <v>45627</v>
      </c>
      <c r="Z219" s="148">
        <v>45627</v>
      </c>
      <c r="AA219" s="382">
        <f t="shared" ref="AA219:AH219" si="206">AA195</f>
        <v>44927</v>
      </c>
      <c r="AB219" s="382">
        <f t="shared" si="206"/>
        <v>44958</v>
      </c>
      <c r="AC219" s="382">
        <f t="shared" si="206"/>
        <v>44986</v>
      </c>
      <c r="AD219" s="382">
        <f t="shared" si="206"/>
        <v>45017</v>
      </c>
      <c r="AE219" s="382">
        <f t="shared" si="206"/>
        <v>45047</v>
      </c>
      <c r="AF219" s="382">
        <f t="shared" si="206"/>
        <v>45078</v>
      </c>
      <c r="AG219" s="382">
        <f t="shared" si="206"/>
        <v>45108</v>
      </c>
      <c r="AH219" s="382">
        <f t="shared" si="206"/>
        <v>45139</v>
      </c>
      <c r="AI219" s="381"/>
      <c r="AJ219" s="381" t="s">
        <v>579</v>
      </c>
      <c r="AK219" s="381" t="s">
        <v>580</v>
      </c>
      <c r="AL219" s="381" t="s">
        <v>581</v>
      </c>
      <c r="AM219" s="381" t="s">
        <v>582</v>
      </c>
      <c r="AN219" s="381" t="s">
        <v>583</v>
      </c>
      <c r="AO219" s="383" t="s">
        <v>584</v>
      </c>
      <c r="AP219" s="381" t="s">
        <v>585</v>
      </c>
      <c r="AQ219" s="381" t="s">
        <v>586</v>
      </c>
      <c r="AR219" s="381" t="s">
        <v>587</v>
      </c>
      <c r="AS219" s="381" t="s">
        <v>588</v>
      </c>
      <c r="AT219" s="381" t="s">
        <v>589</v>
      </c>
      <c r="AU219" s="381" t="s">
        <v>590</v>
      </c>
      <c r="AV219" s="381" t="s">
        <v>591</v>
      </c>
      <c r="AW219" s="381" t="s">
        <v>592</v>
      </c>
      <c r="AX219" s="381" t="s">
        <v>593</v>
      </c>
      <c r="AY219" s="381" t="s">
        <v>594</v>
      </c>
      <c r="AZ219" s="381" t="s">
        <v>595</v>
      </c>
      <c r="BA219" s="381" t="s">
        <v>596</v>
      </c>
      <c r="BB219" s="383" t="s">
        <v>597</v>
      </c>
      <c r="BC219" s="382"/>
    </row>
    <row r="220" spans="1:61" s="108" customFormat="1" ht="12" x14ac:dyDescent="0.25">
      <c r="B220" s="113" t="str">
        <f t="shared" ref="B220:B227" si="207">B196</f>
        <v>Salvadorcard/SSA</v>
      </c>
      <c r="C220" s="146"/>
      <c r="D220" s="145"/>
      <c r="E220" s="146"/>
      <c r="F220" s="145"/>
      <c r="G220" s="146"/>
      <c r="H220" s="145"/>
      <c r="I220" s="146"/>
      <c r="J220" s="145"/>
      <c r="K220" s="146"/>
      <c r="L220" s="145"/>
      <c r="M220" s="146"/>
      <c r="N220" s="145"/>
      <c r="O220" s="146"/>
      <c r="P220" s="145"/>
      <c r="Q220" s="146"/>
      <c r="R220" s="145"/>
      <c r="S220" s="146"/>
      <c r="T220" s="145"/>
      <c r="U220" s="146"/>
      <c r="V220" s="145"/>
      <c r="W220" s="146"/>
      <c r="X220" s="145"/>
      <c r="Y220" s="146"/>
      <c r="Z220" s="145"/>
      <c r="AA220" s="144">
        <v>0</v>
      </c>
      <c r="AB220" s="144">
        <v>0</v>
      </c>
      <c r="AC220" s="144">
        <v>0</v>
      </c>
      <c r="AD220" s="144">
        <v>0</v>
      </c>
      <c r="AE220" s="144">
        <v>0</v>
      </c>
      <c r="AF220" s="144">
        <v>0</v>
      </c>
      <c r="AG220" s="144">
        <v>0</v>
      </c>
      <c r="AH220" s="144">
        <v>0</v>
      </c>
      <c r="AI220" s="144"/>
      <c r="AJ220" s="144">
        <v>0</v>
      </c>
      <c r="AK220" s="144">
        <v>0</v>
      </c>
      <c r="AL220" s="144">
        <v>0</v>
      </c>
      <c r="AM220" s="144">
        <v>0</v>
      </c>
      <c r="AN220" s="144">
        <v>0</v>
      </c>
      <c r="AO220" s="391">
        <f t="shared" ref="AO220:AO225" si="208">SUM(AB220:AN220)</f>
        <v>0</v>
      </c>
      <c r="AP220" s="144">
        <v>0</v>
      </c>
      <c r="AQ220" s="144">
        <v>0</v>
      </c>
      <c r="AR220" s="144">
        <v>0</v>
      </c>
      <c r="AS220" s="144">
        <v>0</v>
      </c>
      <c r="AT220" s="144">
        <v>0</v>
      </c>
      <c r="AU220" s="144">
        <v>0</v>
      </c>
      <c r="AV220" s="144">
        <v>0</v>
      </c>
      <c r="AW220" s="144">
        <v>0</v>
      </c>
      <c r="AX220" s="144">
        <v>0</v>
      </c>
      <c r="AY220" s="144">
        <v>0</v>
      </c>
      <c r="AZ220" s="144">
        <v>0</v>
      </c>
      <c r="BA220" s="144">
        <v>0</v>
      </c>
      <c r="BB220" s="391">
        <f t="shared" ref="BB220:BB225" si="209">SUM(AP220:BA220)</f>
        <v>0</v>
      </c>
      <c r="BC220" s="144"/>
    </row>
    <row r="221" spans="1:61" s="108" customFormat="1" ht="12" x14ac:dyDescent="0.25">
      <c r="B221" s="91" t="str">
        <f t="shared" si="207"/>
        <v>Metropasse/SSA</v>
      </c>
      <c r="C221" s="90"/>
      <c r="D221" s="89"/>
      <c r="E221" s="90"/>
      <c r="F221" s="89"/>
      <c r="G221" s="90"/>
      <c r="H221" s="89"/>
      <c r="I221" s="90"/>
      <c r="J221" s="89"/>
      <c r="K221" s="90"/>
      <c r="L221" s="89"/>
      <c r="M221" s="90"/>
      <c r="N221" s="89"/>
      <c r="O221" s="90"/>
      <c r="P221" s="89"/>
      <c r="Q221" s="90"/>
      <c r="R221" s="89"/>
      <c r="S221" s="90"/>
      <c r="T221" s="89"/>
      <c r="U221" s="90"/>
      <c r="V221" s="89"/>
      <c r="W221" s="90"/>
      <c r="X221" s="89"/>
      <c r="Y221" s="90"/>
      <c r="Z221" s="89"/>
      <c r="AA221" s="96">
        <v>0</v>
      </c>
      <c r="AB221" s="96">
        <v>0</v>
      </c>
      <c r="AC221" s="96">
        <v>0</v>
      </c>
      <c r="AD221" s="96">
        <v>0</v>
      </c>
      <c r="AE221" s="96">
        <v>0</v>
      </c>
      <c r="AF221" s="96">
        <v>0</v>
      </c>
      <c r="AG221" s="96">
        <v>0</v>
      </c>
      <c r="AH221" s="96">
        <v>0</v>
      </c>
      <c r="AI221" s="96"/>
      <c r="AJ221" s="96" t="e">
        <v>#REF!</v>
      </c>
      <c r="AK221" s="96" t="e">
        <v>#REF!</v>
      </c>
      <c r="AL221" s="96" t="e">
        <v>#REF!</v>
      </c>
      <c r="AM221" s="96" t="e">
        <v>#REF!</v>
      </c>
      <c r="AN221" s="96" t="e">
        <v>#REF!</v>
      </c>
      <c r="AO221" s="147" t="e">
        <f t="shared" si="208"/>
        <v>#REF!</v>
      </c>
      <c r="AP221" s="96" t="e">
        <v>#REF!</v>
      </c>
      <c r="AQ221" s="96" t="e">
        <v>#REF!</v>
      </c>
      <c r="AR221" s="96" t="e">
        <v>#REF!</v>
      </c>
      <c r="AS221" s="96" t="e">
        <v>#REF!</v>
      </c>
      <c r="AT221" s="96" t="e">
        <v>#REF!</v>
      </c>
      <c r="AU221" s="96" t="e">
        <v>#REF!</v>
      </c>
      <c r="AV221" s="96" t="e">
        <v>#REF!</v>
      </c>
      <c r="AW221" s="96" t="e">
        <v>#REF!</v>
      </c>
      <c r="AX221" s="96" t="e">
        <v>#REF!</v>
      </c>
      <c r="AY221" s="96" t="e">
        <v>#REF!</v>
      </c>
      <c r="AZ221" s="96" t="e">
        <v>#REF!</v>
      </c>
      <c r="BA221" s="96" t="e">
        <v>#REF!</v>
      </c>
      <c r="BB221" s="147" t="e">
        <f t="shared" si="209"/>
        <v>#REF!</v>
      </c>
      <c r="BC221" s="96"/>
    </row>
    <row r="222" spans="1:61" s="108" customFormat="1" ht="12" x14ac:dyDescent="0.25">
      <c r="B222" s="91" t="str">
        <f t="shared" si="207"/>
        <v>GVBus/VIX</v>
      </c>
      <c r="C222" s="90"/>
      <c r="D222" s="89"/>
      <c r="E222" s="90"/>
      <c r="F222" s="89"/>
      <c r="G222" s="90"/>
      <c r="H222" s="89"/>
      <c r="I222" s="90"/>
      <c r="J222" s="89"/>
      <c r="K222" s="90"/>
      <c r="L222" s="89"/>
      <c r="M222" s="90"/>
      <c r="N222" s="89"/>
      <c r="O222" s="90"/>
      <c r="P222" s="89"/>
      <c r="Q222" s="90"/>
      <c r="R222" s="89"/>
      <c r="S222" s="90"/>
      <c r="T222" s="89"/>
      <c r="U222" s="90"/>
      <c r="V222" s="89"/>
      <c r="W222" s="90"/>
      <c r="X222" s="89"/>
      <c r="Y222" s="90"/>
      <c r="Z222" s="89"/>
      <c r="AA222" s="96">
        <v>0</v>
      </c>
      <c r="AB222" s="96">
        <v>0</v>
      </c>
      <c r="AC222" s="96">
        <v>0</v>
      </c>
      <c r="AD222" s="96">
        <v>0</v>
      </c>
      <c r="AE222" s="96">
        <v>0</v>
      </c>
      <c r="AF222" s="96">
        <v>0</v>
      </c>
      <c r="AG222" s="96">
        <v>0</v>
      </c>
      <c r="AH222" s="96">
        <v>0</v>
      </c>
      <c r="AI222" s="96"/>
      <c r="AJ222" s="96">
        <v>0</v>
      </c>
      <c r="AK222" s="96">
        <v>0</v>
      </c>
      <c r="AL222" s="96">
        <v>0</v>
      </c>
      <c r="AM222" s="96">
        <v>0</v>
      </c>
      <c r="AN222" s="96">
        <v>0</v>
      </c>
      <c r="AO222" s="147">
        <f t="shared" si="208"/>
        <v>0</v>
      </c>
      <c r="AP222" s="96">
        <v>0</v>
      </c>
      <c r="AQ222" s="96">
        <v>0</v>
      </c>
      <c r="AR222" s="96">
        <v>0</v>
      </c>
      <c r="AS222" s="96">
        <v>0</v>
      </c>
      <c r="AT222" s="96">
        <v>0</v>
      </c>
      <c r="AU222" s="96">
        <v>0</v>
      </c>
      <c r="AV222" s="96">
        <v>0</v>
      </c>
      <c r="AW222" s="96">
        <v>0</v>
      </c>
      <c r="AX222" s="96">
        <v>0</v>
      </c>
      <c r="AY222" s="96">
        <v>0</v>
      </c>
      <c r="AZ222" s="96">
        <v>0</v>
      </c>
      <c r="BA222" s="96">
        <v>0</v>
      </c>
      <c r="BB222" s="147">
        <f t="shared" si="209"/>
        <v>0</v>
      </c>
      <c r="BC222" s="96"/>
    </row>
    <row r="223" spans="1:61" s="108" customFormat="1" ht="12" x14ac:dyDescent="0.25">
      <c r="B223" s="91" t="str">
        <f t="shared" si="207"/>
        <v>Teu/POA</v>
      </c>
      <c r="C223" s="90"/>
      <c r="D223" s="89"/>
      <c r="E223" s="90"/>
      <c r="F223" s="89"/>
      <c r="G223" s="90"/>
      <c r="H223" s="89"/>
      <c r="I223" s="90"/>
      <c r="J223" s="89"/>
      <c r="K223" s="90"/>
      <c r="L223" s="89"/>
      <c r="M223" s="90"/>
      <c r="N223" s="89"/>
      <c r="O223" s="90"/>
      <c r="P223" s="89"/>
      <c r="Q223" s="90"/>
      <c r="R223" s="89"/>
      <c r="S223" s="90"/>
      <c r="T223" s="89"/>
      <c r="U223" s="90"/>
      <c r="V223" s="89"/>
      <c r="W223" s="90"/>
      <c r="X223" s="89"/>
      <c r="Y223" s="90"/>
      <c r="Z223" s="89"/>
      <c r="AA223" s="96">
        <v>0</v>
      </c>
      <c r="AB223" s="96">
        <v>0</v>
      </c>
      <c r="AC223" s="96">
        <v>0</v>
      </c>
      <c r="AD223" s="96">
        <v>0</v>
      </c>
      <c r="AE223" s="96">
        <v>0</v>
      </c>
      <c r="AF223" s="96">
        <v>0</v>
      </c>
      <c r="AG223" s="96">
        <v>0</v>
      </c>
      <c r="AH223" s="96">
        <v>0</v>
      </c>
      <c r="AI223" s="96"/>
      <c r="AJ223" s="96">
        <v>0</v>
      </c>
      <c r="AK223" s="96">
        <v>0</v>
      </c>
      <c r="AL223" s="96">
        <v>0</v>
      </c>
      <c r="AM223" s="96">
        <v>0</v>
      </c>
      <c r="AN223" s="96">
        <v>0</v>
      </c>
      <c r="AO223" s="147">
        <f t="shared" si="208"/>
        <v>0</v>
      </c>
      <c r="AP223" s="96">
        <v>0</v>
      </c>
      <c r="AQ223" s="96">
        <v>0</v>
      </c>
      <c r="AR223" s="96">
        <v>0</v>
      </c>
      <c r="AS223" s="96">
        <v>0</v>
      </c>
      <c r="AT223" s="96">
        <v>0</v>
      </c>
      <c r="AU223" s="96">
        <v>0</v>
      </c>
      <c r="AV223" s="96">
        <v>0</v>
      </c>
      <c r="AW223" s="96">
        <v>0</v>
      </c>
      <c r="AX223" s="96">
        <v>0</v>
      </c>
      <c r="AY223" s="96">
        <v>0</v>
      </c>
      <c r="AZ223" s="96">
        <v>0</v>
      </c>
      <c r="BA223" s="96">
        <v>0</v>
      </c>
      <c r="BB223" s="147">
        <f t="shared" si="209"/>
        <v>0</v>
      </c>
      <c r="BC223" s="96"/>
    </row>
    <row r="224" spans="1:61" s="108" customFormat="1" ht="12" x14ac:dyDescent="0.25">
      <c r="B224" s="91" t="str">
        <f t="shared" si="207"/>
        <v>Transfácil/BHZ</v>
      </c>
      <c r="C224" s="90"/>
      <c r="D224" s="89"/>
      <c r="E224" s="90"/>
      <c r="F224" s="89"/>
      <c r="G224" s="90"/>
      <c r="H224" s="89"/>
      <c r="I224" s="90"/>
      <c r="J224" s="89"/>
      <c r="K224" s="90"/>
      <c r="L224" s="89"/>
      <c r="M224" s="90"/>
      <c r="N224" s="89"/>
      <c r="O224" s="90"/>
      <c r="P224" s="89"/>
      <c r="Q224" s="90"/>
      <c r="R224" s="89"/>
      <c r="S224" s="90"/>
      <c r="T224" s="89"/>
      <c r="U224" s="90"/>
      <c r="V224" s="89"/>
      <c r="W224" s="90"/>
      <c r="X224" s="89"/>
      <c r="Y224" s="90"/>
      <c r="Z224" s="89"/>
      <c r="AA224" s="96">
        <v>0</v>
      </c>
      <c r="AB224" s="96">
        <v>0</v>
      </c>
      <c r="AC224" s="96">
        <v>0</v>
      </c>
      <c r="AD224" s="96">
        <v>0</v>
      </c>
      <c r="AE224" s="96">
        <v>0</v>
      </c>
      <c r="AF224" s="96">
        <v>0</v>
      </c>
      <c r="AG224" s="96">
        <v>0</v>
      </c>
      <c r="AH224" s="96">
        <v>0</v>
      </c>
      <c r="AI224" s="96"/>
      <c r="AJ224" s="96">
        <v>0</v>
      </c>
      <c r="AK224" s="96">
        <v>0</v>
      </c>
      <c r="AL224" s="96">
        <v>0</v>
      </c>
      <c r="AM224" s="96">
        <v>0</v>
      </c>
      <c r="AN224" s="96">
        <v>0</v>
      </c>
      <c r="AO224" s="147">
        <f t="shared" si="208"/>
        <v>0</v>
      </c>
      <c r="AP224" s="96">
        <v>0</v>
      </c>
      <c r="AQ224" s="96">
        <v>0</v>
      </c>
      <c r="AR224" s="96">
        <v>0</v>
      </c>
      <c r="AS224" s="96">
        <v>0</v>
      </c>
      <c r="AT224" s="96">
        <v>0</v>
      </c>
      <c r="AU224" s="96">
        <v>0</v>
      </c>
      <c r="AV224" s="96">
        <v>0</v>
      </c>
      <c r="AW224" s="96">
        <v>0</v>
      </c>
      <c r="AX224" s="96">
        <v>0</v>
      </c>
      <c r="AY224" s="96">
        <v>0</v>
      </c>
      <c r="AZ224" s="96">
        <v>0</v>
      </c>
      <c r="BA224" s="96">
        <v>0</v>
      </c>
      <c r="BB224" s="147">
        <f t="shared" si="209"/>
        <v>0</v>
      </c>
      <c r="BC224" s="96"/>
    </row>
    <row r="225" spans="1:55" s="108" customFormat="1" ht="12" x14ac:dyDescent="0.25">
      <c r="B225" s="113" t="str">
        <f t="shared" si="207"/>
        <v>Biguaçú-Jotur-Santa Terezinha/Florianopolis</v>
      </c>
      <c r="C225" s="146"/>
      <c r="D225" s="145"/>
      <c r="E225" s="146"/>
      <c r="F225" s="145"/>
      <c r="G225" s="146"/>
      <c r="H225" s="145"/>
      <c r="I225" s="146"/>
      <c r="J225" s="145"/>
      <c r="K225" s="146"/>
      <c r="L225" s="145"/>
      <c r="M225" s="146"/>
      <c r="N225" s="145"/>
      <c r="O225" s="146"/>
      <c r="P225" s="145"/>
      <c r="Q225" s="146"/>
      <c r="R225" s="145"/>
      <c r="S225" s="146"/>
      <c r="T225" s="145"/>
      <c r="U225" s="146"/>
      <c r="V225" s="145"/>
      <c r="W225" s="146"/>
      <c r="X225" s="145"/>
      <c r="Y225" s="146"/>
      <c r="Z225" s="145"/>
      <c r="AA225" s="144">
        <v>0</v>
      </c>
      <c r="AB225" s="144">
        <v>0</v>
      </c>
      <c r="AC225" s="144">
        <v>0</v>
      </c>
      <c r="AD225" s="144">
        <v>0</v>
      </c>
      <c r="AE225" s="144">
        <v>0</v>
      </c>
      <c r="AF225" s="144">
        <v>0</v>
      </c>
      <c r="AG225" s="144">
        <v>0</v>
      </c>
      <c r="AH225" s="144">
        <v>0</v>
      </c>
      <c r="AI225" s="144"/>
      <c r="AJ225" s="144">
        <v>0</v>
      </c>
      <c r="AK225" s="144">
        <v>0</v>
      </c>
      <c r="AL225" s="144">
        <v>0</v>
      </c>
      <c r="AM225" s="144">
        <v>0</v>
      </c>
      <c r="AN225" s="144">
        <v>0</v>
      </c>
      <c r="AO225" s="206">
        <f t="shared" si="208"/>
        <v>0</v>
      </c>
      <c r="AP225" s="144">
        <v>0</v>
      </c>
      <c r="AQ225" s="144">
        <v>0</v>
      </c>
      <c r="AR225" s="144">
        <v>0</v>
      </c>
      <c r="AS225" s="144">
        <v>0</v>
      </c>
      <c r="AT225" s="144">
        <v>0</v>
      </c>
      <c r="AU225" s="144">
        <v>0</v>
      </c>
      <c r="AV225" s="144">
        <v>0</v>
      </c>
      <c r="AW225" s="144">
        <v>0</v>
      </c>
      <c r="AX225" s="144">
        <v>0</v>
      </c>
      <c r="AY225" s="144">
        <v>0</v>
      </c>
      <c r="AZ225" s="144">
        <v>0</v>
      </c>
      <c r="BA225" s="144">
        <v>0</v>
      </c>
      <c r="BB225" s="206">
        <f t="shared" si="209"/>
        <v>0</v>
      </c>
      <c r="BC225" s="144"/>
    </row>
    <row r="226" spans="1:55" s="108" customFormat="1" ht="12" x14ac:dyDescent="0.25">
      <c r="B226" s="91" t="str">
        <f t="shared" si="207"/>
        <v>Via Ouro/Nova Lima</v>
      </c>
      <c r="C226" s="90"/>
      <c r="D226" s="89"/>
      <c r="E226" s="90"/>
      <c r="F226" s="89"/>
      <c r="G226" s="90"/>
      <c r="H226" s="89"/>
      <c r="I226" s="90"/>
      <c r="J226" s="89"/>
      <c r="K226" s="90"/>
      <c r="L226" s="89"/>
      <c r="M226" s="90"/>
      <c r="N226" s="89"/>
      <c r="O226" s="90"/>
      <c r="P226" s="89"/>
      <c r="Q226" s="90"/>
      <c r="R226" s="89"/>
      <c r="S226" s="90"/>
      <c r="T226" s="89"/>
      <c r="U226" s="90"/>
      <c r="V226" s="89"/>
      <c r="W226" s="90"/>
      <c r="X226" s="89"/>
      <c r="Y226" s="90"/>
      <c r="Z226" s="89"/>
      <c r="AA226" s="96"/>
      <c r="AB226" s="96"/>
      <c r="AC226" s="96"/>
      <c r="AD226" s="96"/>
      <c r="AE226" s="96"/>
      <c r="AF226" s="96"/>
      <c r="AG226" s="96"/>
      <c r="AH226" s="96"/>
      <c r="AI226" s="144"/>
      <c r="AJ226" s="144"/>
      <c r="AK226" s="144"/>
      <c r="AL226" s="144"/>
      <c r="AM226" s="144"/>
      <c r="AN226" s="144"/>
      <c r="AO226" s="206"/>
      <c r="AP226" s="144"/>
      <c r="AQ226" s="144"/>
      <c r="AR226" s="144"/>
      <c r="AS226" s="144"/>
      <c r="AT226" s="144"/>
      <c r="AU226" s="144"/>
      <c r="AV226" s="144"/>
      <c r="AW226" s="144"/>
      <c r="AX226" s="144"/>
      <c r="AY226" s="144"/>
      <c r="AZ226" s="144"/>
      <c r="BA226" s="144"/>
      <c r="BB226" s="206"/>
      <c r="BC226" s="96"/>
    </row>
    <row r="227" spans="1:55" s="108" customFormat="1" ht="12" x14ac:dyDescent="0.25">
      <c r="B227" s="113" t="str">
        <f t="shared" si="207"/>
        <v>Alagoinhas</v>
      </c>
      <c r="C227" s="146">
        <v>0</v>
      </c>
      <c r="D227" s="145"/>
      <c r="E227" s="146">
        <v>0</v>
      </c>
      <c r="F227" s="145"/>
      <c r="G227" s="146">
        <v>0</v>
      </c>
      <c r="H227" s="145"/>
      <c r="I227" s="146"/>
      <c r="J227" s="145"/>
      <c r="K227" s="146"/>
      <c r="L227" s="145"/>
      <c r="M227" s="146"/>
      <c r="N227" s="145"/>
      <c r="O227" s="146"/>
      <c r="P227" s="145"/>
      <c r="Q227" s="146"/>
      <c r="R227" s="145"/>
      <c r="S227" s="146"/>
      <c r="T227" s="145"/>
      <c r="U227" s="146"/>
      <c r="V227" s="145"/>
      <c r="W227" s="146"/>
      <c r="X227" s="145"/>
      <c r="Y227" s="146"/>
      <c r="Z227" s="145"/>
      <c r="AA227" s="144"/>
      <c r="AB227" s="144"/>
      <c r="AC227" s="144"/>
      <c r="AD227" s="144"/>
      <c r="AE227" s="144"/>
      <c r="AF227" s="144"/>
      <c r="AG227" s="144"/>
      <c r="AH227" s="144"/>
      <c r="AI227" s="144"/>
      <c r="AJ227" s="144"/>
      <c r="AK227" s="144"/>
      <c r="AL227" s="144"/>
      <c r="AM227" s="144"/>
      <c r="AN227" s="144"/>
      <c r="AO227" s="206"/>
      <c r="AP227" s="144"/>
      <c r="AQ227" s="144"/>
      <c r="AR227" s="144"/>
      <c r="AS227" s="144"/>
      <c r="AT227" s="144"/>
      <c r="AU227" s="144"/>
      <c r="AV227" s="144"/>
      <c r="AW227" s="144"/>
      <c r="AX227" s="144"/>
      <c r="AY227" s="144"/>
      <c r="AZ227" s="144"/>
      <c r="BA227" s="144"/>
      <c r="BB227" s="206"/>
      <c r="BC227" s="144"/>
    </row>
    <row r="228" spans="1:55" x14ac:dyDescent="0.3">
      <c r="B228" s="380" t="s">
        <v>599</v>
      </c>
      <c r="C228" s="143">
        <f>SUM(C220:C227)</f>
        <v>0</v>
      </c>
      <c r="D228" s="385"/>
      <c r="E228" s="143">
        <f>SUM(E220:E227)</f>
        <v>0</v>
      </c>
      <c r="F228" s="385"/>
      <c r="G228" s="143">
        <f>SUM(G220:G227)</f>
        <v>0</v>
      </c>
      <c r="H228" s="385"/>
      <c r="I228" s="143">
        <f>SUM(I220:I227)</f>
        <v>0</v>
      </c>
      <c r="J228" s="385"/>
      <c r="K228" s="143">
        <f>SUM(K220:K227)</f>
        <v>0</v>
      </c>
      <c r="L228" s="385"/>
      <c r="M228" s="143">
        <f>SUM(M220:M227)</f>
        <v>0</v>
      </c>
      <c r="N228" s="385"/>
      <c r="O228" s="143">
        <f>SUM(O220:O227)</f>
        <v>0</v>
      </c>
      <c r="P228" s="385"/>
      <c r="Q228" s="143">
        <f>SUM(Q220:Q227)</f>
        <v>0</v>
      </c>
      <c r="R228" s="385"/>
      <c r="S228" s="143">
        <f>SUM(S220:S227)</f>
        <v>0</v>
      </c>
      <c r="T228" s="385"/>
      <c r="U228" s="143">
        <f>SUM(U220:U227)</f>
        <v>0</v>
      </c>
      <c r="V228" s="385"/>
      <c r="W228" s="143">
        <f>SUM(W220:W227)</f>
        <v>0</v>
      </c>
      <c r="X228" s="385"/>
      <c r="Y228" s="143">
        <f>SUM(Y220:Y227)</f>
        <v>0</v>
      </c>
      <c r="Z228" s="385"/>
      <c r="AA228" s="387">
        <f t="shared" ref="AA228:AH228" si="210">SUM(AA220:AA227)</f>
        <v>0</v>
      </c>
      <c r="AB228" s="387">
        <f t="shared" si="210"/>
        <v>0</v>
      </c>
      <c r="AC228" s="387">
        <f t="shared" si="210"/>
        <v>0</v>
      </c>
      <c r="AD228" s="387">
        <f t="shared" si="210"/>
        <v>0</v>
      </c>
      <c r="AE228" s="387">
        <f t="shared" si="210"/>
        <v>0</v>
      </c>
      <c r="AF228" s="387">
        <f t="shared" si="210"/>
        <v>0</v>
      </c>
      <c r="AG228" s="387">
        <f t="shared" si="210"/>
        <v>0</v>
      </c>
      <c r="AH228" s="387">
        <f t="shared" si="210"/>
        <v>0</v>
      </c>
      <c r="AI228" s="387"/>
      <c r="AJ228" s="387" t="e">
        <f>SUM(AJ220:AJ225)</f>
        <v>#REF!</v>
      </c>
      <c r="AK228" s="387" t="e">
        <f>SUM(AK220:AK225)</f>
        <v>#REF!</v>
      </c>
      <c r="AL228" s="387" t="e">
        <f>SUM(AL220:AL225)</f>
        <v>#REF!</v>
      </c>
      <c r="AM228" s="387" t="e">
        <f>SUM(AM220:AM225)</f>
        <v>#REF!</v>
      </c>
      <c r="AN228" s="387" t="e">
        <f>SUM(AN220:AN225)</f>
        <v>#REF!</v>
      </c>
      <c r="AO228" s="386" t="e">
        <f>SUM(AB228:AN228)</f>
        <v>#REF!</v>
      </c>
      <c r="AP228" s="387" t="e">
        <f t="shared" ref="AP228:BA228" si="211">SUM(AP220:AP225)</f>
        <v>#REF!</v>
      </c>
      <c r="AQ228" s="387" t="e">
        <f t="shared" si="211"/>
        <v>#REF!</v>
      </c>
      <c r="AR228" s="387" t="e">
        <f t="shared" si="211"/>
        <v>#REF!</v>
      </c>
      <c r="AS228" s="387" t="e">
        <f t="shared" si="211"/>
        <v>#REF!</v>
      </c>
      <c r="AT228" s="387" t="e">
        <f t="shared" si="211"/>
        <v>#REF!</v>
      </c>
      <c r="AU228" s="387" t="e">
        <f t="shared" si="211"/>
        <v>#REF!</v>
      </c>
      <c r="AV228" s="387" t="e">
        <f t="shared" si="211"/>
        <v>#REF!</v>
      </c>
      <c r="AW228" s="387" t="e">
        <f t="shared" si="211"/>
        <v>#REF!</v>
      </c>
      <c r="AX228" s="387" t="e">
        <f t="shared" si="211"/>
        <v>#REF!</v>
      </c>
      <c r="AY228" s="387" t="e">
        <f t="shared" si="211"/>
        <v>#REF!</v>
      </c>
      <c r="AZ228" s="387" t="e">
        <f t="shared" si="211"/>
        <v>#REF!</v>
      </c>
      <c r="BA228" s="387" t="e">
        <f t="shared" si="211"/>
        <v>#REF!</v>
      </c>
      <c r="BB228" s="386" t="e">
        <f>SUM(AP228:BA228)</f>
        <v>#REF!</v>
      </c>
      <c r="BC228" s="387"/>
    </row>
    <row r="229" spans="1:55" x14ac:dyDescent="0.3">
      <c r="A229" s="108"/>
      <c r="B229" s="124" t="s">
        <v>600</v>
      </c>
      <c r="C229" s="141"/>
      <c r="D229" s="140"/>
      <c r="E229" s="141"/>
      <c r="F229" s="140"/>
      <c r="G229" s="141"/>
      <c r="H229" s="140"/>
      <c r="I229" s="141"/>
      <c r="J229" s="140"/>
      <c r="K229" s="141"/>
      <c r="L229" s="140"/>
      <c r="M229" s="141"/>
      <c r="N229" s="140"/>
      <c r="O229" s="141"/>
      <c r="P229" s="140"/>
      <c r="Q229" s="141"/>
      <c r="R229" s="140"/>
      <c r="S229" s="141"/>
      <c r="T229" s="140"/>
      <c r="U229" s="141"/>
      <c r="V229" s="140"/>
      <c r="W229" s="141"/>
      <c r="X229" s="140"/>
      <c r="Y229" s="141"/>
      <c r="Z229" s="140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39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  <c r="BB229" s="139"/>
      <c r="BC229" s="108"/>
    </row>
    <row r="230" spans="1:55" x14ac:dyDescent="0.3">
      <c r="A230" s="156">
        <v>0.25345000000000001</v>
      </c>
      <c r="B230" s="138" t="s">
        <v>601</v>
      </c>
      <c r="C230" s="116">
        <f>C228*$A$230</f>
        <v>0</v>
      </c>
      <c r="D230" s="115"/>
      <c r="E230" s="116">
        <f>E228*$A$230</f>
        <v>0</v>
      </c>
      <c r="F230" s="115"/>
      <c r="G230" s="116">
        <f>G228*$A$230</f>
        <v>0</v>
      </c>
      <c r="H230" s="115"/>
      <c r="I230" s="116">
        <f>I228*$A$230</f>
        <v>0</v>
      </c>
      <c r="J230" s="115"/>
      <c r="K230" s="116">
        <f>K228*$A$230</f>
        <v>0</v>
      </c>
      <c r="L230" s="115"/>
      <c r="M230" s="116">
        <f>M228*$A$230</f>
        <v>0</v>
      </c>
      <c r="N230" s="115"/>
      <c r="O230" s="116">
        <f>O228*$A$230</f>
        <v>0</v>
      </c>
      <c r="P230" s="115"/>
      <c r="Q230" s="116">
        <f>Q228*$A$230</f>
        <v>0</v>
      </c>
      <c r="R230" s="115"/>
      <c r="S230" s="116">
        <f>S228*$A$230</f>
        <v>0</v>
      </c>
      <c r="T230" s="115"/>
      <c r="U230" s="116">
        <f>U228*$A$230</f>
        <v>0</v>
      </c>
      <c r="V230" s="115"/>
      <c r="W230" s="116">
        <f>W228*$A$230</f>
        <v>0</v>
      </c>
      <c r="X230" s="115"/>
      <c r="Y230" s="116">
        <f>Y228*$A$230</f>
        <v>0</v>
      </c>
      <c r="Z230" s="115"/>
      <c r="AA230" s="93">
        <f t="shared" ref="AA230:AH230" si="212">AA228*$A$230</f>
        <v>0</v>
      </c>
      <c r="AB230" s="93">
        <f t="shared" si="212"/>
        <v>0</v>
      </c>
      <c r="AC230" s="93">
        <f t="shared" si="212"/>
        <v>0</v>
      </c>
      <c r="AD230" s="93">
        <f t="shared" si="212"/>
        <v>0</v>
      </c>
      <c r="AE230" s="93">
        <f t="shared" si="212"/>
        <v>0</v>
      </c>
      <c r="AF230" s="93">
        <f t="shared" si="212"/>
        <v>0</v>
      </c>
      <c r="AG230" s="93">
        <f t="shared" si="212"/>
        <v>0</v>
      </c>
      <c r="AH230" s="93">
        <f t="shared" si="212"/>
        <v>0</v>
      </c>
      <c r="AI230" s="93"/>
      <c r="AJ230" s="93" t="e">
        <f>AJ228*$A$230</f>
        <v>#REF!</v>
      </c>
      <c r="AK230" s="93" t="e">
        <f>AK228*$A$230</f>
        <v>#REF!</v>
      </c>
      <c r="AL230" s="93" t="e">
        <f>AL228*$A$230</f>
        <v>#REF!</v>
      </c>
      <c r="AM230" s="93" t="e">
        <f>AM228*$A$230</f>
        <v>#REF!</v>
      </c>
      <c r="AN230" s="93" t="e">
        <f>AN228*$A$230</f>
        <v>#REF!</v>
      </c>
      <c r="AO230" s="114" t="e">
        <f t="shared" ref="AO230:AO236" si="213">SUM(AB230:AN230)</f>
        <v>#REF!</v>
      </c>
      <c r="AP230" s="93" t="e">
        <f t="shared" ref="AP230:BA230" si="214">AP228*$A$230</f>
        <v>#REF!</v>
      </c>
      <c r="AQ230" s="93" t="e">
        <f t="shared" si="214"/>
        <v>#REF!</v>
      </c>
      <c r="AR230" s="93" t="e">
        <f t="shared" si="214"/>
        <v>#REF!</v>
      </c>
      <c r="AS230" s="93" t="e">
        <f t="shared" si="214"/>
        <v>#REF!</v>
      </c>
      <c r="AT230" s="93" t="e">
        <f t="shared" si="214"/>
        <v>#REF!</v>
      </c>
      <c r="AU230" s="93" t="e">
        <f t="shared" si="214"/>
        <v>#REF!</v>
      </c>
      <c r="AV230" s="93" t="e">
        <f t="shared" si="214"/>
        <v>#REF!</v>
      </c>
      <c r="AW230" s="93" t="e">
        <f t="shared" si="214"/>
        <v>#REF!</v>
      </c>
      <c r="AX230" s="93" t="e">
        <f t="shared" si="214"/>
        <v>#REF!</v>
      </c>
      <c r="AY230" s="93" t="e">
        <f t="shared" si="214"/>
        <v>#REF!</v>
      </c>
      <c r="AZ230" s="93" t="e">
        <f t="shared" si="214"/>
        <v>#REF!</v>
      </c>
      <c r="BA230" s="93" t="e">
        <f t="shared" si="214"/>
        <v>#REF!</v>
      </c>
      <c r="BB230" s="114" t="e">
        <f t="shared" ref="BB230:BB236" si="215">SUM(AP230:BA230)</f>
        <v>#REF!</v>
      </c>
      <c r="BC230" s="93"/>
    </row>
    <row r="231" spans="1:55" x14ac:dyDescent="0.3">
      <c r="A231" s="156">
        <v>0</v>
      </c>
      <c r="B231" s="138" t="s">
        <v>602</v>
      </c>
      <c r="C231" s="116">
        <f>C228*$A$231</f>
        <v>0</v>
      </c>
      <c r="D231" s="115"/>
      <c r="E231" s="116">
        <f>E228*$A$231</f>
        <v>0</v>
      </c>
      <c r="F231" s="115"/>
      <c r="G231" s="116">
        <f>G228*$A$231</f>
        <v>0</v>
      </c>
      <c r="H231" s="115"/>
      <c r="I231" s="116">
        <f>I228*$A$231</f>
        <v>0</v>
      </c>
      <c r="J231" s="115"/>
      <c r="K231" s="116">
        <f>K228*$A$231</f>
        <v>0</v>
      </c>
      <c r="L231" s="115"/>
      <c r="M231" s="116">
        <f>M228*$A$231</f>
        <v>0</v>
      </c>
      <c r="N231" s="115"/>
      <c r="O231" s="116">
        <f>O228*$A$231</f>
        <v>0</v>
      </c>
      <c r="P231" s="115"/>
      <c r="Q231" s="116">
        <f>Q228*$A$231</f>
        <v>0</v>
      </c>
      <c r="R231" s="115"/>
      <c r="S231" s="116">
        <f>S228*$A$231</f>
        <v>0</v>
      </c>
      <c r="T231" s="115"/>
      <c r="U231" s="116">
        <f>U228*$A$231</f>
        <v>0</v>
      </c>
      <c r="V231" s="115"/>
      <c r="W231" s="116">
        <f>W228*$A$231</f>
        <v>0</v>
      </c>
      <c r="X231" s="115"/>
      <c r="Y231" s="116">
        <f>Y228*$A$231</f>
        <v>0</v>
      </c>
      <c r="Z231" s="115"/>
      <c r="AA231" s="93">
        <f t="shared" ref="AA231:AH231" si="216">AA228*$A$231</f>
        <v>0</v>
      </c>
      <c r="AB231" s="93">
        <f t="shared" si="216"/>
        <v>0</v>
      </c>
      <c r="AC231" s="93">
        <f t="shared" si="216"/>
        <v>0</v>
      </c>
      <c r="AD231" s="93">
        <f t="shared" si="216"/>
        <v>0</v>
      </c>
      <c r="AE231" s="93">
        <f t="shared" si="216"/>
        <v>0</v>
      </c>
      <c r="AF231" s="93">
        <f t="shared" si="216"/>
        <v>0</v>
      </c>
      <c r="AG231" s="93">
        <f t="shared" si="216"/>
        <v>0</v>
      </c>
      <c r="AH231" s="93">
        <f t="shared" si="216"/>
        <v>0</v>
      </c>
      <c r="AI231" s="93"/>
      <c r="AJ231" s="93" t="e">
        <f>AJ228*$A$231</f>
        <v>#REF!</v>
      </c>
      <c r="AK231" s="93" t="e">
        <f>AK228*$A$231</f>
        <v>#REF!</v>
      </c>
      <c r="AL231" s="93" t="e">
        <f>AL228*$A$231</f>
        <v>#REF!</v>
      </c>
      <c r="AM231" s="93" t="e">
        <f>AM228*$A$231</f>
        <v>#REF!</v>
      </c>
      <c r="AN231" s="93" t="e">
        <f>AN228*$A$231</f>
        <v>#REF!</v>
      </c>
      <c r="AO231" s="114" t="e">
        <f t="shared" si="213"/>
        <v>#REF!</v>
      </c>
      <c r="AP231" s="93" t="e">
        <f t="shared" ref="AP231:BA231" si="217">AP228*$A$231</f>
        <v>#REF!</v>
      </c>
      <c r="AQ231" s="93" t="e">
        <f t="shared" si="217"/>
        <v>#REF!</v>
      </c>
      <c r="AR231" s="93" t="e">
        <f t="shared" si="217"/>
        <v>#REF!</v>
      </c>
      <c r="AS231" s="93" t="e">
        <f t="shared" si="217"/>
        <v>#REF!</v>
      </c>
      <c r="AT231" s="93" t="e">
        <f t="shared" si="217"/>
        <v>#REF!</v>
      </c>
      <c r="AU231" s="93" t="e">
        <f t="shared" si="217"/>
        <v>#REF!</v>
      </c>
      <c r="AV231" s="93" t="e">
        <f t="shared" si="217"/>
        <v>#REF!</v>
      </c>
      <c r="AW231" s="93" t="e">
        <f t="shared" si="217"/>
        <v>#REF!</v>
      </c>
      <c r="AX231" s="93" t="e">
        <f t="shared" si="217"/>
        <v>#REF!</v>
      </c>
      <c r="AY231" s="93" t="e">
        <f t="shared" si="217"/>
        <v>#REF!</v>
      </c>
      <c r="AZ231" s="93" t="e">
        <f t="shared" si="217"/>
        <v>#REF!</v>
      </c>
      <c r="BA231" s="93" t="e">
        <f t="shared" si="217"/>
        <v>#REF!</v>
      </c>
      <c r="BB231" s="114" t="e">
        <f t="shared" si="215"/>
        <v>#REF!</v>
      </c>
      <c r="BC231" s="93"/>
    </row>
    <row r="232" spans="1:55" x14ac:dyDescent="0.3">
      <c r="A232" s="156">
        <f>71.058%+0.015%</f>
        <v>0.71073000000000008</v>
      </c>
      <c r="B232" s="138" t="s">
        <v>603</v>
      </c>
      <c r="C232" s="116">
        <f>C228*$A$232</f>
        <v>0</v>
      </c>
      <c r="D232" s="115"/>
      <c r="E232" s="116">
        <f>E228*$A$232</f>
        <v>0</v>
      </c>
      <c r="F232" s="115"/>
      <c r="G232" s="116">
        <f>G228*$A$232</f>
        <v>0</v>
      </c>
      <c r="H232" s="115"/>
      <c r="I232" s="116">
        <f>I228*$A$232</f>
        <v>0</v>
      </c>
      <c r="J232" s="115"/>
      <c r="K232" s="116">
        <f>K228*$A$232</f>
        <v>0</v>
      </c>
      <c r="L232" s="115"/>
      <c r="M232" s="116">
        <f>M228*$A$232</f>
        <v>0</v>
      </c>
      <c r="N232" s="115"/>
      <c r="O232" s="116">
        <f>O228*$A$232</f>
        <v>0</v>
      </c>
      <c r="P232" s="115"/>
      <c r="Q232" s="116">
        <f>Q228*$A$232</f>
        <v>0</v>
      </c>
      <c r="R232" s="115"/>
      <c r="S232" s="116">
        <f>S228*$A$232</f>
        <v>0</v>
      </c>
      <c r="T232" s="115"/>
      <c r="U232" s="116">
        <f>U228*$A$232</f>
        <v>0</v>
      </c>
      <c r="V232" s="115"/>
      <c r="W232" s="116">
        <f>W228*$A$232</f>
        <v>0</v>
      </c>
      <c r="X232" s="115"/>
      <c r="Y232" s="116">
        <f>Y228*$A$232</f>
        <v>0</v>
      </c>
      <c r="Z232" s="115"/>
      <c r="AA232" s="93">
        <f t="shared" ref="AA232:AH232" si="218">AA228*$A$232</f>
        <v>0</v>
      </c>
      <c r="AB232" s="93">
        <f t="shared" si="218"/>
        <v>0</v>
      </c>
      <c r="AC232" s="93">
        <f t="shared" si="218"/>
        <v>0</v>
      </c>
      <c r="AD232" s="93">
        <f t="shared" si="218"/>
        <v>0</v>
      </c>
      <c r="AE232" s="93">
        <f t="shared" si="218"/>
        <v>0</v>
      </c>
      <c r="AF232" s="93">
        <f t="shared" si="218"/>
        <v>0</v>
      </c>
      <c r="AG232" s="93">
        <f t="shared" si="218"/>
        <v>0</v>
      </c>
      <c r="AH232" s="93">
        <f t="shared" si="218"/>
        <v>0</v>
      </c>
      <c r="AI232" s="93"/>
      <c r="AJ232" s="93" t="e">
        <f>AJ228*$A$232</f>
        <v>#REF!</v>
      </c>
      <c r="AK232" s="93" t="e">
        <f>AK228*$A$232</f>
        <v>#REF!</v>
      </c>
      <c r="AL232" s="93" t="e">
        <f>AL228*$A$232</f>
        <v>#REF!</v>
      </c>
      <c r="AM232" s="93" t="e">
        <f>AM228*$A$232</f>
        <v>#REF!</v>
      </c>
      <c r="AN232" s="93" t="e">
        <f>AN228*$A$232</f>
        <v>#REF!</v>
      </c>
      <c r="AO232" s="114" t="e">
        <f t="shared" si="213"/>
        <v>#REF!</v>
      </c>
      <c r="AP232" s="93" t="e">
        <f t="shared" ref="AP232:BA232" si="219">AP228*$A$232</f>
        <v>#REF!</v>
      </c>
      <c r="AQ232" s="93" t="e">
        <f t="shared" si="219"/>
        <v>#REF!</v>
      </c>
      <c r="AR232" s="93" t="e">
        <f t="shared" si="219"/>
        <v>#REF!</v>
      </c>
      <c r="AS232" s="93" t="e">
        <f t="shared" si="219"/>
        <v>#REF!</v>
      </c>
      <c r="AT232" s="93" t="e">
        <f t="shared" si="219"/>
        <v>#REF!</v>
      </c>
      <c r="AU232" s="93" t="e">
        <f t="shared" si="219"/>
        <v>#REF!</v>
      </c>
      <c r="AV232" s="93" t="e">
        <f t="shared" si="219"/>
        <v>#REF!</v>
      </c>
      <c r="AW232" s="93" t="e">
        <f t="shared" si="219"/>
        <v>#REF!</v>
      </c>
      <c r="AX232" s="93" t="e">
        <f t="shared" si="219"/>
        <v>#REF!</v>
      </c>
      <c r="AY232" s="93" t="e">
        <f t="shared" si="219"/>
        <v>#REF!</v>
      </c>
      <c r="AZ232" s="93" t="e">
        <f t="shared" si="219"/>
        <v>#REF!</v>
      </c>
      <c r="BA232" s="93" t="e">
        <f t="shared" si="219"/>
        <v>#REF!</v>
      </c>
      <c r="BB232" s="114" t="e">
        <f t="shared" si="215"/>
        <v>#REF!</v>
      </c>
      <c r="BC232" s="93"/>
    </row>
    <row r="233" spans="1:55" x14ac:dyDescent="0.3">
      <c r="A233" s="156">
        <v>0</v>
      </c>
      <c r="B233" s="138" t="s">
        <v>604</v>
      </c>
      <c r="C233" s="116">
        <f>C228*$A$233</f>
        <v>0</v>
      </c>
      <c r="D233" s="115"/>
      <c r="E233" s="116">
        <f>E228*$A$233</f>
        <v>0</v>
      </c>
      <c r="F233" s="115"/>
      <c r="G233" s="116">
        <f>G228*$A$233</f>
        <v>0</v>
      </c>
      <c r="H233" s="115"/>
      <c r="I233" s="116">
        <f>I228*$A$233</f>
        <v>0</v>
      </c>
      <c r="J233" s="115"/>
      <c r="K233" s="116">
        <f>K228*$A$233</f>
        <v>0</v>
      </c>
      <c r="L233" s="115"/>
      <c r="M233" s="116">
        <f>M228*$A$233</f>
        <v>0</v>
      </c>
      <c r="N233" s="115"/>
      <c r="O233" s="116">
        <f>O228*$A$233</f>
        <v>0</v>
      </c>
      <c r="P233" s="115"/>
      <c r="Q233" s="116">
        <f>Q228*$A$233</f>
        <v>0</v>
      </c>
      <c r="R233" s="115"/>
      <c r="S233" s="116">
        <f>S228*$A$233</f>
        <v>0</v>
      </c>
      <c r="T233" s="115"/>
      <c r="U233" s="116">
        <f>U228*$A$233</f>
        <v>0</v>
      </c>
      <c r="V233" s="115"/>
      <c r="W233" s="116">
        <f>W228*$A$233</f>
        <v>0</v>
      </c>
      <c r="X233" s="115"/>
      <c r="Y233" s="116">
        <f>Y228*$A$233</f>
        <v>0</v>
      </c>
      <c r="Z233" s="115"/>
      <c r="AA233" s="93">
        <f t="shared" ref="AA233:AH233" si="220">AA228*$A$233</f>
        <v>0</v>
      </c>
      <c r="AB233" s="93">
        <f t="shared" si="220"/>
        <v>0</v>
      </c>
      <c r="AC233" s="93">
        <f t="shared" si="220"/>
        <v>0</v>
      </c>
      <c r="AD233" s="93">
        <f t="shared" si="220"/>
        <v>0</v>
      </c>
      <c r="AE233" s="93">
        <f t="shared" si="220"/>
        <v>0</v>
      </c>
      <c r="AF233" s="93">
        <f t="shared" si="220"/>
        <v>0</v>
      </c>
      <c r="AG233" s="93">
        <f t="shared" si="220"/>
        <v>0</v>
      </c>
      <c r="AH233" s="93">
        <f t="shared" si="220"/>
        <v>0</v>
      </c>
      <c r="AI233" s="93"/>
      <c r="AJ233" s="93" t="e">
        <f>AJ228*$A$233</f>
        <v>#REF!</v>
      </c>
      <c r="AK233" s="93" t="e">
        <f>AK228*$A$233</f>
        <v>#REF!</v>
      </c>
      <c r="AL233" s="93" t="e">
        <f>AL228*$A$233</f>
        <v>#REF!</v>
      </c>
      <c r="AM233" s="93" t="e">
        <f>AM228*$A$233</f>
        <v>#REF!</v>
      </c>
      <c r="AN233" s="93" t="e">
        <f>AN228*$A$233</f>
        <v>#REF!</v>
      </c>
      <c r="AO233" s="114" t="e">
        <f t="shared" si="213"/>
        <v>#REF!</v>
      </c>
      <c r="AP233" s="93" t="e">
        <f t="shared" ref="AP233:BA233" si="221">AP228*$A$233</f>
        <v>#REF!</v>
      </c>
      <c r="AQ233" s="93" t="e">
        <f t="shared" si="221"/>
        <v>#REF!</v>
      </c>
      <c r="AR233" s="93" t="e">
        <f t="shared" si="221"/>
        <v>#REF!</v>
      </c>
      <c r="AS233" s="93" t="e">
        <f t="shared" si="221"/>
        <v>#REF!</v>
      </c>
      <c r="AT233" s="93" t="e">
        <f t="shared" si="221"/>
        <v>#REF!</v>
      </c>
      <c r="AU233" s="93" t="e">
        <f t="shared" si="221"/>
        <v>#REF!</v>
      </c>
      <c r="AV233" s="93" t="e">
        <f t="shared" si="221"/>
        <v>#REF!</v>
      </c>
      <c r="AW233" s="93" t="e">
        <f t="shared" si="221"/>
        <v>#REF!</v>
      </c>
      <c r="AX233" s="93" t="e">
        <f t="shared" si="221"/>
        <v>#REF!</v>
      </c>
      <c r="AY233" s="93" t="e">
        <f t="shared" si="221"/>
        <v>#REF!</v>
      </c>
      <c r="AZ233" s="93" t="e">
        <f t="shared" si="221"/>
        <v>#REF!</v>
      </c>
      <c r="BA233" s="93" t="e">
        <f t="shared" si="221"/>
        <v>#REF!</v>
      </c>
      <c r="BB233" s="114" t="e">
        <f t="shared" si="215"/>
        <v>#REF!</v>
      </c>
      <c r="BC233" s="93"/>
    </row>
    <row r="234" spans="1:55" x14ac:dyDescent="0.3">
      <c r="A234" s="156">
        <v>1.438E-2</v>
      </c>
      <c r="B234" s="138" t="s">
        <v>605</v>
      </c>
      <c r="C234" s="116">
        <f>C228*$A$234</f>
        <v>0</v>
      </c>
      <c r="D234" s="115"/>
      <c r="E234" s="116">
        <f>E228*$A$234</f>
        <v>0</v>
      </c>
      <c r="F234" s="115"/>
      <c r="G234" s="116">
        <f>G228*$A$234</f>
        <v>0</v>
      </c>
      <c r="H234" s="115"/>
      <c r="I234" s="116">
        <f>I228*$A$234</f>
        <v>0</v>
      </c>
      <c r="J234" s="115"/>
      <c r="K234" s="116">
        <f>K228*$A$234</f>
        <v>0</v>
      </c>
      <c r="L234" s="115"/>
      <c r="M234" s="116">
        <f>M228*$A$234</f>
        <v>0</v>
      </c>
      <c r="N234" s="115"/>
      <c r="O234" s="116">
        <f>O228*$A$234</f>
        <v>0</v>
      </c>
      <c r="P234" s="115"/>
      <c r="Q234" s="116">
        <f>Q228*$A$234</f>
        <v>0</v>
      </c>
      <c r="R234" s="115"/>
      <c r="S234" s="116">
        <f>S228*$A$234</f>
        <v>0</v>
      </c>
      <c r="T234" s="115"/>
      <c r="U234" s="116">
        <f>U228*$A$234</f>
        <v>0</v>
      </c>
      <c r="V234" s="115"/>
      <c r="W234" s="116">
        <f>W228*$A$234</f>
        <v>0</v>
      </c>
      <c r="X234" s="115"/>
      <c r="Y234" s="116">
        <f>Y228*$A$234</f>
        <v>0</v>
      </c>
      <c r="Z234" s="115"/>
      <c r="AA234" s="93">
        <f t="shared" ref="AA234:AH234" si="222">AA228*$A$234</f>
        <v>0</v>
      </c>
      <c r="AB234" s="93">
        <f t="shared" si="222"/>
        <v>0</v>
      </c>
      <c r="AC234" s="93">
        <f t="shared" si="222"/>
        <v>0</v>
      </c>
      <c r="AD234" s="93">
        <f t="shared" si="222"/>
        <v>0</v>
      </c>
      <c r="AE234" s="93">
        <f t="shared" si="222"/>
        <v>0</v>
      </c>
      <c r="AF234" s="93">
        <f t="shared" si="222"/>
        <v>0</v>
      </c>
      <c r="AG234" s="93">
        <f t="shared" si="222"/>
        <v>0</v>
      </c>
      <c r="AH234" s="93">
        <f t="shared" si="222"/>
        <v>0</v>
      </c>
      <c r="AI234" s="93"/>
      <c r="AJ234" s="93" t="e">
        <f>AJ228*$A$234</f>
        <v>#REF!</v>
      </c>
      <c r="AK234" s="93" t="e">
        <f>AK228*$A$234</f>
        <v>#REF!</v>
      </c>
      <c r="AL234" s="93" t="e">
        <f>AL228*$A$234</f>
        <v>#REF!</v>
      </c>
      <c r="AM234" s="93" t="e">
        <f>AM228*$A$234</f>
        <v>#REF!</v>
      </c>
      <c r="AN234" s="93" t="e">
        <f>AN228*$A$234</f>
        <v>#REF!</v>
      </c>
      <c r="AO234" s="114" t="e">
        <f t="shared" si="213"/>
        <v>#REF!</v>
      </c>
      <c r="AP234" s="93" t="e">
        <f t="shared" ref="AP234:BA234" si="223">AP228*$A$234</f>
        <v>#REF!</v>
      </c>
      <c r="AQ234" s="93" t="e">
        <f t="shared" si="223"/>
        <v>#REF!</v>
      </c>
      <c r="AR234" s="93" t="e">
        <f t="shared" si="223"/>
        <v>#REF!</v>
      </c>
      <c r="AS234" s="93" t="e">
        <f t="shared" si="223"/>
        <v>#REF!</v>
      </c>
      <c r="AT234" s="93" t="e">
        <f t="shared" si="223"/>
        <v>#REF!</v>
      </c>
      <c r="AU234" s="93" t="e">
        <f t="shared" si="223"/>
        <v>#REF!</v>
      </c>
      <c r="AV234" s="93" t="e">
        <f t="shared" si="223"/>
        <v>#REF!</v>
      </c>
      <c r="AW234" s="93" t="e">
        <f t="shared" si="223"/>
        <v>#REF!</v>
      </c>
      <c r="AX234" s="93" t="e">
        <f t="shared" si="223"/>
        <v>#REF!</v>
      </c>
      <c r="AY234" s="93" t="e">
        <f t="shared" si="223"/>
        <v>#REF!</v>
      </c>
      <c r="AZ234" s="93" t="e">
        <f t="shared" si="223"/>
        <v>#REF!</v>
      </c>
      <c r="BA234" s="93" t="e">
        <f t="shared" si="223"/>
        <v>#REF!</v>
      </c>
      <c r="BB234" s="114" t="e">
        <f t="shared" si="215"/>
        <v>#REF!</v>
      </c>
      <c r="BC234" s="93"/>
    </row>
    <row r="235" spans="1:55" x14ac:dyDescent="0.3">
      <c r="A235" s="156">
        <v>6.3000000000000003E-4</v>
      </c>
      <c r="B235" s="138" t="s">
        <v>606</v>
      </c>
      <c r="C235" s="116">
        <f>C228*$A$235</f>
        <v>0</v>
      </c>
      <c r="D235" s="115"/>
      <c r="E235" s="116">
        <f>E228*$A$235</f>
        <v>0</v>
      </c>
      <c r="F235" s="115"/>
      <c r="G235" s="116">
        <f>G228*$A$235</f>
        <v>0</v>
      </c>
      <c r="H235" s="115"/>
      <c r="I235" s="116">
        <f>I228*$A$235</f>
        <v>0</v>
      </c>
      <c r="J235" s="115"/>
      <c r="K235" s="116">
        <f>K228*$A$235</f>
        <v>0</v>
      </c>
      <c r="L235" s="115"/>
      <c r="M235" s="116">
        <f>M228*$A$235</f>
        <v>0</v>
      </c>
      <c r="N235" s="115"/>
      <c r="O235" s="116">
        <f>O228*$A$235</f>
        <v>0</v>
      </c>
      <c r="P235" s="115"/>
      <c r="Q235" s="116">
        <f>Q228*$A$235</f>
        <v>0</v>
      </c>
      <c r="R235" s="115"/>
      <c r="S235" s="116">
        <f>S228*$A$235</f>
        <v>0</v>
      </c>
      <c r="T235" s="115"/>
      <c r="U235" s="116">
        <f>U228*$A$235</f>
        <v>0</v>
      </c>
      <c r="V235" s="115"/>
      <c r="W235" s="116">
        <f>W228*$A$235</f>
        <v>0</v>
      </c>
      <c r="X235" s="115"/>
      <c r="Y235" s="116">
        <f>Y228*$A$235</f>
        <v>0</v>
      </c>
      <c r="Z235" s="115"/>
      <c r="AA235" s="93">
        <f t="shared" ref="AA235:AH235" si="224">AA228*$A$235</f>
        <v>0</v>
      </c>
      <c r="AB235" s="93">
        <f t="shared" si="224"/>
        <v>0</v>
      </c>
      <c r="AC235" s="93">
        <f t="shared" si="224"/>
        <v>0</v>
      </c>
      <c r="AD235" s="93">
        <f t="shared" si="224"/>
        <v>0</v>
      </c>
      <c r="AE235" s="93">
        <f t="shared" si="224"/>
        <v>0</v>
      </c>
      <c r="AF235" s="93">
        <f t="shared" si="224"/>
        <v>0</v>
      </c>
      <c r="AG235" s="93">
        <f t="shared" si="224"/>
        <v>0</v>
      </c>
      <c r="AH235" s="93">
        <f t="shared" si="224"/>
        <v>0</v>
      </c>
      <c r="AI235" s="93"/>
      <c r="AJ235" s="93" t="e">
        <f>AJ228*$A$235</f>
        <v>#REF!</v>
      </c>
      <c r="AK235" s="93" t="e">
        <f>AK228*$A$235</f>
        <v>#REF!</v>
      </c>
      <c r="AL235" s="93" t="e">
        <f>AL228*$A$235</f>
        <v>#REF!</v>
      </c>
      <c r="AM235" s="93" t="e">
        <f>AM228*$A$235</f>
        <v>#REF!</v>
      </c>
      <c r="AN235" s="93" t="e">
        <f>AN228*$A$235</f>
        <v>#REF!</v>
      </c>
      <c r="AO235" s="114" t="e">
        <f t="shared" si="213"/>
        <v>#REF!</v>
      </c>
      <c r="AP235" s="93" t="e">
        <f t="shared" ref="AP235:BA235" si="225">AP228*$A$235</f>
        <v>#REF!</v>
      </c>
      <c r="AQ235" s="93" t="e">
        <f t="shared" si="225"/>
        <v>#REF!</v>
      </c>
      <c r="AR235" s="93" t="e">
        <f t="shared" si="225"/>
        <v>#REF!</v>
      </c>
      <c r="AS235" s="93" t="e">
        <f t="shared" si="225"/>
        <v>#REF!</v>
      </c>
      <c r="AT235" s="93" t="e">
        <f t="shared" si="225"/>
        <v>#REF!</v>
      </c>
      <c r="AU235" s="93" t="e">
        <f t="shared" si="225"/>
        <v>#REF!</v>
      </c>
      <c r="AV235" s="93" t="e">
        <f t="shared" si="225"/>
        <v>#REF!</v>
      </c>
      <c r="AW235" s="93" t="e">
        <f t="shared" si="225"/>
        <v>#REF!</v>
      </c>
      <c r="AX235" s="93" t="e">
        <f t="shared" si="225"/>
        <v>#REF!</v>
      </c>
      <c r="AY235" s="93" t="e">
        <f t="shared" si="225"/>
        <v>#REF!</v>
      </c>
      <c r="AZ235" s="93" t="e">
        <f t="shared" si="225"/>
        <v>#REF!</v>
      </c>
      <c r="BA235" s="93" t="e">
        <f t="shared" si="225"/>
        <v>#REF!</v>
      </c>
      <c r="BB235" s="114" t="e">
        <f t="shared" si="215"/>
        <v>#REF!</v>
      </c>
      <c r="BC235" s="93"/>
    </row>
    <row r="236" spans="1:55" x14ac:dyDescent="0.3">
      <c r="A236" s="156">
        <v>2.0809999999999999E-2</v>
      </c>
      <c r="B236" s="138" t="s">
        <v>607</v>
      </c>
      <c r="C236" s="116">
        <f>C228*$A$236</f>
        <v>0</v>
      </c>
      <c r="D236" s="115"/>
      <c r="E236" s="116">
        <f>E228*$A$236</f>
        <v>0</v>
      </c>
      <c r="F236" s="115"/>
      <c r="G236" s="116">
        <f>G228*$A$236</f>
        <v>0</v>
      </c>
      <c r="H236" s="115"/>
      <c r="I236" s="116">
        <f>I228*$A$236</f>
        <v>0</v>
      </c>
      <c r="J236" s="115"/>
      <c r="K236" s="116">
        <f>K228*$A$236</f>
        <v>0</v>
      </c>
      <c r="L236" s="115"/>
      <c r="M236" s="116">
        <f>M228*$A$236</f>
        <v>0</v>
      </c>
      <c r="N236" s="115"/>
      <c r="O236" s="116">
        <f>O228*$A$236</f>
        <v>0</v>
      </c>
      <c r="P236" s="115"/>
      <c r="Q236" s="116">
        <f>Q228*$A$236</f>
        <v>0</v>
      </c>
      <c r="R236" s="115"/>
      <c r="S236" s="116">
        <f>S228*$A$236</f>
        <v>0</v>
      </c>
      <c r="T236" s="115"/>
      <c r="U236" s="116">
        <f>U228*$A$236</f>
        <v>0</v>
      </c>
      <c r="V236" s="115"/>
      <c r="W236" s="116">
        <f>W228*$A$236</f>
        <v>0</v>
      </c>
      <c r="X236" s="115"/>
      <c r="Y236" s="116">
        <f>Y228*$A$236</f>
        <v>0</v>
      </c>
      <c r="Z236" s="115"/>
      <c r="AA236" s="93">
        <f t="shared" ref="AA236:AH236" si="226">AA228*$A$236</f>
        <v>0</v>
      </c>
      <c r="AB236" s="93">
        <f t="shared" si="226"/>
        <v>0</v>
      </c>
      <c r="AC236" s="93">
        <f t="shared" si="226"/>
        <v>0</v>
      </c>
      <c r="AD236" s="93">
        <f t="shared" si="226"/>
        <v>0</v>
      </c>
      <c r="AE236" s="93">
        <f t="shared" si="226"/>
        <v>0</v>
      </c>
      <c r="AF236" s="93">
        <f t="shared" si="226"/>
        <v>0</v>
      </c>
      <c r="AG236" s="93">
        <f t="shared" si="226"/>
        <v>0</v>
      </c>
      <c r="AH236" s="93">
        <f t="shared" si="226"/>
        <v>0</v>
      </c>
      <c r="AI236" s="93"/>
      <c r="AJ236" s="93" t="e">
        <f>AJ228*$A$236</f>
        <v>#REF!</v>
      </c>
      <c r="AK236" s="93" t="e">
        <f>AK228*$A$236</f>
        <v>#REF!</v>
      </c>
      <c r="AL236" s="93" t="e">
        <f>AL228*$A$236</f>
        <v>#REF!</v>
      </c>
      <c r="AM236" s="93" t="e">
        <f>AM228*$A$236</f>
        <v>#REF!</v>
      </c>
      <c r="AN236" s="93" t="e">
        <f>AN228*$A$236</f>
        <v>#REF!</v>
      </c>
      <c r="AO236" s="114" t="e">
        <f t="shared" si="213"/>
        <v>#REF!</v>
      </c>
      <c r="AP236" s="93" t="e">
        <f t="shared" ref="AP236:BA236" si="227">AP228*$A$236</f>
        <v>#REF!</v>
      </c>
      <c r="AQ236" s="93" t="e">
        <f t="shared" si="227"/>
        <v>#REF!</v>
      </c>
      <c r="AR236" s="93" t="e">
        <f t="shared" si="227"/>
        <v>#REF!</v>
      </c>
      <c r="AS236" s="93" t="e">
        <f t="shared" si="227"/>
        <v>#REF!</v>
      </c>
      <c r="AT236" s="93" t="e">
        <f t="shared" si="227"/>
        <v>#REF!</v>
      </c>
      <c r="AU236" s="93" t="e">
        <f t="shared" si="227"/>
        <v>#REF!</v>
      </c>
      <c r="AV236" s="93" t="e">
        <f t="shared" si="227"/>
        <v>#REF!</v>
      </c>
      <c r="AW236" s="93" t="e">
        <f t="shared" si="227"/>
        <v>#REF!</v>
      </c>
      <c r="AX236" s="93" t="e">
        <f t="shared" si="227"/>
        <v>#REF!</v>
      </c>
      <c r="AY236" s="93" t="e">
        <f t="shared" si="227"/>
        <v>#REF!</v>
      </c>
      <c r="AZ236" s="93" t="e">
        <f t="shared" si="227"/>
        <v>#REF!</v>
      </c>
      <c r="BA236" s="93" t="e">
        <f t="shared" si="227"/>
        <v>#REF!</v>
      </c>
      <c r="BB236" s="114" t="e">
        <f t="shared" si="215"/>
        <v>#REF!</v>
      </c>
      <c r="BC236" s="93"/>
    </row>
    <row r="237" spans="1:55" x14ac:dyDescent="0.3">
      <c r="A237" s="108"/>
      <c r="B237" s="137" t="s">
        <v>608</v>
      </c>
      <c r="C237" s="136"/>
      <c r="D237" s="135"/>
      <c r="E237" s="136"/>
      <c r="F237" s="135"/>
      <c r="G237" s="136"/>
      <c r="H237" s="135"/>
      <c r="I237" s="136"/>
      <c r="J237" s="135"/>
      <c r="K237" s="136"/>
      <c r="L237" s="135"/>
      <c r="M237" s="136"/>
      <c r="N237" s="135"/>
      <c r="O237" s="136"/>
      <c r="P237" s="135"/>
      <c r="Q237" s="136"/>
      <c r="R237" s="135"/>
      <c r="S237" s="136"/>
      <c r="T237" s="135"/>
      <c r="U237" s="136"/>
      <c r="V237" s="135"/>
      <c r="W237" s="136"/>
      <c r="X237" s="135"/>
      <c r="Y237" s="136"/>
      <c r="Z237" s="135"/>
      <c r="AA237" s="132"/>
      <c r="AB237" s="132"/>
      <c r="AC237" s="132"/>
      <c r="AD237" s="132"/>
      <c r="AE237" s="132"/>
      <c r="AF237" s="132"/>
      <c r="AG237" s="132"/>
      <c r="AH237" s="132"/>
      <c r="AI237" s="132"/>
      <c r="AJ237" s="132"/>
      <c r="AK237" s="132"/>
      <c r="AL237" s="132"/>
      <c r="AM237" s="132"/>
      <c r="AN237" s="132"/>
      <c r="AO237" s="155"/>
      <c r="AP237" s="132"/>
      <c r="AQ237" s="132"/>
      <c r="AR237" s="132"/>
      <c r="AS237" s="132"/>
      <c r="AT237" s="132"/>
      <c r="AU237" s="132"/>
      <c r="AV237" s="132"/>
      <c r="AW237" s="132"/>
      <c r="AX237" s="132"/>
      <c r="AY237" s="132"/>
      <c r="AZ237" s="132"/>
      <c r="BA237" s="132"/>
      <c r="BB237" s="155"/>
      <c r="BC237" s="132"/>
    </row>
    <row r="238" spans="1:55" x14ac:dyDescent="0.3">
      <c r="A238" s="125">
        <v>0</v>
      </c>
      <c r="B238" s="131" t="s">
        <v>609</v>
      </c>
      <c r="C238" s="130">
        <f>C228*$A$238</f>
        <v>0</v>
      </c>
      <c r="D238" s="129"/>
      <c r="E238" s="130">
        <f>E228*$A$238</f>
        <v>0</v>
      </c>
      <c r="F238" s="129"/>
      <c r="G238" s="130">
        <f>G228*$A$238</f>
        <v>0</v>
      </c>
      <c r="H238" s="129"/>
      <c r="I238" s="130">
        <f>I228*$A$238</f>
        <v>0</v>
      </c>
      <c r="J238" s="129"/>
      <c r="K238" s="130">
        <f>K228*$A$238</f>
        <v>0</v>
      </c>
      <c r="L238" s="129"/>
      <c r="M238" s="130">
        <f>M228*$A$238</f>
        <v>0</v>
      </c>
      <c r="N238" s="129"/>
      <c r="O238" s="130">
        <f>O228*$A$238</f>
        <v>0</v>
      </c>
      <c r="P238" s="129"/>
      <c r="Q238" s="130">
        <f>Q228*$A$238</f>
        <v>0</v>
      </c>
      <c r="R238" s="129"/>
      <c r="S238" s="130">
        <f>S228*$A$238</f>
        <v>0</v>
      </c>
      <c r="T238" s="129"/>
      <c r="U238" s="130">
        <f>U228*$A$238</f>
        <v>0</v>
      </c>
      <c r="V238" s="129"/>
      <c r="W238" s="130">
        <f>W228*$A$238</f>
        <v>0</v>
      </c>
      <c r="X238" s="129"/>
      <c r="Y238" s="130">
        <f>Y228*$A$238</f>
        <v>0</v>
      </c>
      <c r="Z238" s="129"/>
      <c r="AA238" s="126">
        <f t="shared" ref="AA238:AH238" si="228">AA228*$A$238</f>
        <v>0</v>
      </c>
      <c r="AB238" s="126">
        <f t="shared" si="228"/>
        <v>0</v>
      </c>
      <c r="AC238" s="126">
        <f t="shared" si="228"/>
        <v>0</v>
      </c>
      <c r="AD238" s="126">
        <f t="shared" si="228"/>
        <v>0</v>
      </c>
      <c r="AE238" s="126">
        <f t="shared" si="228"/>
        <v>0</v>
      </c>
      <c r="AF238" s="126">
        <f t="shared" si="228"/>
        <v>0</v>
      </c>
      <c r="AG238" s="126">
        <f t="shared" si="228"/>
        <v>0</v>
      </c>
      <c r="AH238" s="126">
        <f t="shared" si="228"/>
        <v>0</v>
      </c>
      <c r="AI238" s="126"/>
      <c r="AJ238" s="126" t="e">
        <f>AJ228*$A$238</f>
        <v>#REF!</v>
      </c>
      <c r="AK238" s="126" t="e">
        <f>AK228*$A$238</f>
        <v>#REF!</v>
      </c>
      <c r="AL238" s="126" t="e">
        <f>AL228*$A$238</f>
        <v>#REF!</v>
      </c>
      <c r="AM238" s="126" t="e">
        <f>AM228*$A$238</f>
        <v>#REF!</v>
      </c>
      <c r="AN238" s="126" t="e">
        <f>AN228*$A$238</f>
        <v>#REF!</v>
      </c>
      <c r="AO238" s="114" t="e">
        <f>SUM(AB238:AN238)</f>
        <v>#REF!</v>
      </c>
      <c r="AP238" s="126" t="e">
        <f t="shared" ref="AP238:BA238" si="229">AP228*$A$238</f>
        <v>#REF!</v>
      </c>
      <c r="AQ238" s="126" t="e">
        <f t="shared" si="229"/>
        <v>#REF!</v>
      </c>
      <c r="AR238" s="126" t="e">
        <f t="shared" si="229"/>
        <v>#REF!</v>
      </c>
      <c r="AS238" s="126" t="e">
        <f t="shared" si="229"/>
        <v>#REF!</v>
      </c>
      <c r="AT238" s="126" t="e">
        <f t="shared" si="229"/>
        <v>#REF!</v>
      </c>
      <c r="AU238" s="126" t="e">
        <f t="shared" si="229"/>
        <v>#REF!</v>
      </c>
      <c r="AV238" s="126" t="e">
        <f t="shared" si="229"/>
        <v>#REF!</v>
      </c>
      <c r="AW238" s="126" t="e">
        <f t="shared" si="229"/>
        <v>#REF!</v>
      </c>
      <c r="AX238" s="126" t="e">
        <f t="shared" si="229"/>
        <v>#REF!</v>
      </c>
      <c r="AY238" s="126" t="e">
        <f t="shared" si="229"/>
        <v>#REF!</v>
      </c>
      <c r="AZ238" s="126" t="e">
        <f t="shared" si="229"/>
        <v>#REF!</v>
      </c>
      <c r="BA238" s="126" t="e">
        <f t="shared" si="229"/>
        <v>#REF!</v>
      </c>
      <c r="BB238" s="114" t="e">
        <f>SUM(AP238:BA238)</f>
        <v>#REF!</v>
      </c>
      <c r="BC238" s="126"/>
    </row>
    <row r="239" spans="1:55" x14ac:dyDescent="0.3">
      <c r="A239" s="125">
        <v>4.2999999999999997E-2</v>
      </c>
      <c r="B239" s="124" t="s">
        <v>610</v>
      </c>
      <c r="C239" s="112">
        <f>C228*$A$239</f>
        <v>0</v>
      </c>
      <c r="D239" s="111"/>
      <c r="E239" s="112">
        <f>E228*$A$239</f>
        <v>0</v>
      </c>
      <c r="F239" s="111"/>
      <c r="G239" s="112">
        <f>G228*$A$239</f>
        <v>0</v>
      </c>
      <c r="H239" s="111"/>
      <c r="I239" s="112">
        <f>I228*$A$239</f>
        <v>0</v>
      </c>
      <c r="J239" s="111"/>
      <c r="K239" s="112">
        <f>K228*$A$239</f>
        <v>0</v>
      </c>
      <c r="L239" s="111"/>
      <c r="M239" s="112">
        <f>M228*$A$239</f>
        <v>0</v>
      </c>
      <c r="N239" s="111"/>
      <c r="O239" s="112">
        <f>O228*$A$239</f>
        <v>0</v>
      </c>
      <c r="P239" s="111"/>
      <c r="Q239" s="112">
        <f>Q228*$A$239</f>
        <v>0</v>
      </c>
      <c r="R239" s="111"/>
      <c r="S239" s="112">
        <f>S228*$A$239</f>
        <v>0</v>
      </c>
      <c r="T239" s="111"/>
      <c r="U239" s="112">
        <f>U228*$A$239</f>
        <v>0</v>
      </c>
      <c r="V239" s="111"/>
      <c r="W239" s="112">
        <f>W228*$A$239</f>
        <v>0</v>
      </c>
      <c r="X239" s="111"/>
      <c r="Y239" s="112">
        <f>Y228*$A$239</f>
        <v>0</v>
      </c>
      <c r="Z239" s="111"/>
      <c r="AA239" s="109">
        <f t="shared" ref="AA239:AH239" si="230">AA228*$A$239</f>
        <v>0</v>
      </c>
      <c r="AB239" s="109">
        <f t="shared" si="230"/>
        <v>0</v>
      </c>
      <c r="AC239" s="109">
        <f t="shared" si="230"/>
        <v>0</v>
      </c>
      <c r="AD239" s="109">
        <f t="shared" si="230"/>
        <v>0</v>
      </c>
      <c r="AE239" s="109">
        <f t="shared" si="230"/>
        <v>0</v>
      </c>
      <c r="AF239" s="109">
        <f t="shared" si="230"/>
        <v>0</v>
      </c>
      <c r="AG239" s="109">
        <f t="shared" si="230"/>
        <v>0</v>
      </c>
      <c r="AH239" s="109">
        <f t="shared" si="230"/>
        <v>0</v>
      </c>
      <c r="AI239" s="109"/>
      <c r="AJ239" s="109" t="e">
        <f>AJ228*$A$239</f>
        <v>#REF!</v>
      </c>
      <c r="AK239" s="109" t="e">
        <f>AK228*$A$239</f>
        <v>#REF!</v>
      </c>
      <c r="AL239" s="109" t="e">
        <f>AL228*$A$239</f>
        <v>#REF!</v>
      </c>
      <c r="AM239" s="109" t="e">
        <f>AM228*$A$239</f>
        <v>#REF!</v>
      </c>
      <c r="AN239" s="109" t="e">
        <f>AN228*$A$239</f>
        <v>#REF!</v>
      </c>
      <c r="AO239" s="110" t="e">
        <f>SUM(AB239:AN239)</f>
        <v>#REF!</v>
      </c>
      <c r="AP239" s="109" t="e">
        <f t="shared" ref="AP239:BA239" si="231">AP228*$A$239</f>
        <v>#REF!</v>
      </c>
      <c r="AQ239" s="109" t="e">
        <f t="shared" si="231"/>
        <v>#REF!</v>
      </c>
      <c r="AR239" s="109" t="e">
        <f t="shared" si="231"/>
        <v>#REF!</v>
      </c>
      <c r="AS239" s="109" t="e">
        <f t="shared" si="231"/>
        <v>#REF!</v>
      </c>
      <c r="AT239" s="109" t="e">
        <f t="shared" si="231"/>
        <v>#REF!</v>
      </c>
      <c r="AU239" s="109" t="e">
        <f t="shared" si="231"/>
        <v>#REF!</v>
      </c>
      <c r="AV239" s="109" t="e">
        <f t="shared" si="231"/>
        <v>#REF!</v>
      </c>
      <c r="AW239" s="109" t="e">
        <f t="shared" si="231"/>
        <v>#REF!</v>
      </c>
      <c r="AX239" s="109" t="e">
        <f t="shared" si="231"/>
        <v>#REF!</v>
      </c>
      <c r="AY239" s="109" t="e">
        <f t="shared" si="231"/>
        <v>#REF!</v>
      </c>
      <c r="AZ239" s="109" t="e">
        <f t="shared" si="231"/>
        <v>#REF!</v>
      </c>
      <c r="BA239" s="109" t="e">
        <f t="shared" si="231"/>
        <v>#REF!</v>
      </c>
      <c r="BB239" s="110" t="e">
        <f>SUM(AP239:BA239)</f>
        <v>#REF!</v>
      </c>
      <c r="BC239" s="109"/>
    </row>
    <row r="240" spans="1:55" x14ac:dyDescent="0.3">
      <c r="A240" s="108"/>
      <c r="B240" s="380" t="s">
        <v>611</v>
      </c>
      <c r="C240" s="123">
        <f>SUM(C238:C239)</f>
        <v>0</v>
      </c>
      <c r="D240" s="388"/>
      <c r="E240" s="123">
        <f>SUM(E238:E239)</f>
        <v>0</v>
      </c>
      <c r="F240" s="388"/>
      <c r="G240" s="123">
        <f>SUM(G238:G239)</f>
        <v>0</v>
      </c>
      <c r="H240" s="388"/>
      <c r="I240" s="123">
        <f>SUM(I238:I239)</f>
        <v>0</v>
      </c>
      <c r="J240" s="388"/>
      <c r="K240" s="123">
        <f>SUM(K238:K239)</f>
        <v>0</v>
      </c>
      <c r="L240" s="388"/>
      <c r="M240" s="123">
        <f>SUM(M238:M239)</f>
        <v>0</v>
      </c>
      <c r="N240" s="388"/>
      <c r="O240" s="123">
        <f>SUM(O238:O239)</f>
        <v>0</v>
      </c>
      <c r="P240" s="388"/>
      <c r="Q240" s="123">
        <f>SUM(Q238:Q239)</f>
        <v>0</v>
      </c>
      <c r="R240" s="388"/>
      <c r="S240" s="123">
        <f>SUM(S238:S239)</f>
        <v>0</v>
      </c>
      <c r="T240" s="388"/>
      <c r="U240" s="123">
        <f>SUM(U238:U239)</f>
        <v>0</v>
      </c>
      <c r="V240" s="388"/>
      <c r="W240" s="123">
        <f>SUM(W238:W239)</f>
        <v>0</v>
      </c>
      <c r="X240" s="388"/>
      <c r="Y240" s="123">
        <f>SUM(Y238:Y239)</f>
        <v>0</v>
      </c>
      <c r="Z240" s="388"/>
      <c r="AA240" s="389">
        <f t="shared" ref="AA240:AH240" si="232">SUM(AA238:AA239)</f>
        <v>0</v>
      </c>
      <c r="AB240" s="389">
        <f t="shared" si="232"/>
        <v>0</v>
      </c>
      <c r="AC240" s="389">
        <f t="shared" si="232"/>
        <v>0</v>
      </c>
      <c r="AD240" s="389">
        <f t="shared" si="232"/>
        <v>0</v>
      </c>
      <c r="AE240" s="389">
        <f t="shared" si="232"/>
        <v>0</v>
      </c>
      <c r="AF240" s="389">
        <f t="shared" si="232"/>
        <v>0</v>
      </c>
      <c r="AG240" s="389">
        <f t="shared" si="232"/>
        <v>0</v>
      </c>
      <c r="AH240" s="389">
        <f t="shared" si="232"/>
        <v>0</v>
      </c>
      <c r="AI240" s="389"/>
      <c r="AJ240" s="389" t="e">
        <f>SUM(AJ238:AJ239)</f>
        <v>#REF!</v>
      </c>
      <c r="AK240" s="389" t="e">
        <f>SUM(AK238:AK239)</f>
        <v>#REF!</v>
      </c>
      <c r="AL240" s="389" t="e">
        <f>SUM(AL238:AL239)</f>
        <v>#REF!</v>
      </c>
      <c r="AM240" s="389" t="e">
        <f>SUM(AM238:AM239)</f>
        <v>#REF!</v>
      </c>
      <c r="AN240" s="389" t="e">
        <f>SUM(AN238:AN239)</f>
        <v>#REF!</v>
      </c>
      <c r="AO240" s="390" t="e">
        <f>SUM(AB240:AN240)</f>
        <v>#REF!</v>
      </c>
      <c r="AP240" s="389" t="e">
        <f t="shared" ref="AP240:BA240" si="233">SUM(AP238:AP239)</f>
        <v>#REF!</v>
      </c>
      <c r="AQ240" s="389" t="e">
        <f t="shared" si="233"/>
        <v>#REF!</v>
      </c>
      <c r="AR240" s="389" t="e">
        <f t="shared" si="233"/>
        <v>#REF!</v>
      </c>
      <c r="AS240" s="389" t="e">
        <f t="shared" si="233"/>
        <v>#REF!</v>
      </c>
      <c r="AT240" s="389" t="e">
        <f t="shared" si="233"/>
        <v>#REF!</v>
      </c>
      <c r="AU240" s="389" t="e">
        <f t="shared" si="233"/>
        <v>#REF!</v>
      </c>
      <c r="AV240" s="389" t="e">
        <f t="shared" si="233"/>
        <v>#REF!</v>
      </c>
      <c r="AW240" s="389" t="e">
        <f t="shared" si="233"/>
        <v>#REF!</v>
      </c>
      <c r="AX240" s="389" t="e">
        <f t="shared" si="233"/>
        <v>#REF!</v>
      </c>
      <c r="AY240" s="389" t="e">
        <f t="shared" si="233"/>
        <v>#REF!</v>
      </c>
      <c r="AZ240" s="389" t="e">
        <f t="shared" si="233"/>
        <v>#REF!</v>
      </c>
      <c r="BA240" s="389" t="e">
        <f t="shared" si="233"/>
        <v>#REF!</v>
      </c>
      <c r="BB240" s="390" t="e">
        <f>SUM(AP240:BA240)</f>
        <v>#REF!</v>
      </c>
      <c r="BC240" s="389"/>
    </row>
    <row r="241" spans="1:55" x14ac:dyDescent="0.3">
      <c r="C241" s="83"/>
      <c r="D241" s="82"/>
      <c r="E241" s="83"/>
      <c r="F241" s="82"/>
      <c r="G241" s="83"/>
      <c r="H241" s="82"/>
      <c r="I241" s="83"/>
      <c r="J241" s="82"/>
      <c r="K241" s="83"/>
      <c r="L241" s="82"/>
      <c r="M241" s="83"/>
      <c r="N241" s="82"/>
      <c r="O241" s="83"/>
      <c r="P241" s="82"/>
      <c r="Q241" s="83"/>
      <c r="R241" s="82"/>
      <c r="S241" s="83"/>
      <c r="T241" s="82"/>
      <c r="U241" s="83"/>
      <c r="V241" s="82"/>
      <c r="W241" s="83"/>
      <c r="X241" s="82"/>
      <c r="Y241" s="83"/>
      <c r="Z241" s="82"/>
    </row>
    <row r="242" spans="1:55" ht="18.600000000000001" thickBot="1" x14ac:dyDescent="0.4">
      <c r="C242" s="151" t="s">
        <v>623</v>
      </c>
      <c r="D242" s="150"/>
      <c r="E242" s="151"/>
      <c r="F242" s="150"/>
      <c r="G242" s="151"/>
      <c r="H242" s="150"/>
      <c r="I242" s="151"/>
      <c r="J242" s="150"/>
      <c r="K242" s="83"/>
      <c r="L242" s="82"/>
      <c r="M242" s="83"/>
      <c r="N242" s="82"/>
      <c r="O242" s="83"/>
      <c r="P242" s="82"/>
      <c r="Q242" s="83"/>
      <c r="R242" s="82"/>
      <c r="S242" s="83"/>
      <c r="T242" s="82"/>
      <c r="U242" s="83"/>
      <c r="V242" s="82"/>
      <c r="W242" s="83"/>
      <c r="X242" s="82"/>
      <c r="Y242" s="83"/>
      <c r="Z242" s="82"/>
    </row>
    <row r="243" spans="1:55" ht="15" thickTop="1" x14ac:dyDescent="0.3">
      <c r="B243" s="381"/>
      <c r="C243" s="149">
        <v>45292</v>
      </c>
      <c r="D243" s="148">
        <v>45292</v>
      </c>
      <c r="E243" s="149">
        <v>45323</v>
      </c>
      <c r="F243" s="148">
        <v>45323</v>
      </c>
      <c r="G243" s="149">
        <v>45352</v>
      </c>
      <c r="H243" s="148">
        <v>45352</v>
      </c>
      <c r="I243" s="149">
        <v>45383</v>
      </c>
      <c r="J243" s="148">
        <v>45383</v>
      </c>
      <c r="K243" s="149">
        <v>45413</v>
      </c>
      <c r="L243" s="148">
        <v>45413</v>
      </c>
      <c r="M243" s="149">
        <v>45444</v>
      </c>
      <c r="N243" s="148">
        <v>45444</v>
      </c>
      <c r="O243" s="149">
        <v>45474</v>
      </c>
      <c r="P243" s="148">
        <v>45474</v>
      </c>
      <c r="Q243" s="149">
        <v>45505</v>
      </c>
      <c r="R243" s="148">
        <v>45505</v>
      </c>
      <c r="S243" s="149">
        <v>45536</v>
      </c>
      <c r="T243" s="148">
        <v>45536</v>
      </c>
      <c r="U243" s="149">
        <v>45566</v>
      </c>
      <c r="V243" s="148">
        <v>45566</v>
      </c>
      <c r="W243" s="149">
        <v>45597</v>
      </c>
      <c r="X243" s="148">
        <v>45597</v>
      </c>
      <c r="Y243" s="149">
        <v>45627</v>
      </c>
      <c r="Z243" s="148">
        <v>45627</v>
      </c>
      <c r="AA243" s="382">
        <f t="shared" ref="AA243:AH243" si="234">AA219</f>
        <v>44927</v>
      </c>
      <c r="AB243" s="382">
        <f t="shared" si="234"/>
        <v>44958</v>
      </c>
      <c r="AC243" s="382">
        <f t="shared" si="234"/>
        <v>44986</v>
      </c>
      <c r="AD243" s="382">
        <f t="shared" si="234"/>
        <v>45017</v>
      </c>
      <c r="AE243" s="382">
        <f t="shared" si="234"/>
        <v>45047</v>
      </c>
      <c r="AF243" s="382">
        <f t="shared" si="234"/>
        <v>45078</v>
      </c>
      <c r="AG243" s="382">
        <f t="shared" si="234"/>
        <v>45108</v>
      </c>
      <c r="AH243" s="382">
        <f t="shared" si="234"/>
        <v>45139</v>
      </c>
      <c r="AI243" s="381"/>
      <c r="AJ243" s="381" t="s">
        <v>579</v>
      </c>
      <c r="AK243" s="381" t="s">
        <v>580</v>
      </c>
      <c r="AL243" s="381" t="s">
        <v>581</v>
      </c>
      <c r="AM243" s="381" t="s">
        <v>582</v>
      </c>
      <c r="AN243" s="381" t="s">
        <v>583</v>
      </c>
      <c r="AO243" s="383" t="s">
        <v>584</v>
      </c>
      <c r="AP243" s="381" t="s">
        <v>585</v>
      </c>
      <c r="AQ243" s="381" t="s">
        <v>586</v>
      </c>
      <c r="AR243" s="381" t="s">
        <v>587</v>
      </c>
      <c r="AS243" s="381" t="s">
        <v>588</v>
      </c>
      <c r="AT243" s="381" t="s">
        <v>589</v>
      </c>
      <c r="AU243" s="381" t="s">
        <v>590</v>
      </c>
      <c r="AV243" s="381" t="s">
        <v>591</v>
      </c>
      <c r="AW243" s="381" t="s">
        <v>592</v>
      </c>
      <c r="AX243" s="381" t="s">
        <v>593</v>
      </c>
      <c r="AY243" s="381" t="s">
        <v>594</v>
      </c>
      <c r="AZ243" s="381" t="s">
        <v>595</v>
      </c>
      <c r="BA243" s="381" t="s">
        <v>596</v>
      </c>
      <c r="BB243" s="383" t="s">
        <v>597</v>
      </c>
      <c r="BC243" s="382"/>
    </row>
    <row r="244" spans="1:55" s="108" customFormat="1" ht="12" x14ac:dyDescent="0.25">
      <c r="B244" s="113" t="str">
        <f t="shared" ref="B244:B251" si="235">B220</f>
        <v>Salvadorcard/SSA</v>
      </c>
      <c r="C244" s="146">
        <v>0</v>
      </c>
      <c r="D244" s="145"/>
      <c r="E244" s="146"/>
      <c r="F244" s="145"/>
      <c r="G244" s="146"/>
      <c r="H244" s="145"/>
      <c r="I244" s="146"/>
      <c r="J244" s="145"/>
      <c r="K244" s="146"/>
      <c r="L244" s="145"/>
      <c r="M244" s="146"/>
      <c r="N244" s="145"/>
      <c r="O244" s="146"/>
      <c r="P244" s="145"/>
      <c r="Q244" s="146"/>
      <c r="R244" s="145"/>
      <c r="S244" s="146"/>
      <c r="T244" s="145"/>
      <c r="U244" s="146"/>
      <c r="V244" s="145"/>
      <c r="W244" s="146"/>
      <c r="X244" s="145"/>
      <c r="Y244" s="146"/>
      <c r="Z244" s="145"/>
      <c r="AA244" s="144">
        <v>0</v>
      </c>
      <c r="AB244" s="144">
        <v>0</v>
      </c>
      <c r="AC244" s="144">
        <v>0</v>
      </c>
      <c r="AD244" s="144">
        <v>0</v>
      </c>
      <c r="AE244" s="144">
        <v>0</v>
      </c>
      <c r="AF244" s="144">
        <v>0</v>
      </c>
      <c r="AG244" s="144">
        <v>0</v>
      </c>
      <c r="AH244" s="144">
        <v>0</v>
      </c>
      <c r="AI244" s="144"/>
      <c r="AJ244" s="144">
        <v>0</v>
      </c>
      <c r="AK244" s="144">
        <v>0</v>
      </c>
      <c r="AL244" s="144">
        <v>0</v>
      </c>
      <c r="AM244" s="144">
        <v>0</v>
      </c>
      <c r="AN244" s="144">
        <v>0</v>
      </c>
      <c r="AO244" s="144">
        <v>0</v>
      </c>
      <c r="AP244" s="144">
        <v>0</v>
      </c>
      <c r="AQ244" s="144">
        <v>0</v>
      </c>
      <c r="AR244" s="144">
        <v>0</v>
      </c>
      <c r="AS244" s="144">
        <v>0</v>
      </c>
      <c r="AT244" s="144">
        <v>0</v>
      </c>
      <c r="AU244" s="144">
        <v>0</v>
      </c>
      <c r="AV244" s="144">
        <v>0</v>
      </c>
      <c r="AW244" s="144">
        <v>0</v>
      </c>
      <c r="AX244" s="144">
        <v>0</v>
      </c>
      <c r="AY244" s="144">
        <v>0</v>
      </c>
      <c r="AZ244" s="144">
        <v>0</v>
      </c>
      <c r="BA244" s="144">
        <v>0</v>
      </c>
      <c r="BB244" s="144">
        <v>0</v>
      </c>
      <c r="BC244" s="144"/>
    </row>
    <row r="245" spans="1:55" s="108" customFormat="1" ht="12" x14ac:dyDescent="0.25">
      <c r="B245" s="91" t="str">
        <f t="shared" si="235"/>
        <v>Metropasse/SSA</v>
      </c>
      <c r="C245" s="90">
        <v>0</v>
      </c>
      <c r="D245" s="89"/>
      <c r="E245" s="90"/>
      <c r="F245" s="89"/>
      <c r="G245" s="90"/>
      <c r="H245" s="89"/>
      <c r="I245" s="90"/>
      <c r="J245" s="89"/>
      <c r="K245" s="90"/>
      <c r="L245" s="89"/>
      <c r="M245" s="90"/>
      <c r="N245" s="89"/>
      <c r="O245" s="90"/>
      <c r="P245" s="89"/>
      <c r="Q245" s="90"/>
      <c r="R245" s="89"/>
      <c r="S245" s="90"/>
      <c r="T245" s="89"/>
      <c r="U245" s="90"/>
      <c r="V245" s="89"/>
      <c r="W245" s="90"/>
      <c r="X245" s="89"/>
      <c r="Y245" s="90"/>
      <c r="Z245" s="89"/>
      <c r="AA245" s="96">
        <v>0</v>
      </c>
      <c r="AB245" s="96">
        <v>0</v>
      </c>
      <c r="AC245" s="96">
        <v>0</v>
      </c>
      <c r="AD245" s="96">
        <v>0</v>
      </c>
      <c r="AE245" s="96">
        <v>0</v>
      </c>
      <c r="AF245" s="96">
        <v>0</v>
      </c>
      <c r="AG245" s="96">
        <v>0</v>
      </c>
      <c r="AH245" s="96">
        <v>0</v>
      </c>
      <c r="AI245" s="96"/>
      <c r="AJ245" s="96">
        <v>0</v>
      </c>
      <c r="AK245" s="96">
        <v>0</v>
      </c>
      <c r="AL245" s="96">
        <v>0</v>
      </c>
      <c r="AM245" s="96">
        <v>0</v>
      </c>
      <c r="AN245" s="96">
        <v>0</v>
      </c>
      <c r="AO245" s="96">
        <v>0</v>
      </c>
      <c r="AP245" s="96">
        <v>0</v>
      </c>
      <c r="AQ245" s="96">
        <v>0</v>
      </c>
      <c r="AR245" s="96">
        <v>0</v>
      </c>
      <c r="AS245" s="96">
        <v>0</v>
      </c>
      <c r="AT245" s="96">
        <v>0</v>
      </c>
      <c r="AU245" s="96">
        <v>0</v>
      </c>
      <c r="AV245" s="96">
        <v>0</v>
      </c>
      <c r="AW245" s="96">
        <v>0</v>
      </c>
      <c r="AX245" s="96">
        <v>0</v>
      </c>
      <c r="AY245" s="96">
        <v>0</v>
      </c>
      <c r="AZ245" s="96">
        <v>0</v>
      </c>
      <c r="BA245" s="96">
        <v>0</v>
      </c>
      <c r="BB245" s="96">
        <v>0</v>
      </c>
      <c r="BC245" s="96"/>
    </row>
    <row r="246" spans="1:55" s="108" customFormat="1" ht="12" x14ac:dyDescent="0.25">
      <c r="B246" s="91" t="str">
        <f t="shared" si="235"/>
        <v>GVBus/VIX</v>
      </c>
      <c r="C246" s="90">
        <v>0</v>
      </c>
      <c r="D246" s="89"/>
      <c r="E246" s="90"/>
      <c r="F246" s="89"/>
      <c r="G246" s="90"/>
      <c r="H246" s="89"/>
      <c r="I246" s="90"/>
      <c r="J246" s="89"/>
      <c r="K246" s="90"/>
      <c r="L246" s="89"/>
      <c r="M246" s="90"/>
      <c r="N246" s="89"/>
      <c r="O246" s="90"/>
      <c r="P246" s="89"/>
      <c r="Q246" s="90"/>
      <c r="R246" s="89"/>
      <c r="S246" s="90"/>
      <c r="T246" s="89"/>
      <c r="U246" s="90"/>
      <c r="V246" s="89"/>
      <c r="W246" s="90"/>
      <c r="X246" s="89"/>
      <c r="Y246" s="90"/>
      <c r="Z246" s="89"/>
      <c r="AA246" s="96">
        <v>0</v>
      </c>
      <c r="AB246" s="96">
        <v>0</v>
      </c>
      <c r="AC246" s="96">
        <v>0</v>
      </c>
      <c r="AD246" s="96">
        <v>0</v>
      </c>
      <c r="AE246" s="96">
        <v>0</v>
      </c>
      <c r="AF246" s="96">
        <v>0</v>
      </c>
      <c r="AG246" s="96">
        <v>0</v>
      </c>
      <c r="AH246" s="96">
        <v>0</v>
      </c>
      <c r="AI246" s="96"/>
      <c r="AJ246" s="96">
        <v>0</v>
      </c>
      <c r="AK246" s="96">
        <v>0</v>
      </c>
      <c r="AL246" s="96">
        <v>0</v>
      </c>
      <c r="AM246" s="96">
        <v>0</v>
      </c>
      <c r="AN246" s="96">
        <v>0</v>
      </c>
      <c r="AO246" s="96">
        <v>0</v>
      </c>
      <c r="AP246" s="96">
        <v>0</v>
      </c>
      <c r="AQ246" s="96">
        <v>0</v>
      </c>
      <c r="AR246" s="96">
        <v>0</v>
      </c>
      <c r="AS246" s="96">
        <v>0</v>
      </c>
      <c r="AT246" s="96">
        <v>0</v>
      </c>
      <c r="AU246" s="96">
        <v>0</v>
      </c>
      <c r="AV246" s="96">
        <v>0</v>
      </c>
      <c r="AW246" s="96">
        <v>0</v>
      </c>
      <c r="AX246" s="96">
        <v>0</v>
      </c>
      <c r="AY246" s="96">
        <v>0</v>
      </c>
      <c r="AZ246" s="96">
        <v>0</v>
      </c>
      <c r="BA246" s="96">
        <v>0</v>
      </c>
      <c r="BB246" s="96">
        <v>0</v>
      </c>
      <c r="BC246" s="96"/>
    </row>
    <row r="247" spans="1:55" s="108" customFormat="1" ht="12" x14ac:dyDescent="0.25">
      <c r="B247" s="91" t="str">
        <f t="shared" si="235"/>
        <v>Teu/POA</v>
      </c>
      <c r="C247" s="90">
        <v>0</v>
      </c>
      <c r="D247" s="89"/>
      <c r="E247" s="90"/>
      <c r="F247" s="89"/>
      <c r="G247" s="90"/>
      <c r="H247" s="89"/>
      <c r="I247" s="90"/>
      <c r="J247" s="89"/>
      <c r="K247" s="90"/>
      <c r="L247" s="89"/>
      <c r="M247" s="90"/>
      <c r="N247" s="89"/>
      <c r="O247" s="90"/>
      <c r="P247" s="89"/>
      <c r="Q247" s="90"/>
      <c r="R247" s="89"/>
      <c r="S247" s="90"/>
      <c r="T247" s="89"/>
      <c r="U247" s="90"/>
      <c r="V247" s="89"/>
      <c r="W247" s="90"/>
      <c r="X247" s="89"/>
      <c r="Y247" s="90"/>
      <c r="Z247" s="89"/>
      <c r="AA247" s="96">
        <v>0</v>
      </c>
      <c r="AB247" s="96">
        <v>0</v>
      </c>
      <c r="AC247" s="96">
        <v>0</v>
      </c>
      <c r="AD247" s="96">
        <v>0</v>
      </c>
      <c r="AE247" s="96">
        <v>0</v>
      </c>
      <c r="AF247" s="96">
        <v>0</v>
      </c>
      <c r="AG247" s="96">
        <v>0</v>
      </c>
      <c r="AH247" s="96">
        <v>0</v>
      </c>
      <c r="AI247" s="96"/>
      <c r="AJ247" s="96">
        <v>0</v>
      </c>
      <c r="AK247" s="96">
        <v>0</v>
      </c>
      <c r="AL247" s="96">
        <v>0</v>
      </c>
      <c r="AM247" s="96">
        <v>0</v>
      </c>
      <c r="AN247" s="96">
        <v>0</v>
      </c>
      <c r="AO247" s="96">
        <v>0</v>
      </c>
      <c r="AP247" s="96">
        <v>0</v>
      </c>
      <c r="AQ247" s="96">
        <v>0</v>
      </c>
      <c r="AR247" s="96">
        <v>0</v>
      </c>
      <c r="AS247" s="96">
        <v>0</v>
      </c>
      <c r="AT247" s="96">
        <v>0</v>
      </c>
      <c r="AU247" s="96">
        <v>0</v>
      </c>
      <c r="AV247" s="96">
        <v>0</v>
      </c>
      <c r="AW247" s="96">
        <v>0</v>
      </c>
      <c r="AX247" s="96">
        <v>0</v>
      </c>
      <c r="AY247" s="96">
        <v>0</v>
      </c>
      <c r="AZ247" s="96">
        <v>0</v>
      </c>
      <c r="BA247" s="96">
        <v>0</v>
      </c>
      <c r="BB247" s="96">
        <v>0</v>
      </c>
      <c r="BC247" s="96"/>
    </row>
    <row r="248" spans="1:55" s="108" customFormat="1" ht="12" x14ac:dyDescent="0.25">
      <c r="B248" s="91" t="str">
        <f t="shared" si="235"/>
        <v>Transfácil/BHZ</v>
      </c>
      <c r="C248" s="90">
        <v>0</v>
      </c>
      <c r="D248" s="89"/>
      <c r="E248" s="90"/>
      <c r="F248" s="89"/>
      <c r="G248" s="90"/>
      <c r="H248" s="89"/>
      <c r="I248" s="90"/>
      <c r="J248" s="89"/>
      <c r="K248" s="90"/>
      <c r="L248" s="89"/>
      <c r="M248" s="90"/>
      <c r="N248" s="89"/>
      <c r="O248" s="90"/>
      <c r="P248" s="89"/>
      <c r="Q248" s="90"/>
      <c r="R248" s="89"/>
      <c r="S248" s="90"/>
      <c r="T248" s="89"/>
      <c r="U248" s="90"/>
      <c r="V248" s="89"/>
      <c r="W248" s="90"/>
      <c r="X248" s="89"/>
      <c r="Y248" s="90"/>
      <c r="Z248" s="89"/>
      <c r="AA248" s="96">
        <v>0</v>
      </c>
      <c r="AB248" s="96">
        <v>0</v>
      </c>
      <c r="AC248" s="96">
        <v>0</v>
      </c>
      <c r="AD248" s="96">
        <v>0</v>
      </c>
      <c r="AE248" s="96">
        <v>0</v>
      </c>
      <c r="AF248" s="96">
        <v>0</v>
      </c>
      <c r="AG248" s="96">
        <v>0</v>
      </c>
      <c r="AH248" s="96">
        <v>0</v>
      </c>
      <c r="AI248" s="96"/>
      <c r="AJ248" s="96">
        <v>0</v>
      </c>
      <c r="AK248" s="96">
        <v>0</v>
      </c>
      <c r="AL248" s="96">
        <v>0</v>
      </c>
      <c r="AM248" s="96">
        <v>0</v>
      </c>
      <c r="AN248" s="96">
        <v>0</v>
      </c>
      <c r="AO248" s="96">
        <v>0</v>
      </c>
      <c r="AP248" s="96">
        <v>0</v>
      </c>
      <c r="AQ248" s="96">
        <v>0</v>
      </c>
      <c r="AR248" s="96">
        <v>0</v>
      </c>
      <c r="AS248" s="96">
        <v>0</v>
      </c>
      <c r="AT248" s="96">
        <v>0</v>
      </c>
      <c r="AU248" s="96">
        <v>0</v>
      </c>
      <c r="AV248" s="96">
        <v>0</v>
      </c>
      <c r="AW248" s="96">
        <v>0</v>
      </c>
      <c r="AX248" s="96">
        <v>0</v>
      </c>
      <c r="AY248" s="96">
        <v>0</v>
      </c>
      <c r="AZ248" s="96">
        <v>0</v>
      </c>
      <c r="BA248" s="96">
        <v>0</v>
      </c>
      <c r="BB248" s="96">
        <v>0</v>
      </c>
      <c r="BC248" s="96"/>
    </row>
    <row r="249" spans="1:55" s="108" customFormat="1" ht="12" x14ac:dyDescent="0.25">
      <c r="B249" s="113" t="str">
        <f t="shared" si="235"/>
        <v>Biguaçú-Jotur-Santa Terezinha/Florianopolis</v>
      </c>
      <c r="C249" s="146">
        <v>0</v>
      </c>
      <c r="D249" s="145"/>
      <c r="E249" s="146"/>
      <c r="F249" s="145"/>
      <c r="G249" s="146"/>
      <c r="H249" s="145"/>
      <c r="I249" s="146"/>
      <c r="J249" s="145"/>
      <c r="K249" s="146"/>
      <c r="L249" s="145"/>
      <c r="M249" s="146"/>
      <c r="N249" s="145"/>
      <c r="O249" s="146"/>
      <c r="P249" s="145"/>
      <c r="Q249" s="146"/>
      <c r="R249" s="145"/>
      <c r="S249" s="146"/>
      <c r="T249" s="145"/>
      <c r="U249" s="146"/>
      <c r="V249" s="145"/>
      <c r="W249" s="146"/>
      <c r="X249" s="145"/>
      <c r="Y249" s="146"/>
      <c r="Z249" s="145"/>
      <c r="AA249" s="144">
        <v>0</v>
      </c>
      <c r="AB249" s="144">
        <v>0</v>
      </c>
      <c r="AC249" s="144">
        <v>0</v>
      </c>
      <c r="AD249" s="144">
        <v>0</v>
      </c>
      <c r="AE249" s="144">
        <v>0</v>
      </c>
      <c r="AF249" s="144">
        <v>0</v>
      </c>
      <c r="AG249" s="144">
        <v>0</v>
      </c>
      <c r="AH249" s="144">
        <v>0</v>
      </c>
      <c r="AI249" s="144"/>
      <c r="AJ249" s="144">
        <v>0</v>
      </c>
      <c r="AK249" s="144">
        <v>0</v>
      </c>
      <c r="AL249" s="144">
        <v>0</v>
      </c>
      <c r="AM249" s="144">
        <v>0</v>
      </c>
      <c r="AN249" s="144">
        <v>0</v>
      </c>
      <c r="AO249" s="144">
        <v>0</v>
      </c>
      <c r="AP249" s="144">
        <v>0</v>
      </c>
      <c r="AQ249" s="144">
        <v>0</v>
      </c>
      <c r="AR249" s="144">
        <v>0</v>
      </c>
      <c r="AS249" s="144">
        <v>0</v>
      </c>
      <c r="AT249" s="144">
        <v>0</v>
      </c>
      <c r="AU249" s="144">
        <v>0</v>
      </c>
      <c r="AV249" s="144">
        <v>0</v>
      </c>
      <c r="AW249" s="144">
        <v>0</v>
      </c>
      <c r="AX249" s="144">
        <v>0</v>
      </c>
      <c r="AY249" s="144">
        <v>0</v>
      </c>
      <c r="AZ249" s="144">
        <v>0</v>
      </c>
      <c r="BA249" s="144">
        <v>0</v>
      </c>
      <c r="BB249" s="144">
        <v>0</v>
      </c>
      <c r="BC249" s="144"/>
    </row>
    <row r="250" spans="1:55" s="108" customFormat="1" ht="12" x14ac:dyDescent="0.25">
      <c r="B250" s="91" t="str">
        <f t="shared" si="235"/>
        <v>Via Ouro/Nova Lima</v>
      </c>
      <c r="C250" s="90">
        <v>0</v>
      </c>
      <c r="D250" s="89"/>
      <c r="E250" s="90"/>
      <c r="F250" s="89"/>
      <c r="G250" s="90"/>
      <c r="H250" s="89"/>
      <c r="I250" s="90"/>
      <c r="J250" s="89"/>
      <c r="K250" s="90"/>
      <c r="L250" s="89"/>
      <c r="M250" s="90"/>
      <c r="N250" s="89"/>
      <c r="O250" s="90"/>
      <c r="P250" s="89"/>
      <c r="Q250" s="90"/>
      <c r="R250" s="89"/>
      <c r="S250" s="90"/>
      <c r="T250" s="89"/>
      <c r="U250" s="90"/>
      <c r="V250" s="89"/>
      <c r="W250" s="90"/>
      <c r="X250" s="89"/>
      <c r="Y250" s="90"/>
      <c r="Z250" s="89"/>
      <c r="AA250" s="96"/>
      <c r="AB250" s="96"/>
      <c r="AC250" s="96"/>
      <c r="AD250" s="96"/>
      <c r="AE250" s="96"/>
      <c r="AF250" s="96"/>
      <c r="AG250" s="96"/>
      <c r="AH250" s="96"/>
      <c r="AI250" s="144"/>
      <c r="AJ250" s="144"/>
      <c r="AK250" s="144"/>
      <c r="AL250" s="144"/>
      <c r="AM250" s="144"/>
      <c r="AN250" s="144"/>
      <c r="AO250" s="144"/>
      <c r="AP250" s="144"/>
      <c r="AQ250" s="144"/>
      <c r="AR250" s="144"/>
      <c r="AS250" s="144"/>
      <c r="AT250" s="144"/>
      <c r="AU250" s="144"/>
      <c r="AV250" s="144"/>
      <c r="AW250" s="144"/>
      <c r="AX250" s="144"/>
      <c r="AY250" s="144"/>
      <c r="AZ250" s="144"/>
      <c r="BA250" s="144"/>
      <c r="BB250" s="144"/>
      <c r="BC250" s="96"/>
    </row>
    <row r="251" spans="1:55" s="108" customFormat="1" ht="12" x14ac:dyDescent="0.25">
      <c r="B251" s="113" t="str">
        <f t="shared" si="235"/>
        <v>Alagoinhas</v>
      </c>
      <c r="C251" s="146">
        <v>0</v>
      </c>
      <c r="D251" s="145"/>
      <c r="E251" s="146"/>
      <c r="F251" s="145"/>
      <c r="G251" s="146"/>
      <c r="H251" s="145"/>
      <c r="I251" s="146"/>
      <c r="J251" s="145"/>
      <c r="K251" s="146"/>
      <c r="L251" s="145"/>
      <c r="M251" s="146"/>
      <c r="N251" s="145"/>
      <c r="O251" s="146"/>
      <c r="P251" s="145"/>
      <c r="Q251" s="146"/>
      <c r="R251" s="145"/>
      <c r="S251" s="146"/>
      <c r="T251" s="145"/>
      <c r="U251" s="146"/>
      <c r="V251" s="145"/>
      <c r="W251" s="146"/>
      <c r="X251" s="145"/>
      <c r="Y251" s="146"/>
      <c r="Z251" s="145"/>
      <c r="AA251" s="144">
        <v>0</v>
      </c>
      <c r="AB251" s="144">
        <v>0</v>
      </c>
      <c r="AC251" s="144">
        <v>0</v>
      </c>
      <c r="AD251" s="144">
        <v>0</v>
      </c>
      <c r="AE251" s="144">
        <v>0</v>
      </c>
      <c r="AF251" s="144">
        <v>0</v>
      </c>
      <c r="AG251" s="144">
        <v>0</v>
      </c>
      <c r="AH251" s="144">
        <v>0</v>
      </c>
      <c r="AI251" s="144"/>
      <c r="AJ251" s="144"/>
      <c r="AK251" s="144"/>
      <c r="AL251" s="144"/>
      <c r="AM251" s="144"/>
      <c r="AN251" s="144"/>
      <c r="AO251" s="144"/>
      <c r="AP251" s="144"/>
      <c r="AQ251" s="144"/>
      <c r="AR251" s="144"/>
      <c r="AS251" s="144"/>
      <c r="AT251" s="144"/>
      <c r="AU251" s="144"/>
      <c r="AV251" s="144"/>
      <c r="AW251" s="144"/>
      <c r="AX251" s="144"/>
      <c r="AY251" s="144"/>
      <c r="AZ251" s="144"/>
      <c r="BA251" s="144"/>
      <c r="BB251" s="144"/>
      <c r="BC251" s="144"/>
    </row>
    <row r="252" spans="1:55" x14ac:dyDescent="0.3">
      <c r="B252" s="380" t="s">
        <v>599</v>
      </c>
      <c r="C252" s="143">
        <f>SUM(C244:C251)</f>
        <v>0</v>
      </c>
      <c r="D252" s="385"/>
      <c r="E252" s="143">
        <f>SUM(E244:E251)</f>
        <v>0</v>
      </c>
      <c r="F252" s="385"/>
      <c r="G252" s="143">
        <f>SUM(G244:G251)</f>
        <v>0</v>
      </c>
      <c r="H252" s="385"/>
      <c r="I252" s="143">
        <f>SUM(I244:I251)</f>
        <v>0</v>
      </c>
      <c r="J252" s="385"/>
      <c r="K252" s="143">
        <f>SUM(K244:K251)</f>
        <v>0</v>
      </c>
      <c r="L252" s="385"/>
      <c r="M252" s="143">
        <f>SUM(M244:M251)</f>
        <v>0</v>
      </c>
      <c r="N252" s="385"/>
      <c r="O252" s="143">
        <f>SUM(O244:O251)</f>
        <v>0</v>
      </c>
      <c r="P252" s="385"/>
      <c r="Q252" s="143">
        <f>SUM(Q244:Q251)</f>
        <v>0</v>
      </c>
      <c r="R252" s="385"/>
      <c r="S252" s="143">
        <f>SUM(S244:S251)</f>
        <v>0</v>
      </c>
      <c r="T252" s="385"/>
      <c r="U252" s="143">
        <f>SUM(U244:U251)</f>
        <v>0</v>
      </c>
      <c r="V252" s="385"/>
      <c r="W252" s="143">
        <f>SUM(W244:W251)</f>
        <v>0</v>
      </c>
      <c r="X252" s="385"/>
      <c r="Y252" s="143">
        <f>SUM(Y244:Y251)</f>
        <v>0</v>
      </c>
      <c r="Z252" s="385"/>
      <c r="AA252" s="387">
        <f t="shared" ref="AA252:AH252" si="236">SUM(AA244:AA251)</f>
        <v>0</v>
      </c>
      <c r="AB252" s="387">
        <f t="shared" si="236"/>
        <v>0</v>
      </c>
      <c r="AC252" s="387">
        <f t="shared" si="236"/>
        <v>0</v>
      </c>
      <c r="AD252" s="387">
        <f t="shared" si="236"/>
        <v>0</v>
      </c>
      <c r="AE252" s="387">
        <f t="shared" si="236"/>
        <v>0</v>
      </c>
      <c r="AF252" s="387">
        <f t="shared" si="236"/>
        <v>0</v>
      </c>
      <c r="AG252" s="387">
        <f t="shared" si="236"/>
        <v>0</v>
      </c>
      <c r="AH252" s="387">
        <f t="shared" si="236"/>
        <v>0</v>
      </c>
      <c r="AI252" s="387"/>
      <c r="AJ252" s="387">
        <f>SUM(AJ244:AJ249)</f>
        <v>0</v>
      </c>
      <c r="AK252" s="387">
        <f>SUM(AK244:AK249)</f>
        <v>0</v>
      </c>
      <c r="AL252" s="387">
        <f>SUM(AL244:AL249)</f>
        <v>0</v>
      </c>
      <c r="AM252" s="387">
        <f>SUM(AM244:AM249)</f>
        <v>0</v>
      </c>
      <c r="AN252" s="387">
        <f>SUM(AN244:AN249)</f>
        <v>0</v>
      </c>
      <c r="AO252" s="386">
        <f>SUM(AB252:AN252)</f>
        <v>0</v>
      </c>
      <c r="AP252" s="387">
        <f t="shared" ref="AP252:BA252" si="237">SUM(AP244:AP249)</f>
        <v>0</v>
      </c>
      <c r="AQ252" s="387">
        <f t="shared" si="237"/>
        <v>0</v>
      </c>
      <c r="AR252" s="387">
        <f t="shared" si="237"/>
        <v>0</v>
      </c>
      <c r="AS252" s="387">
        <f t="shared" si="237"/>
        <v>0</v>
      </c>
      <c r="AT252" s="387">
        <f t="shared" si="237"/>
        <v>0</v>
      </c>
      <c r="AU252" s="387">
        <f t="shared" si="237"/>
        <v>0</v>
      </c>
      <c r="AV252" s="387">
        <f t="shared" si="237"/>
        <v>0</v>
      </c>
      <c r="AW252" s="387">
        <f t="shared" si="237"/>
        <v>0</v>
      </c>
      <c r="AX252" s="387">
        <f t="shared" si="237"/>
        <v>0</v>
      </c>
      <c r="AY252" s="387">
        <f t="shared" si="237"/>
        <v>0</v>
      </c>
      <c r="AZ252" s="387">
        <f t="shared" si="237"/>
        <v>0</v>
      </c>
      <c r="BA252" s="387">
        <f t="shared" si="237"/>
        <v>0</v>
      </c>
      <c r="BB252" s="386">
        <f>SUM(AP252:BA252)</f>
        <v>0</v>
      </c>
      <c r="BC252" s="387"/>
    </row>
    <row r="253" spans="1:55" x14ac:dyDescent="0.3">
      <c r="A253" s="108"/>
      <c r="B253" s="142" t="s">
        <v>600</v>
      </c>
      <c r="C253" s="141"/>
      <c r="D253" s="140"/>
      <c r="E253" s="141"/>
      <c r="F253" s="140"/>
      <c r="G253" s="141"/>
      <c r="H253" s="140"/>
      <c r="I253" s="141"/>
      <c r="J253" s="140"/>
      <c r="K253" s="141"/>
      <c r="L253" s="140"/>
      <c r="M253" s="141"/>
      <c r="N253" s="140"/>
      <c r="O253" s="141"/>
      <c r="P253" s="140"/>
      <c r="Q253" s="141"/>
      <c r="R253" s="140"/>
      <c r="S253" s="141"/>
      <c r="T253" s="140"/>
      <c r="U253" s="141"/>
      <c r="V253" s="140"/>
      <c r="W253" s="141"/>
      <c r="X253" s="140"/>
      <c r="Y253" s="141"/>
      <c r="Z253" s="140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  <c r="AN253" s="108"/>
      <c r="AO253" s="139"/>
      <c r="AP253" s="108"/>
      <c r="AQ253" s="108"/>
      <c r="AR253" s="108"/>
      <c r="AS253" s="108"/>
      <c r="AT253" s="108"/>
      <c r="AU253" s="108"/>
      <c r="AV253" s="108"/>
      <c r="AW253" s="108"/>
      <c r="AX253" s="108"/>
      <c r="AY253" s="108"/>
      <c r="AZ253" s="108"/>
      <c r="BA253" s="108"/>
      <c r="BB253" s="139"/>
      <c r="BC253" s="108"/>
    </row>
    <row r="254" spans="1:55" x14ac:dyDescent="0.3">
      <c r="A254" s="125">
        <v>0</v>
      </c>
      <c r="B254" s="138" t="s">
        <v>601</v>
      </c>
      <c r="C254" s="116">
        <f>C252*$A$254</f>
        <v>0</v>
      </c>
      <c r="D254" s="115"/>
      <c r="E254" s="116">
        <f>E252*$A$254</f>
        <v>0</v>
      </c>
      <c r="F254" s="115"/>
      <c r="G254" s="116">
        <f>G252*$A$254</f>
        <v>0</v>
      </c>
      <c r="H254" s="115"/>
      <c r="I254" s="116">
        <f>I252*$A$254</f>
        <v>0</v>
      </c>
      <c r="J254" s="115"/>
      <c r="K254" s="116">
        <f>K252*$A$254</f>
        <v>0</v>
      </c>
      <c r="L254" s="115"/>
      <c r="M254" s="116">
        <f>M252*$A$254</f>
        <v>0</v>
      </c>
      <c r="N254" s="115"/>
      <c r="O254" s="116">
        <f>O252*$A$254</f>
        <v>0</v>
      </c>
      <c r="P254" s="115"/>
      <c r="Q254" s="116">
        <f>Q252*$A$254</f>
        <v>0</v>
      </c>
      <c r="R254" s="115"/>
      <c r="S254" s="116">
        <f>S252*$A$254</f>
        <v>0</v>
      </c>
      <c r="T254" s="115"/>
      <c r="U254" s="116">
        <f>U252*$A$254</f>
        <v>0</v>
      </c>
      <c r="V254" s="115"/>
      <c r="W254" s="116">
        <f>W252*$A$254</f>
        <v>0</v>
      </c>
      <c r="X254" s="115"/>
      <c r="Y254" s="116">
        <f>Y252*$A$254</f>
        <v>0</v>
      </c>
      <c r="Z254" s="115"/>
      <c r="AA254" s="93">
        <f t="shared" ref="AA254:AH254" si="238">AA252*$A$254</f>
        <v>0</v>
      </c>
      <c r="AB254" s="93">
        <f t="shared" si="238"/>
        <v>0</v>
      </c>
      <c r="AC254" s="93">
        <f t="shared" si="238"/>
        <v>0</v>
      </c>
      <c r="AD254" s="93">
        <f t="shared" si="238"/>
        <v>0</v>
      </c>
      <c r="AE254" s="93">
        <f t="shared" si="238"/>
        <v>0</v>
      </c>
      <c r="AF254" s="93">
        <f t="shared" si="238"/>
        <v>0</v>
      </c>
      <c r="AG254" s="93">
        <f t="shared" si="238"/>
        <v>0</v>
      </c>
      <c r="AH254" s="93">
        <f t="shared" si="238"/>
        <v>0</v>
      </c>
      <c r="AI254" s="93"/>
      <c r="AJ254" s="93">
        <f>AJ252*$A$254</f>
        <v>0</v>
      </c>
      <c r="AK254" s="93">
        <f>AK252*$A$254</f>
        <v>0</v>
      </c>
      <c r="AL254" s="93">
        <f>AL252*$A$254</f>
        <v>0</v>
      </c>
      <c r="AM254" s="93">
        <f>AM252*$A$254</f>
        <v>0</v>
      </c>
      <c r="AN254" s="93">
        <f>AN252*$A$254</f>
        <v>0</v>
      </c>
      <c r="AO254" s="114">
        <f t="shared" ref="AO254:AO260" si="239">SUM(AB254:AN254)</f>
        <v>0</v>
      </c>
      <c r="AP254" s="93">
        <f t="shared" ref="AP254:BA254" si="240">AP252*$A$254</f>
        <v>0</v>
      </c>
      <c r="AQ254" s="93">
        <f t="shared" si="240"/>
        <v>0</v>
      </c>
      <c r="AR254" s="93">
        <f t="shared" si="240"/>
        <v>0</v>
      </c>
      <c r="AS254" s="93">
        <f t="shared" si="240"/>
        <v>0</v>
      </c>
      <c r="AT254" s="93">
        <f t="shared" si="240"/>
        <v>0</v>
      </c>
      <c r="AU254" s="93">
        <f t="shared" si="240"/>
        <v>0</v>
      </c>
      <c r="AV254" s="93">
        <f t="shared" si="240"/>
        <v>0</v>
      </c>
      <c r="AW254" s="93">
        <f t="shared" si="240"/>
        <v>0</v>
      </c>
      <c r="AX254" s="93">
        <f t="shared" si="240"/>
        <v>0</v>
      </c>
      <c r="AY254" s="93">
        <f t="shared" si="240"/>
        <v>0</v>
      </c>
      <c r="AZ254" s="93">
        <f t="shared" si="240"/>
        <v>0</v>
      </c>
      <c r="BA254" s="93">
        <f t="shared" si="240"/>
        <v>0</v>
      </c>
      <c r="BB254" s="114">
        <f t="shared" ref="BB254:BB260" si="241">SUM(AP254:BA254)</f>
        <v>0</v>
      </c>
      <c r="BC254" s="93"/>
    </row>
    <row r="255" spans="1:55" x14ac:dyDescent="0.3">
      <c r="A255" s="125">
        <v>0</v>
      </c>
      <c r="B255" s="138" t="s">
        <v>602</v>
      </c>
      <c r="C255" s="116">
        <f>C252*$A$255</f>
        <v>0</v>
      </c>
      <c r="D255" s="115"/>
      <c r="E255" s="116">
        <f>E252*$A$255</f>
        <v>0</v>
      </c>
      <c r="F255" s="115"/>
      <c r="G255" s="116">
        <f>G252*$A$255</f>
        <v>0</v>
      </c>
      <c r="H255" s="115"/>
      <c r="I255" s="116">
        <f>I252*$A$255</f>
        <v>0</v>
      </c>
      <c r="J255" s="115"/>
      <c r="K255" s="116">
        <f>K252*$A$255</f>
        <v>0</v>
      </c>
      <c r="L255" s="115"/>
      <c r="M255" s="116">
        <f>M252*$A$255</f>
        <v>0</v>
      </c>
      <c r="N255" s="115"/>
      <c r="O255" s="116">
        <f>O252*$A$255</f>
        <v>0</v>
      </c>
      <c r="P255" s="115"/>
      <c r="Q255" s="116">
        <f>Q252*$A$255</f>
        <v>0</v>
      </c>
      <c r="R255" s="115"/>
      <c r="S255" s="116">
        <f>S252*$A$255</f>
        <v>0</v>
      </c>
      <c r="T255" s="115"/>
      <c r="U255" s="116">
        <f>U252*$A$255</f>
        <v>0</v>
      </c>
      <c r="V255" s="115"/>
      <c r="W255" s="116">
        <f>W252*$A$255</f>
        <v>0</v>
      </c>
      <c r="X255" s="115"/>
      <c r="Y255" s="116">
        <f>Y252*$A$255</f>
        <v>0</v>
      </c>
      <c r="Z255" s="115"/>
      <c r="AA255" s="93">
        <f t="shared" ref="AA255:AH255" si="242">AA252*$A$255</f>
        <v>0</v>
      </c>
      <c r="AB255" s="93">
        <f t="shared" si="242"/>
        <v>0</v>
      </c>
      <c r="AC255" s="93">
        <f t="shared" si="242"/>
        <v>0</v>
      </c>
      <c r="AD255" s="93">
        <f t="shared" si="242"/>
        <v>0</v>
      </c>
      <c r="AE255" s="93">
        <f t="shared" si="242"/>
        <v>0</v>
      </c>
      <c r="AF255" s="93">
        <f t="shared" si="242"/>
        <v>0</v>
      </c>
      <c r="AG255" s="93">
        <f t="shared" si="242"/>
        <v>0</v>
      </c>
      <c r="AH255" s="93">
        <f t="shared" si="242"/>
        <v>0</v>
      </c>
      <c r="AI255" s="93"/>
      <c r="AJ255" s="93">
        <f>AJ252*$A$255</f>
        <v>0</v>
      </c>
      <c r="AK255" s="93">
        <f>AK252*$A$255</f>
        <v>0</v>
      </c>
      <c r="AL255" s="93">
        <f>AL252*$A$255</f>
        <v>0</v>
      </c>
      <c r="AM255" s="93">
        <f>AM252*$A$255</f>
        <v>0</v>
      </c>
      <c r="AN255" s="93">
        <f>AN252*$A$255</f>
        <v>0</v>
      </c>
      <c r="AO255" s="114">
        <f t="shared" si="239"/>
        <v>0</v>
      </c>
      <c r="AP255" s="93">
        <f t="shared" ref="AP255:BA255" si="243">AP252*$A$255</f>
        <v>0</v>
      </c>
      <c r="AQ255" s="93">
        <f t="shared" si="243"/>
        <v>0</v>
      </c>
      <c r="AR255" s="93">
        <f t="shared" si="243"/>
        <v>0</v>
      </c>
      <c r="AS255" s="93">
        <f t="shared" si="243"/>
        <v>0</v>
      </c>
      <c r="AT255" s="93">
        <f t="shared" si="243"/>
        <v>0</v>
      </c>
      <c r="AU255" s="93">
        <f t="shared" si="243"/>
        <v>0</v>
      </c>
      <c r="AV255" s="93">
        <f t="shared" si="243"/>
        <v>0</v>
      </c>
      <c r="AW255" s="93">
        <f t="shared" si="243"/>
        <v>0</v>
      </c>
      <c r="AX255" s="93">
        <f t="shared" si="243"/>
        <v>0</v>
      </c>
      <c r="AY255" s="93">
        <f t="shared" si="243"/>
        <v>0</v>
      </c>
      <c r="AZ255" s="93">
        <f t="shared" si="243"/>
        <v>0</v>
      </c>
      <c r="BA255" s="93">
        <f t="shared" si="243"/>
        <v>0</v>
      </c>
      <c r="BB255" s="114">
        <f t="shared" si="241"/>
        <v>0</v>
      </c>
      <c r="BC255" s="93"/>
    </row>
    <row r="256" spans="1:55" x14ac:dyDescent="0.3">
      <c r="A256" s="125">
        <v>0</v>
      </c>
      <c r="B256" s="138" t="s">
        <v>603</v>
      </c>
      <c r="C256" s="116">
        <f>C252*$A$256</f>
        <v>0</v>
      </c>
      <c r="D256" s="115"/>
      <c r="E256" s="116">
        <f>E252*$A$256</f>
        <v>0</v>
      </c>
      <c r="F256" s="115"/>
      <c r="G256" s="116">
        <f>G252*$A$256</f>
        <v>0</v>
      </c>
      <c r="H256" s="115"/>
      <c r="I256" s="116">
        <f>I252*$A$256</f>
        <v>0</v>
      </c>
      <c r="J256" s="115"/>
      <c r="K256" s="116">
        <f>K252*$A$256</f>
        <v>0</v>
      </c>
      <c r="L256" s="115"/>
      <c r="M256" s="116">
        <f>M252*$A$256</f>
        <v>0</v>
      </c>
      <c r="N256" s="115"/>
      <c r="O256" s="116">
        <f>O252*$A$256</f>
        <v>0</v>
      </c>
      <c r="P256" s="115"/>
      <c r="Q256" s="116">
        <f>Q252*$A$256</f>
        <v>0</v>
      </c>
      <c r="R256" s="115"/>
      <c r="S256" s="116">
        <f>S252*$A$256</f>
        <v>0</v>
      </c>
      <c r="T256" s="115"/>
      <c r="U256" s="116">
        <f>U252*$A$256</f>
        <v>0</v>
      </c>
      <c r="V256" s="115"/>
      <c r="W256" s="116">
        <f>W252*$A$256</f>
        <v>0</v>
      </c>
      <c r="X256" s="115"/>
      <c r="Y256" s="116">
        <f>Y252*$A$256</f>
        <v>0</v>
      </c>
      <c r="Z256" s="115"/>
      <c r="AA256" s="93">
        <f t="shared" ref="AA256:AH256" si="244">AA252*$A$256</f>
        <v>0</v>
      </c>
      <c r="AB256" s="93">
        <f t="shared" si="244"/>
        <v>0</v>
      </c>
      <c r="AC256" s="93">
        <f t="shared" si="244"/>
        <v>0</v>
      </c>
      <c r="AD256" s="93">
        <f t="shared" si="244"/>
        <v>0</v>
      </c>
      <c r="AE256" s="93">
        <f t="shared" si="244"/>
        <v>0</v>
      </c>
      <c r="AF256" s="93">
        <f t="shared" si="244"/>
        <v>0</v>
      </c>
      <c r="AG256" s="93">
        <f t="shared" si="244"/>
        <v>0</v>
      </c>
      <c r="AH256" s="93">
        <f t="shared" si="244"/>
        <v>0</v>
      </c>
      <c r="AI256" s="93"/>
      <c r="AJ256" s="93">
        <f>AJ252*$A$256</f>
        <v>0</v>
      </c>
      <c r="AK256" s="93">
        <f>AK252*$A$256</f>
        <v>0</v>
      </c>
      <c r="AL256" s="93">
        <f>AL252*$A$256</f>
        <v>0</v>
      </c>
      <c r="AM256" s="93">
        <f>AM252*$A$256</f>
        <v>0</v>
      </c>
      <c r="AN256" s="93">
        <f>AN252*$A$256</f>
        <v>0</v>
      </c>
      <c r="AO256" s="114">
        <f t="shared" si="239"/>
        <v>0</v>
      </c>
      <c r="AP256" s="93">
        <f t="shared" ref="AP256:BA256" si="245">AP252*$A$256</f>
        <v>0</v>
      </c>
      <c r="AQ256" s="93">
        <f t="shared" si="245"/>
        <v>0</v>
      </c>
      <c r="AR256" s="93">
        <f t="shared" si="245"/>
        <v>0</v>
      </c>
      <c r="AS256" s="93">
        <f t="shared" si="245"/>
        <v>0</v>
      </c>
      <c r="AT256" s="93">
        <f t="shared" si="245"/>
        <v>0</v>
      </c>
      <c r="AU256" s="93">
        <f t="shared" si="245"/>
        <v>0</v>
      </c>
      <c r="AV256" s="93">
        <f t="shared" si="245"/>
        <v>0</v>
      </c>
      <c r="AW256" s="93">
        <f t="shared" si="245"/>
        <v>0</v>
      </c>
      <c r="AX256" s="93">
        <f t="shared" si="245"/>
        <v>0</v>
      </c>
      <c r="AY256" s="93">
        <f t="shared" si="245"/>
        <v>0</v>
      </c>
      <c r="AZ256" s="93">
        <f t="shared" si="245"/>
        <v>0</v>
      </c>
      <c r="BA256" s="93">
        <f t="shared" si="245"/>
        <v>0</v>
      </c>
      <c r="BB256" s="114">
        <f t="shared" si="241"/>
        <v>0</v>
      </c>
      <c r="BC256" s="93"/>
    </row>
    <row r="257" spans="1:55" x14ac:dyDescent="0.3">
      <c r="A257" s="125">
        <v>0</v>
      </c>
      <c r="B257" s="138" t="s">
        <v>604</v>
      </c>
      <c r="C257" s="116">
        <f>C252*$A$257</f>
        <v>0</v>
      </c>
      <c r="D257" s="115"/>
      <c r="E257" s="116">
        <f>E252*$A$257</f>
        <v>0</v>
      </c>
      <c r="F257" s="115"/>
      <c r="G257" s="116">
        <f>G252*$A$257</f>
        <v>0</v>
      </c>
      <c r="H257" s="115"/>
      <c r="I257" s="116">
        <f>I252*$A$257</f>
        <v>0</v>
      </c>
      <c r="J257" s="115"/>
      <c r="K257" s="116">
        <f>K252*$A$257</f>
        <v>0</v>
      </c>
      <c r="L257" s="115"/>
      <c r="M257" s="116">
        <f>M252*$A$257</f>
        <v>0</v>
      </c>
      <c r="N257" s="115"/>
      <c r="O257" s="116">
        <f>O252*$A$257</f>
        <v>0</v>
      </c>
      <c r="P257" s="115"/>
      <c r="Q257" s="116">
        <f>Q252*$A$257</f>
        <v>0</v>
      </c>
      <c r="R257" s="115"/>
      <c r="S257" s="116">
        <f>S252*$A$257</f>
        <v>0</v>
      </c>
      <c r="T257" s="115"/>
      <c r="U257" s="116">
        <f>U252*$A$257</f>
        <v>0</v>
      </c>
      <c r="V257" s="115"/>
      <c r="W257" s="116">
        <f>W252*$A$257</f>
        <v>0</v>
      </c>
      <c r="X257" s="115"/>
      <c r="Y257" s="116">
        <f>Y252*$A$257</f>
        <v>0</v>
      </c>
      <c r="Z257" s="115"/>
      <c r="AA257" s="93">
        <f t="shared" ref="AA257:AH257" si="246">AA252*$A$257</f>
        <v>0</v>
      </c>
      <c r="AB257" s="93">
        <f t="shared" si="246"/>
        <v>0</v>
      </c>
      <c r="AC257" s="93">
        <f t="shared" si="246"/>
        <v>0</v>
      </c>
      <c r="AD257" s="93">
        <f t="shared" si="246"/>
        <v>0</v>
      </c>
      <c r="AE257" s="93">
        <f t="shared" si="246"/>
        <v>0</v>
      </c>
      <c r="AF257" s="93">
        <f t="shared" si="246"/>
        <v>0</v>
      </c>
      <c r="AG257" s="93">
        <f t="shared" si="246"/>
        <v>0</v>
      </c>
      <c r="AH257" s="93">
        <f t="shared" si="246"/>
        <v>0</v>
      </c>
      <c r="AI257" s="93"/>
      <c r="AJ257" s="93">
        <f>AJ252*$A$257</f>
        <v>0</v>
      </c>
      <c r="AK257" s="93">
        <f>AK252*$A$257</f>
        <v>0</v>
      </c>
      <c r="AL257" s="93">
        <f>AL252*$A$257</f>
        <v>0</v>
      </c>
      <c r="AM257" s="93">
        <f>AM252*$A$257</f>
        <v>0</v>
      </c>
      <c r="AN257" s="93">
        <f>AN252*$A$257</f>
        <v>0</v>
      </c>
      <c r="AO257" s="114">
        <f t="shared" si="239"/>
        <v>0</v>
      </c>
      <c r="AP257" s="93">
        <f t="shared" ref="AP257:BA257" si="247">AP252*$A$257</f>
        <v>0</v>
      </c>
      <c r="AQ257" s="93">
        <f t="shared" si="247"/>
        <v>0</v>
      </c>
      <c r="AR257" s="93">
        <f t="shared" si="247"/>
        <v>0</v>
      </c>
      <c r="AS257" s="93">
        <f t="shared" si="247"/>
        <v>0</v>
      </c>
      <c r="AT257" s="93">
        <f t="shared" si="247"/>
        <v>0</v>
      </c>
      <c r="AU257" s="93">
        <f t="shared" si="247"/>
        <v>0</v>
      </c>
      <c r="AV257" s="93">
        <f t="shared" si="247"/>
        <v>0</v>
      </c>
      <c r="AW257" s="93">
        <f t="shared" si="247"/>
        <v>0</v>
      </c>
      <c r="AX257" s="93">
        <f t="shared" si="247"/>
        <v>0</v>
      </c>
      <c r="AY257" s="93">
        <f t="shared" si="247"/>
        <v>0</v>
      </c>
      <c r="AZ257" s="93">
        <f t="shared" si="247"/>
        <v>0</v>
      </c>
      <c r="BA257" s="93">
        <f t="shared" si="247"/>
        <v>0</v>
      </c>
      <c r="BB257" s="114">
        <f t="shared" si="241"/>
        <v>0</v>
      </c>
      <c r="BC257" s="93"/>
    </row>
    <row r="258" spans="1:55" x14ac:dyDescent="0.3">
      <c r="A258" s="125">
        <v>0</v>
      </c>
      <c r="B258" s="138" t="s">
        <v>605</v>
      </c>
      <c r="C258" s="116">
        <f>C252*$A$258</f>
        <v>0</v>
      </c>
      <c r="D258" s="115"/>
      <c r="E258" s="116">
        <f>E252*$A$258</f>
        <v>0</v>
      </c>
      <c r="F258" s="115"/>
      <c r="G258" s="116">
        <f>G252*$A$258</f>
        <v>0</v>
      </c>
      <c r="H258" s="115"/>
      <c r="I258" s="116">
        <f>I252*$A$258</f>
        <v>0</v>
      </c>
      <c r="J258" s="115"/>
      <c r="K258" s="116">
        <f>K252*$A$258</f>
        <v>0</v>
      </c>
      <c r="L258" s="115"/>
      <c r="M258" s="116">
        <f>M252*$A$258</f>
        <v>0</v>
      </c>
      <c r="N258" s="115"/>
      <c r="O258" s="116">
        <f>O252*$A$258</f>
        <v>0</v>
      </c>
      <c r="P258" s="115"/>
      <c r="Q258" s="116">
        <f>Q252*$A$258</f>
        <v>0</v>
      </c>
      <c r="R258" s="115"/>
      <c r="S258" s="116">
        <f>S252*$A$258</f>
        <v>0</v>
      </c>
      <c r="T258" s="115"/>
      <c r="U258" s="116">
        <f>U252*$A$258</f>
        <v>0</v>
      </c>
      <c r="V258" s="115"/>
      <c r="W258" s="116">
        <f>W252*$A$258</f>
        <v>0</v>
      </c>
      <c r="X258" s="115"/>
      <c r="Y258" s="116">
        <f>Y252*$A$258</f>
        <v>0</v>
      </c>
      <c r="Z258" s="115"/>
      <c r="AA258" s="93">
        <f t="shared" ref="AA258:AH258" si="248">AA252*$A$258</f>
        <v>0</v>
      </c>
      <c r="AB258" s="93">
        <f t="shared" si="248"/>
        <v>0</v>
      </c>
      <c r="AC258" s="93">
        <f t="shared" si="248"/>
        <v>0</v>
      </c>
      <c r="AD258" s="93">
        <f t="shared" si="248"/>
        <v>0</v>
      </c>
      <c r="AE258" s="93">
        <f t="shared" si="248"/>
        <v>0</v>
      </c>
      <c r="AF258" s="93">
        <f t="shared" si="248"/>
        <v>0</v>
      </c>
      <c r="AG258" s="93">
        <f t="shared" si="248"/>
        <v>0</v>
      </c>
      <c r="AH258" s="93">
        <f t="shared" si="248"/>
        <v>0</v>
      </c>
      <c r="AI258" s="93"/>
      <c r="AJ258" s="93">
        <f>AJ252*$A$258</f>
        <v>0</v>
      </c>
      <c r="AK258" s="93">
        <f>AK252*$A$258</f>
        <v>0</v>
      </c>
      <c r="AL258" s="93">
        <f>AL252*$A$258</f>
        <v>0</v>
      </c>
      <c r="AM258" s="93">
        <f>AM252*$A$258</f>
        <v>0</v>
      </c>
      <c r="AN258" s="93">
        <f>AN252*$A$258</f>
        <v>0</v>
      </c>
      <c r="AO258" s="114">
        <f t="shared" si="239"/>
        <v>0</v>
      </c>
      <c r="AP258" s="93">
        <f t="shared" ref="AP258:BA258" si="249">AP252*$A$258</f>
        <v>0</v>
      </c>
      <c r="AQ258" s="93">
        <f t="shared" si="249"/>
        <v>0</v>
      </c>
      <c r="AR258" s="93">
        <f t="shared" si="249"/>
        <v>0</v>
      </c>
      <c r="AS258" s="93">
        <f t="shared" si="249"/>
        <v>0</v>
      </c>
      <c r="AT258" s="93">
        <f t="shared" si="249"/>
        <v>0</v>
      </c>
      <c r="AU258" s="93">
        <f t="shared" si="249"/>
        <v>0</v>
      </c>
      <c r="AV258" s="93">
        <f t="shared" si="249"/>
        <v>0</v>
      </c>
      <c r="AW258" s="93">
        <f t="shared" si="249"/>
        <v>0</v>
      </c>
      <c r="AX258" s="93">
        <f t="shared" si="249"/>
        <v>0</v>
      </c>
      <c r="AY258" s="93">
        <f t="shared" si="249"/>
        <v>0</v>
      </c>
      <c r="AZ258" s="93">
        <f t="shared" si="249"/>
        <v>0</v>
      </c>
      <c r="BA258" s="93">
        <f t="shared" si="249"/>
        <v>0</v>
      </c>
      <c r="BB258" s="114">
        <f t="shared" si="241"/>
        <v>0</v>
      </c>
      <c r="BC258" s="93"/>
    </row>
    <row r="259" spans="1:55" x14ac:dyDescent="0.3">
      <c r="A259" s="125">
        <v>0</v>
      </c>
      <c r="B259" s="138" t="s">
        <v>606</v>
      </c>
      <c r="C259" s="116">
        <f>C252*$A$259</f>
        <v>0</v>
      </c>
      <c r="D259" s="115"/>
      <c r="E259" s="116">
        <f>E252*$A$259</f>
        <v>0</v>
      </c>
      <c r="F259" s="115"/>
      <c r="G259" s="116">
        <f>G252*$A$259</f>
        <v>0</v>
      </c>
      <c r="H259" s="115"/>
      <c r="I259" s="116">
        <f>I252*$A$259</f>
        <v>0</v>
      </c>
      <c r="J259" s="115"/>
      <c r="K259" s="116">
        <f>K252*$A$259</f>
        <v>0</v>
      </c>
      <c r="L259" s="115"/>
      <c r="M259" s="116">
        <f>M252*$A$259</f>
        <v>0</v>
      </c>
      <c r="N259" s="115"/>
      <c r="O259" s="116">
        <f>O252*$A$259</f>
        <v>0</v>
      </c>
      <c r="P259" s="115"/>
      <c r="Q259" s="116">
        <f>Q252*$A$259</f>
        <v>0</v>
      </c>
      <c r="R259" s="115"/>
      <c r="S259" s="116">
        <f>S252*$A$259</f>
        <v>0</v>
      </c>
      <c r="T259" s="115"/>
      <c r="U259" s="116">
        <f>U252*$A$259</f>
        <v>0</v>
      </c>
      <c r="V259" s="115"/>
      <c r="W259" s="116">
        <f>W252*$A$259</f>
        <v>0</v>
      </c>
      <c r="X259" s="115"/>
      <c r="Y259" s="116">
        <f>Y252*$A$259</f>
        <v>0</v>
      </c>
      <c r="Z259" s="115"/>
      <c r="AA259" s="93">
        <f t="shared" ref="AA259:AH259" si="250">AA252*$A$259</f>
        <v>0</v>
      </c>
      <c r="AB259" s="93">
        <f t="shared" si="250"/>
        <v>0</v>
      </c>
      <c r="AC259" s="93">
        <f t="shared" si="250"/>
        <v>0</v>
      </c>
      <c r="AD259" s="93">
        <f t="shared" si="250"/>
        <v>0</v>
      </c>
      <c r="AE259" s="93">
        <f t="shared" si="250"/>
        <v>0</v>
      </c>
      <c r="AF259" s="93">
        <f t="shared" si="250"/>
        <v>0</v>
      </c>
      <c r="AG259" s="93">
        <f t="shared" si="250"/>
        <v>0</v>
      </c>
      <c r="AH259" s="93">
        <f t="shared" si="250"/>
        <v>0</v>
      </c>
      <c r="AI259" s="93"/>
      <c r="AJ259" s="93">
        <f>AJ252*$A$259</f>
        <v>0</v>
      </c>
      <c r="AK259" s="93">
        <f>AK252*$A$259</f>
        <v>0</v>
      </c>
      <c r="AL259" s="93">
        <f>AL252*$A$259</f>
        <v>0</v>
      </c>
      <c r="AM259" s="93">
        <f>AM252*$A$259</f>
        <v>0</v>
      </c>
      <c r="AN259" s="93">
        <f>AN252*$A$259</f>
        <v>0</v>
      </c>
      <c r="AO259" s="114">
        <f t="shared" si="239"/>
        <v>0</v>
      </c>
      <c r="AP259" s="93">
        <f t="shared" ref="AP259:BA259" si="251">AP252*$A$259</f>
        <v>0</v>
      </c>
      <c r="AQ259" s="93">
        <f t="shared" si="251"/>
        <v>0</v>
      </c>
      <c r="AR259" s="93">
        <f t="shared" si="251"/>
        <v>0</v>
      </c>
      <c r="AS259" s="93">
        <f t="shared" si="251"/>
        <v>0</v>
      </c>
      <c r="AT259" s="93">
        <f t="shared" si="251"/>
        <v>0</v>
      </c>
      <c r="AU259" s="93">
        <f t="shared" si="251"/>
        <v>0</v>
      </c>
      <c r="AV259" s="93">
        <f t="shared" si="251"/>
        <v>0</v>
      </c>
      <c r="AW259" s="93">
        <f t="shared" si="251"/>
        <v>0</v>
      </c>
      <c r="AX259" s="93">
        <f t="shared" si="251"/>
        <v>0</v>
      </c>
      <c r="AY259" s="93">
        <f t="shared" si="251"/>
        <v>0</v>
      </c>
      <c r="AZ259" s="93">
        <f t="shared" si="251"/>
        <v>0</v>
      </c>
      <c r="BA259" s="93">
        <f t="shared" si="251"/>
        <v>0</v>
      </c>
      <c r="BB259" s="114">
        <f t="shared" si="241"/>
        <v>0</v>
      </c>
      <c r="BC259" s="93"/>
    </row>
    <row r="260" spans="1:55" x14ac:dyDescent="0.3">
      <c r="A260" s="125">
        <v>0</v>
      </c>
      <c r="B260" s="138" t="s">
        <v>607</v>
      </c>
      <c r="C260" s="116">
        <f>C252*$A$260</f>
        <v>0</v>
      </c>
      <c r="D260" s="115"/>
      <c r="E260" s="116">
        <f>E252*$A$260</f>
        <v>0</v>
      </c>
      <c r="F260" s="115"/>
      <c r="G260" s="116">
        <f>G252*$A$260</f>
        <v>0</v>
      </c>
      <c r="H260" s="115"/>
      <c r="I260" s="116">
        <f>I252*$A$260</f>
        <v>0</v>
      </c>
      <c r="J260" s="115"/>
      <c r="K260" s="116">
        <f>K252*$A$260</f>
        <v>0</v>
      </c>
      <c r="L260" s="115"/>
      <c r="M260" s="116">
        <f>M252*$A$260</f>
        <v>0</v>
      </c>
      <c r="N260" s="115"/>
      <c r="O260" s="116">
        <f>O252*$A$260</f>
        <v>0</v>
      </c>
      <c r="P260" s="115"/>
      <c r="Q260" s="116">
        <f>Q252*$A$260</f>
        <v>0</v>
      </c>
      <c r="R260" s="115"/>
      <c r="S260" s="116">
        <f>S252*$A$260</f>
        <v>0</v>
      </c>
      <c r="T260" s="115"/>
      <c r="U260" s="116">
        <f>U252*$A$260</f>
        <v>0</v>
      </c>
      <c r="V260" s="115"/>
      <c r="W260" s="116">
        <f>W252*$A$260</f>
        <v>0</v>
      </c>
      <c r="X260" s="115"/>
      <c r="Y260" s="116">
        <f>Y252*$A$260</f>
        <v>0</v>
      </c>
      <c r="Z260" s="115"/>
      <c r="AA260" s="93">
        <f t="shared" ref="AA260:AH260" si="252">AA252*$A$260</f>
        <v>0</v>
      </c>
      <c r="AB260" s="93">
        <f t="shared" si="252"/>
        <v>0</v>
      </c>
      <c r="AC260" s="93">
        <f t="shared" si="252"/>
        <v>0</v>
      </c>
      <c r="AD260" s="93">
        <f t="shared" si="252"/>
        <v>0</v>
      </c>
      <c r="AE260" s="93">
        <f t="shared" si="252"/>
        <v>0</v>
      </c>
      <c r="AF260" s="93">
        <f t="shared" si="252"/>
        <v>0</v>
      </c>
      <c r="AG260" s="93">
        <f t="shared" si="252"/>
        <v>0</v>
      </c>
      <c r="AH260" s="93">
        <f t="shared" si="252"/>
        <v>0</v>
      </c>
      <c r="AI260" s="93"/>
      <c r="AJ260" s="93">
        <f>AJ252*$A$260</f>
        <v>0</v>
      </c>
      <c r="AK260" s="93">
        <f>AK252*$A$260</f>
        <v>0</v>
      </c>
      <c r="AL260" s="93">
        <f>AL252*$A$260</f>
        <v>0</v>
      </c>
      <c r="AM260" s="93">
        <f>AM252*$A$260</f>
        <v>0</v>
      </c>
      <c r="AN260" s="93">
        <f>AN252*$A$260</f>
        <v>0</v>
      </c>
      <c r="AO260" s="114">
        <f t="shared" si="239"/>
        <v>0</v>
      </c>
      <c r="AP260" s="93">
        <f t="shared" ref="AP260:BA260" si="253">AP252*$A$260</f>
        <v>0</v>
      </c>
      <c r="AQ260" s="93">
        <f t="shared" si="253"/>
        <v>0</v>
      </c>
      <c r="AR260" s="93">
        <f t="shared" si="253"/>
        <v>0</v>
      </c>
      <c r="AS260" s="93">
        <f t="shared" si="253"/>
        <v>0</v>
      </c>
      <c r="AT260" s="93">
        <f t="shared" si="253"/>
        <v>0</v>
      </c>
      <c r="AU260" s="93">
        <f t="shared" si="253"/>
        <v>0</v>
      </c>
      <c r="AV260" s="93">
        <f t="shared" si="253"/>
        <v>0</v>
      </c>
      <c r="AW260" s="93">
        <f t="shared" si="253"/>
        <v>0</v>
      </c>
      <c r="AX260" s="93">
        <f t="shared" si="253"/>
        <v>0</v>
      </c>
      <c r="AY260" s="93">
        <f t="shared" si="253"/>
        <v>0</v>
      </c>
      <c r="AZ260" s="93">
        <f t="shared" si="253"/>
        <v>0</v>
      </c>
      <c r="BA260" s="93">
        <f t="shared" si="253"/>
        <v>0</v>
      </c>
      <c r="BB260" s="114">
        <f t="shared" si="241"/>
        <v>0</v>
      </c>
      <c r="BC260" s="93"/>
    </row>
    <row r="261" spans="1:55" x14ac:dyDescent="0.3">
      <c r="A261" s="108"/>
      <c r="B261" s="137" t="s">
        <v>608</v>
      </c>
      <c r="C261" s="136"/>
      <c r="D261" s="135"/>
      <c r="E261" s="136"/>
      <c r="F261" s="135"/>
      <c r="G261" s="136"/>
      <c r="H261" s="135"/>
      <c r="I261" s="136"/>
      <c r="J261" s="135"/>
      <c r="K261" s="136"/>
      <c r="L261" s="135"/>
      <c r="M261" s="136"/>
      <c r="N261" s="135"/>
      <c r="O261" s="136"/>
      <c r="P261" s="135"/>
      <c r="Q261" s="136"/>
      <c r="R261" s="135"/>
      <c r="S261" s="136"/>
      <c r="T261" s="135"/>
      <c r="U261" s="136"/>
      <c r="V261" s="135"/>
      <c r="W261" s="136"/>
      <c r="X261" s="135"/>
      <c r="Y261" s="136"/>
      <c r="Z261" s="135"/>
      <c r="AA261" s="132"/>
      <c r="AB261" s="132"/>
      <c r="AC261" s="132"/>
      <c r="AD261" s="132"/>
      <c r="AE261" s="132"/>
      <c r="AF261" s="132"/>
      <c r="AG261" s="132"/>
      <c r="AH261" s="132"/>
      <c r="AI261" s="132"/>
      <c r="AJ261" s="132"/>
      <c r="AK261" s="132"/>
      <c r="AL261" s="132"/>
      <c r="AM261" s="132"/>
      <c r="AN261" s="132"/>
      <c r="AO261" s="155"/>
      <c r="AP261" s="132"/>
      <c r="AQ261" s="132"/>
      <c r="AR261" s="132"/>
      <c r="AS261" s="132"/>
      <c r="AT261" s="132"/>
      <c r="AU261" s="132"/>
      <c r="AV261" s="132"/>
      <c r="AW261" s="132"/>
      <c r="AX261" s="132"/>
      <c r="AY261" s="132"/>
      <c r="AZ261" s="132"/>
      <c r="BA261" s="132"/>
      <c r="BB261" s="155"/>
      <c r="BC261" s="132"/>
    </row>
    <row r="262" spans="1:55" x14ac:dyDescent="0.3">
      <c r="A262" s="125">
        <v>0</v>
      </c>
      <c r="B262" s="131" t="s">
        <v>609</v>
      </c>
      <c r="C262" s="130">
        <f>C252*$A$262</f>
        <v>0</v>
      </c>
      <c r="D262" s="129"/>
      <c r="E262" s="130">
        <f>E252*$A$262</f>
        <v>0</v>
      </c>
      <c r="F262" s="129"/>
      <c r="G262" s="130">
        <f>G252*$A$262</f>
        <v>0</v>
      </c>
      <c r="H262" s="129"/>
      <c r="I262" s="130">
        <f>I252*$A$262</f>
        <v>0</v>
      </c>
      <c r="J262" s="129"/>
      <c r="K262" s="130">
        <f>K252*$A$262</f>
        <v>0</v>
      </c>
      <c r="L262" s="129"/>
      <c r="M262" s="130">
        <f>M252*$A$262</f>
        <v>0</v>
      </c>
      <c r="N262" s="129"/>
      <c r="O262" s="130">
        <f>O252*$A$262</f>
        <v>0</v>
      </c>
      <c r="P262" s="129"/>
      <c r="Q262" s="130">
        <f>Q252*$A$262</f>
        <v>0</v>
      </c>
      <c r="R262" s="129"/>
      <c r="S262" s="130">
        <f>S252*$A$262</f>
        <v>0</v>
      </c>
      <c r="T262" s="129"/>
      <c r="U262" s="130">
        <f>U252*$A$262</f>
        <v>0</v>
      </c>
      <c r="V262" s="129"/>
      <c r="W262" s="130">
        <f>W252*$A$262</f>
        <v>0</v>
      </c>
      <c r="X262" s="129"/>
      <c r="Y262" s="130">
        <f>Y252*$A$262</f>
        <v>0</v>
      </c>
      <c r="Z262" s="129"/>
      <c r="AA262" s="126">
        <f t="shared" ref="AA262:AH262" si="254">AA252*$A$262</f>
        <v>0</v>
      </c>
      <c r="AB262" s="126">
        <f t="shared" si="254"/>
        <v>0</v>
      </c>
      <c r="AC262" s="126">
        <f t="shared" si="254"/>
        <v>0</v>
      </c>
      <c r="AD262" s="126">
        <f t="shared" si="254"/>
        <v>0</v>
      </c>
      <c r="AE262" s="126">
        <f t="shared" si="254"/>
        <v>0</v>
      </c>
      <c r="AF262" s="126">
        <f t="shared" si="254"/>
        <v>0</v>
      </c>
      <c r="AG262" s="126">
        <f t="shared" si="254"/>
        <v>0</v>
      </c>
      <c r="AH262" s="126">
        <f t="shared" si="254"/>
        <v>0</v>
      </c>
      <c r="AI262" s="126"/>
      <c r="AJ262" s="126">
        <f>AJ252*$A$262</f>
        <v>0</v>
      </c>
      <c r="AK262" s="126">
        <f>AK252*$A$262</f>
        <v>0</v>
      </c>
      <c r="AL262" s="126">
        <f>AL252*$A$262</f>
        <v>0</v>
      </c>
      <c r="AM262" s="126">
        <f>AM252*$A$262</f>
        <v>0</v>
      </c>
      <c r="AN262" s="126">
        <f>AN252*$A$262</f>
        <v>0</v>
      </c>
      <c r="AO262" s="114">
        <f>SUM(AB262:AN262)</f>
        <v>0</v>
      </c>
      <c r="AP262" s="126">
        <f t="shared" ref="AP262:BA262" si="255">AP252*$A$262</f>
        <v>0</v>
      </c>
      <c r="AQ262" s="126">
        <f t="shared" si="255"/>
        <v>0</v>
      </c>
      <c r="AR262" s="126">
        <f t="shared" si="255"/>
        <v>0</v>
      </c>
      <c r="AS262" s="126">
        <f t="shared" si="255"/>
        <v>0</v>
      </c>
      <c r="AT262" s="126">
        <f t="shared" si="255"/>
        <v>0</v>
      </c>
      <c r="AU262" s="126">
        <f t="shared" si="255"/>
        <v>0</v>
      </c>
      <c r="AV262" s="126">
        <f t="shared" si="255"/>
        <v>0</v>
      </c>
      <c r="AW262" s="126">
        <f t="shared" si="255"/>
        <v>0</v>
      </c>
      <c r="AX262" s="126">
        <f t="shared" si="255"/>
        <v>0</v>
      </c>
      <c r="AY262" s="126">
        <f t="shared" si="255"/>
        <v>0</v>
      </c>
      <c r="AZ262" s="126">
        <f t="shared" si="255"/>
        <v>0</v>
      </c>
      <c r="BA262" s="126">
        <f t="shared" si="255"/>
        <v>0</v>
      </c>
      <c r="BB262" s="114">
        <f>SUM(AP262:BA262)</f>
        <v>0</v>
      </c>
      <c r="BC262" s="126"/>
    </row>
    <row r="263" spans="1:55" x14ac:dyDescent="0.3">
      <c r="A263" s="125">
        <v>0.03</v>
      </c>
      <c r="B263" s="124" t="s">
        <v>610</v>
      </c>
      <c r="C263" s="112">
        <f>C252*$A$263</f>
        <v>0</v>
      </c>
      <c r="D263" s="111"/>
      <c r="E263" s="112">
        <f>E252*$A$263</f>
        <v>0</v>
      </c>
      <c r="F263" s="111"/>
      <c r="G263" s="112">
        <f>G252*$A$263</f>
        <v>0</v>
      </c>
      <c r="H263" s="111"/>
      <c r="I263" s="112">
        <f>I252*$A$263</f>
        <v>0</v>
      </c>
      <c r="J263" s="111"/>
      <c r="K263" s="112">
        <f>K252*$A$263</f>
        <v>0</v>
      </c>
      <c r="L263" s="111"/>
      <c r="M263" s="112">
        <f>M252*$A$263</f>
        <v>0</v>
      </c>
      <c r="N263" s="111"/>
      <c r="O263" s="112">
        <f>O252*$A$263</f>
        <v>0</v>
      </c>
      <c r="P263" s="111"/>
      <c r="Q263" s="112">
        <f>Q252*$A$263</f>
        <v>0</v>
      </c>
      <c r="R263" s="111"/>
      <c r="S263" s="112">
        <f>S252*$A$263</f>
        <v>0</v>
      </c>
      <c r="T263" s="111"/>
      <c r="U263" s="112">
        <f>U252*$A$263</f>
        <v>0</v>
      </c>
      <c r="V263" s="111"/>
      <c r="W263" s="112">
        <f>W252*$A$263</f>
        <v>0</v>
      </c>
      <c r="X263" s="111"/>
      <c r="Y263" s="112">
        <f>Y252*$A$263</f>
        <v>0</v>
      </c>
      <c r="Z263" s="111"/>
      <c r="AA263" s="109">
        <f t="shared" ref="AA263:AH263" si="256">AA252*$A$263</f>
        <v>0</v>
      </c>
      <c r="AB263" s="109">
        <f t="shared" si="256"/>
        <v>0</v>
      </c>
      <c r="AC263" s="109">
        <f t="shared" si="256"/>
        <v>0</v>
      </c>
      <c r="AD263" s="109">
        <f t="shared" si="256"/>
        <v>0</v>
      </c>
      <c r="AE263" s="109">
        <f t="shared" si="256"/>
        <v>0</v>
      </c>
      <c r="AF263" s="109">
        <f t="shared" si="256"/>
        <v>0</v>
      </c>
      <c r="AG263" s="109">
        <f t="shared" si="256"/>
        <v>0</v>
      </c>
      <c r="AH263" s="109">
        <f t="shared" si="256"/>
        <v>0</v>
      </c>
      <c r="AI263" s="109"/>
      <c r="AJ263" s="109">
        <f>AJ252*$A$263</f>
        <v>0</v>
      </c>
      <c r="AK263" s="109">
        <f>AK252*$A$263</f>
        <v>0</v>
      </c>
      <c r="AL263" s="109">
        <f>AL252*$A$263</f>
        <v>0</v>
      </c>
      <c r="AM263" s="109">
        <f>AM252*$A$263</f>
        <v>0</v>
      </c>
      <c r="AN263" s="109">
        <f>AN252*$A$263</f>
        <v>0</v>
      </c>
      <c r="AO263" s="110">
        <f>SUM(AB263:AN263)</f>
        <v>0</v>
      </c>
      <c r="AP263" s="109">
        <f t="shared" ref="AP263:BA263" si="257">AP252*$A$263</f>
        <v>0</v>
      </c>
      <c r="AQ263" s="109">
        <f t="shared" si="257"/>
        <v>0</v>
      </c>
      <c r="AR263" s="109">
        <f t="shared" si="257"/>
        <v>0</v>
      </c>
      <c r="AS263" s="109">
        <f t="shared" si="257"/>
        <v>0</v>
      </c>
      <c r="AT263" s="109">
        <f t="shared" si="257"/>
        <v>0</v>
      </c>
      <c r="AU263" s="109">
        <f t="shared" si="257"/>
        <v>0</v>
      </c>
      <c r="AV263" s="109">
        <f t="shared" si="257"/>
        <v>0</v>
      </c>
      <c r="AW263" s="109">
        <f t="shared" si="257"/>
        <v>0</v>
      </c>
      <c r="AX263" s="109">
        <f t="shared" si="257"/>
        <v>0</v>
      </c>
      <c r="AY263" s="109">
        <f t="shared" si="257"/>
        <v>0</v>
      </c>
      <c r="AZ263" s="109">
        <f t="shared" si="257"/>
        <v>0</v>
      </c>
      <c r="BA263" s="109">
        <f t="shared" si="257"/>
        <v>0</v>
      </c>
      <c r="BB263" s="110">
        <f>SUM(AP263:BA263)</f>
        <v>0</v>
      </c>
      <c r="BC263" s="109"/>
    </row>
    <row r="264" spans="1:55" x14ac:dyDescent="0.3">
      <c r="A264" s="108"/>
      <c r="B264" s="380" t="s">
        <v>611</v>
      </c>
      <c r="C264" s="123">
        <f>SUM(C262:C263)</f>
        <v>0</v>
      </c>
      <c r="D264" s="388"/>
      <c r="E264" s="123">
        <f>SUM(E262:E263)</f>
        <v>0</v>
      </c>
      <c r="F264" s="388"/>
      <c r="G264" s="123">
        <f>SUM(G262:G263)</f>
        <v>0</v>
      </c>
      <c r="H264" s="388"/>
      <c r="I264" s="123">
        <f>SUM(I262:I263)</f>
        <v>0</v>
      </c>
      <c r="J264" s="388"/>
      <c r="K264" s="123">
        <f>SUM(K262:K263)</f>
        <v>0</v>
      </c>
      <c r="L264" s="388"/>
      <c r="M264" s="123">
        <f>SUM(M262:M263)</f>
        <v>0</v>
      </c>
      <c r="N264" s="388"/>
      <c r="O264" s="123">
        <f>SUM(O262:O263)</f>
        <v>0</v>
      </c>
      <c r="P264" s="388"/>
      <c r="Q264" s="123">
        <f>SUM(Q262:Q263)</f>
        <v>0</v>
      </c>
      <c r="R264" s="388"/>
      <c r="S264" s="123">
        <f>SUM(S262:S263)</f>
        <v>0</v>
      </c>
      <c r="T264" s="388"/>
      <c r="U264" s="123">
        <f>SUM(U262:U263)</f>
        <v>0</v>
      </c>
      <c r="V264" s="388"/>
      <c r="W264" s="123">
        <f>SUM(W262:W263)</f>
        <v>0</v>
      </c>
      <c r="X264" s="388"/>
      <c r="Y264" s="123">
        <f>SUM(Y262:Y263)</f>
        <v>0</v>
      </c>
      <c r="Z264" s="388"/>
      <c r="AA264" s="389">
        <f t="shared" ref="AA264:AH264" si="258">SUM(AA262:AA263)</f>
        <v>0</v>
      </c>
      <c r="AB264" s="389">
        <f t="shared" si="258"/>
        <v>0</v>
      </c>
      <c r="AC264" s="389">
        <f t="shared" si="258"/>
        <v>0</v>
      </c>
      <c r="AD264" s="389">
        <f t="shared" si="258"/>
        <v>0</v>
      </c>
      <c r="AE264" s="389">
        <f t="shared" si="258"/>
        <v>0</v>
      </c>
      <c r="AF264" s="389">
        <f t="shared" si="258"/>
        <v>0</v>
      </c>
      <c r="AG264" s="389">
        <f t="shared" si="258"/>
        <v>0</v>
      </c>
      <c r="AH264" s="389">
        <f t="shared" si="258"/>
        <v>0</v>
      </c>
      <c r="AI264" s="389"/>
      <c r="AJ264" s="389">
        <f>SUM(AJ262:AJ263)</f>
        <v>0</v>
      </c>
      <c r="AK264" s="389">
        <f>SUM(AK262:AK263)</f>
        <v>0</v>
      </c>
      <c r="AL264" s="389">
        <f>SUM(AL262:AL263)</f>
        <v>0</v>
      </c>
      <c r="AM264" s="389">
        <f>SUM(AM262:AM263)</f>
        <v>0</v>
      </c>
      <c r="AN264" s="389">
        <f>SUM(AN262:AN263)</f>
        <v>0</v>
      </c>
      <c r="AO264" s="390">
        <f>SUM(AB264:AN264)</f>
        <v>0</v>
      </c>
      <c r="AP264" s="389">
        <f t="shared" ref="AP264:BA264" si="259">SUM(AP262:AP263)</f>
        <v>0</v>
      </c>
      <c r="AQ264" s="389">
        <f t="shared" si="259"/>
        <v>0</v>
      </c>
      <c r="AR264" s="389">
        <f t="shared" si="259"/>
        <v>0</v>
      </c>
      <c r="AS264" s="389">
        <f t="shared" si="259"/>
        <v>0</v>
      </c>
      <c r="AT264" s="389">
        <f t="shared" si="259"/>
        <v>0</v>
      </c>
      <c r="AU264" s="389">
        <f t="shared" si="259"/>
        <v>0</v>
      </c>
      <c r="AV264" s="389">
        <f t="shared" si="259"/>
        <v>0</v>
      </c>
      <c r="AW264" s="389">
        <f t="shared" si="259"/>
        <v>0</v>
      </c>
      <c r="AX264" s="389">
        <f t="shared" si="259"/>
        <v>0</v>
      </c>
      <c r="AY264" s="389">
        <f t="shared" si="259"/>
        <v>0</v>
      </c>
      <c r="AZ264" s="389">
        <f t="shared" si="259"/>
        <v>0</v>
      </c>
      <c r="BA264" s="389">
        <f t="shared" si="259"/>
        <v>0</v>
      </c>
      <c r="BB264" s="390">
        <f>SUM(AP264:BA264)</f>
        <v>0</v>
      </c>
      <c r="BC264" s="389"/>
    </row>
    <row r="265" spans="1:55" x14ac:dyDescent="0.3">
      <c r="C265" s="83"/>
      <c r="D265" s="82"/>
      <c r="E265" s="83"/>
      <c r="F265" s="82"/>
      <c r="G265" s="83"/>
      <c r="H265" s="82"/>
      <c r="I265" s="83"/>
      <c r="J265" s="82"/>
      <c r="K265" s="83"/>
      <c r="L265" s="82"/>
      <c r="M265" s="83"/>
      <c r="N265" s="82"/>
      <c r="O265" s="83"/>
      <c r="P265" s="82"/>
      <c r="Q265" s="83"/>
      <c r="R265" s="82"/>
      <c r="S265" s="83"/>
      <c r="T265" s="82"/>
      <c r="U265" s="83"/>
      <c r="V265" s="82"/>
      <c r="W265" s="83"/>
      <c r="X265" s="82"/>
      <c r="Y265" s="83"/>
      <c r="Z265" s="82"/>
    </row>
    <row r="266" spans="1:55" ht="18.600000000000001" thickBot="1" x14ac:dyDescent="0.4">
      <c r="C266" s="151" t="s">
        <v>624</v>
      </c>
      <c r="D266" s="150"/>
      <c r="E266" s="151"/>
      <c r="F266" s="150"/>
      <c r="G266" s="151"/>
      <c r="H266" s="150"/>
      <c r="I266" s="151"/>
      <c r="J266" s="150"/>
      <c r="K266" s="83"/>
      <c r="L266" s="82"/>
      <c r="M266" s="83"/>
      <c r="N266" s="82"/>
      <c r="O266" s="83"/>
      <c r="P266" s="82"/>
      <c r="Q266" s="83"/>
      <c r="R266" s="82"/>
      <c r="S266" s="83"/>
      <c r="T266" s="82"/>
      <c r="U266" s="83"/>
      <c r="V266" s="82"/>
      <c r="W266" s="83"/>
      <c r="X266" s="82"/>
      <c r="Y266" s="83"/>
      <c r="Z266" s="82"/>
    </row>
    <row r="267" spans="1:55" ht="15" thickTop="1" x14ac:dyDescent="0.3">
      <c r="B267" s="381"/>
      <c r="C267" s="149">
        <v>45292</v>
      </c>
      <c r="D267" s="148">
        <v>45292</v>
      </c>
      <c r="E267" s="149">
        <v>45323</v>
      </c>
      <c r="F267" s="148">
        <v>45323</v>
      </c>
      <c r="G267" s="149">
        <v>45352</v>
      </c>
      <c r="H267" s="148">
        <v>45352</v>
      </c>
      <c r="I267" s="149">
        <v>45383</v>
      </c>
      <c r="J267" s="148">
        <v>45383</v>
      </c>
      <c r="K267" s="149">
        <v>45413</v>
      </c>
      <c r="L267" s="148">
        <v>45413</v>
      </c>
      <c r="M267" s="149">
        <v>45444</v>
      </c>
      <c r="N267" s="148">
        <v>45444</v>
      </c>
      <c r="O267" s="149">
        <v>45474</v>
      </c>
      <c r="P267" s="148">
        <v>45474</v>
      </c>
      <c r="Q267" s="149">
        <v>45505</v>
      </c>
      <c r="R267" s="148">
        <v>45505</v>
      </c>
      <c r="S267" s="149">
        <v>45536</v>
      </c>
      <c r="T267" s="148">
        <v>45536</v>
      </c>
      <c r="U267" s="149">
        <v>45566</v>
      </c>
      <c r="V267" s="148">
        <v>45566</v>
      </c>
      <c r="W267" s="149">
        <v>45597</v>
      </c>
      <c r="X267" s="148">
        <v>45597</v>
      </c>
      <c r="Y267" s="149">
        <v>45627</v>
      </c>
      <c r="Z267" s="148">
        <v>45627</v>
      </c>
      <c r="AA267" s="382">
        <f t="shared" ref="AA267:AH267" si="260">AA243</f>
        <v>44927</v>
      </c>
      <c r="AB267" s="382">
        <f t="shared" si="260"/>
        <v>44958</v>
      </c>
      <c r="AC267" s="382">
        <f t="shared" si="260"/>
        <v>44986</v>
      </c>
      <c r="AD267" s="382">
        <f t="shared" si="260"/>
        <v>45017</v>
      </c>
      <c r="AE267" s="382">
        <f t="shared" si="260"/>
        <v>45047</v>
      </c>
      <c r="AF267" s="382">
        <f t="shared" si="260"/>
        <v>45078</v>
      </c>
      <c r="AG267" s="382">
        <f t="shared" si="260"/>
        <v>45108</v>
      </c>
      <c r="AH267" s="382">
        <f t="shared" si="260"/>
        <v>45139</v>
      </c>
      <c r="AI267" s="381"/>
      <c r="AJ267" s="381" t="s">
        <v>579</v>
      </c>
      <c r="AK267" s="381" t="s">
        <v>580</v>
      </c>
      <c r="AL267" s="381" t="s">
        <v>581</v>
      </c>
      <c r="AM267" s="381" t="s">
        <v>582</v>
      </c>
      <c r="AN267" s="381" t="s">
        <v>583</v>
      </c>
      <c r="AO267" s="383" t="s">
        <v>584</v>
      </c>
      <c r="AP267" s="381" t="s">
        <v>585</v>
      </c>
      <c r="AQ267" s="381" t="s">
        <v>586</v>
      </c>
      <c r="AR267" s="381" t="s">
        <v>587</v>
      </c>
      <c r="AS267" s="381" t="s">
        <v>588</v>
      </c>
      <c r="AT267" s="381" t="s">
        <v>589</v>
      </c>
      <c r="AU267" s="381" t="s">
        <v>590</v>
      </c>
      <c r="AV267" s="381" t="s">
        <v>591</v>
      </c>
      <c r="AW267" s="381" t="s">
        <v>592</v>
      </c>
      <c r="AX267" s="381" t="s">
        <v>593</v>
      </c>
      <c r="AY267" s="381" t="s">
        <v>594</v>
      </c>
      <c r="AZ267" s="381" t="s">
        <v>595</v>
      </c>
      <c r="BA267" s="381" t="s">
        <v>596</v>
      </c>
      <c r="BB267" s="383" t="s">
        <v>597</v>
      </c>
      <c r="BC267" s="382"/>
    </row>
    <row r="268" spans="1:55" x14ac:dyDescent="0.3">
      <c r="B268" s="113" t="str">
        <f t="shared" ref="B268:B275" si="261">B244</f>
        <v>Salvadorcard/SSA</v>
      </c>
      <c r="C268" s="146">
        <v>0</v>
      </c>
      <c r="D268" s="145"/>
      <c r="E268" s="146">
        <v>0</v>
      </c>
      <c r="F268" s="145"/>
      <c r="G268" s="146">
        <v>0</v>
      </c>
      <c r="H268" s="145"/>
      <c r="I268" s="146"/>
      <c r="J268" s="145"/>
      <c r="K268" s="146"/>
      <c r="L268" s="145"/>
      <c r="M268" s="146"/>
      <c r="N268" s="145"/>
      <c r="O268" s="146"/>
      <c r="P268" s="145"/>
      <c r="Q268" s="146"/>
      <c r="R268" s="145"/>
      <c r="S268" s="146"/>
      <c r="T268" s="145"/>
      <c r="U268" s="146"/>
      <c r="V268" s="145"/>
      <c r="W268" s="146"/>
      <c r="X268" s="145"/>
      <c r="Y268" s="146"/>
      <c r="Z268" s="145"/>
      <c r="AA268" s="144">
        <v>0</v>
      </c>
      <c r="AB268" s="144">
        <v>0</v>
      </c>
      <c r="AC268" s="144">
        <v>0</v>
      </c>
      <c r="AD268" s="144">
        <v>0</v>
      </c>
      <c r="AE268" s="144">
        <v>0</v>
      </c>
      <c r="AF268" s="144">
        <v>0</v>
      </c>
      <c r="AG268" s="144">
        <v>0</v>
      </c>
      <c r="AH268" s="144">
        <v>0</v>
      </c>
      <c r="AI268" s="144"/>
      <c r="AJ268" s="144">
        <v>0</v>
      </c>
      <c r="AK268" s="144">
        <v>0</v>
      </c>
      <c r="AL268" s="144">
        <v>0</v>
      </c>
      <c r="AM268" s="144">
        <v>0</v>
      </c>
      <c r="AN268" s="144">
        <v>0</v>
      </c>
      <c r="AO268" s="391">
        <f t="shared" ref="AO268:AO273" si="262">SUM(AB268:AN268)</f>
        <v>0</v>
      </c>
      <c r="AP268" s="144">
        <v>0</v>
      </c>
      <c r="AQ268" s="144">
        <v>0</v>
      </c>
      <c r="AR268" s="144">
        <v>0</v>
      </c>
      <c r="AS268" s="144">
        <v>0</v>
      </c>
      <c r="AT268" s="144">
        <v>0</v>
      </c>
      <c r="AU268" s="144">
        <v>0</v>
      </c>
      <c r="AV268" s="144">
        <v>0</v>
      </c>
      <c r="AW268" s="144">
        <v>0</v>
      </c>
      <c r="AX268" s="144">
        <v>0</v>
      </c>
      <c r="AY268" s="144">
        <v>0</v>
      </c>
      <c r="AZ268" s="144">
        <v>0</v>
      </c>
      <c r="BA268" s="144">
        <v>0</v>
      </c>
      <c r="BB268" s="391">
        <f t="shared" ref="BB268:BB273" si="263">SUM(AP268:BA268)</f>
        <v>0</v>
      </c>
      <c r="BC268" s="144"/>
    </row>
    <row r="269" spans="1:55" x14ac:dyDescent="0.3">
      <c r="B269" s="91" t="str">
        <f t="shared" si="261"/>
        <v>Metropasse/SSA</v>
      </c>
      <c r="C269" s="90">
        <v>0</v>
      </c>
      <c r="D269" s="89"/>
      <c r="E269" s="90">
        <v>0</v>
      </c>
      <c r="F269" s="89"/>
      <c r="G269" s="90">
        <v>0</v>
      </c>
      <c r="H269" s="89"/>
      <c r="I269" s="90"/>
      <c r="J269" s="89"/>
      <c r="K269" s="90"/>
      <c r="L269" s="89"/>
      <c r="M269" s="90"/>
      <c r="N269" s="89"/>
      <c r="O269" s="90"/>
      <c r="P269" s="89"/>
      <c r="Q269" s="90"/>
      <c r="R269" s="89"/>
      <c r="S269" s="90"/>
      <c r="T269" s="89"/>
      <c r="U269" s="90"/>
      <c r="V269" s="89"/>
      <c r="W269" s="90"/>
      <c r="X269" s="89"/>
      <c r="Y269" s="90"/>
      <c r="Z269" s="89"/>
      <c r="AA269" s="96">
        <v>0</v>
      </c>
      <c r="AB269" s="96">
        <v>0</v>
      </c>
      <c r="AC269" s="96">
        <v>0</v>
      </c>
      <c r="AD269" s="96">
        <v>0</v>
      </c>
      <c r="AE269" s="96">
        <v>0</v>
      </c>
      <c r="AF269" s="96">
        <v>0</v>
      </c>
      <c r="AG269" s="96">
        <v>0</v>
      </c>
      <c r="AH269" s="96">
        <v>0</v>
      </c>
      <c r="AI269" s="96"/>
      <c r="AJ269" s="96" t="e">
        <v>#REF!</v>
      </c>
      <c r="AK269" s="96" t="e">
        <v>#REF!</v>
      </c>
      <c r="AL269" s="96" t="e">
        <v>#REF!</v>
      </c>
      <c r="AM269" s="96" t="e">
        <v>#REF!</v>
      </c>
      <c r="AN269" s="96" t="e">
        <v>#REF!</v>
      </c>
      <c r="AO269" s="147" t="e">
        <f t="shared" si="262"/>
        <v>#REF!</v>
      </c>
      <c r="AP269" s="96" t="e">
        <v>#REF!</v>
      </c>
      <c r="AQ269" s="96" t="e">
        <v>#REF!</v>
      </c>
      <c r="AR269" s="96" t="e">
        <v>#REF!</v>
      </c>
      <c r="AS269" s="96" t="e">
        <v>#REF!</v>
      </c>
      <c r="AT269" s="96" t="e">
        <v>#REF!</v>
      </c>
      <c r="AU269" s="96" t="e">
        <v>#REF!</v>
      </c>
      <c r="AV269" s="96" t="e">
        <v>#REF!</v>
      </c>
      <c r="AW269" s="96" t="e">
        <v>#REF!</v>
      </c>
      <c r="AX269" s="96" t="e">
        <v>#REF!</v>
      </c>
      <c r="AY269" s="96" t="e">
        <v>#REF!</v>
      </c>
      <c r="AZ269" s="96" t="e">
        <v>#REF!</v>
      </c>
      <c r="BA269" s="96" t="e">
        <v>#REF!</v>
      </c>
      <c r="BB269" s="147" t="e">
        <f t="shared" si="263"/>
        <v>#REF!</v>
      </c>
      <c r="BC269" s="96"/>
    </row>
    <row r="270" spans="1:55" x14ac:dyDescent="0.3">
      <c r="B270" s="91" t="str">
        <f t="shared" si="261"/>
        <v>GVBus/VIX</v>
      </c>
      <c r="C270" s="90">
        <v>0</v>
      </c>
      <c r="D270" s="89"/>
      <c r="E270" s="90">
        <v>0</v>
      </c>
      <c r="F270" s="89"/>
      <c r="G270" s="90">
        <v>0</v>
      </c>
      <c r="H270" s="89"/>
      <c r="I270" s="90"/>
      <c r="J270" s="89"/>
      <c r="K270" s="90"/>
      <c r="L270" s="89"/>
      <c r="M270" s="90"/>
      <c r="N270" s="89"/>
      <c r="O270" s="90"/>
      <c r="P270" s="89"/>
      <c r="Q270" s="90"/>
      <c r="R270" s="89"/>
      <c r="S270" s="90"/>
      <c r="T270" s="89"/>
      <c r="U270" s="90"/>
      <c r="V270" s="89"/>
      <c r="W270" s="90"/>
      <c r="X270" s="89"/>
      <c r="Y270" s="90"/>
      <c r="Z270" s="89"/>
      <c r="AA270" s="96">
        <v>0</v>
      </c>
      <c r="AB270" s="96">
        <v>0</v>
      </c>
      <c r="AC270" s="96">
        <v>0</v>
      </c>
      <c r="AD270" s="96">
        <v>0</v>
      </c>
      <c r="AE270" s="96">
        <v>0</v>
      </c>
      <c r="AF270" s="96">
        <v>0</v>
      </c>
      <c r="AG270" s="96">
        <v>0</v>
      </c>
      <c r="AH270" s="96">
        <v>0</v>
      </c>
      <c r="AI270" s="96"/>
      <c r="AJ270" s="96">
        <v>0</v>
      </c>
      <c r="AK270" s="96">
        <v>0</v>
      </c>
      <c r="AL270" s="96">
        <v>0</v>
      </c>
      <c r="AM270" s="96">
        <v>0</v>
      </c>
      <c r="AN270" s="96">
        <v>0</v>
      </c>
      <c r="AO270" s="147">
        <f t="shared" si="262"/>
        <v>0</v>
      </c>
      <c r="AP270" s="96">
        <v>0</v>
      </c>
      <c r="AQ270" s="96">
        <v>0</v>
      </c>
      <c r="AR270" s="96">
        <v>0</v>
      </c>
      <c r="AS270" s="96">
        <v>0</v>
      </c>
      <c r="AT270" s="96">
        <v>0</v>
      </c>
      <c r="AU270" s="96">
        <v>0</v>
      </c>
      <c r="AV270" s="96">
        <v>0</v>
      </c>
      <c r="AW270" s="96">
        <v>0</v>
      </c>
      <c r="AX270" s="96">
        <v>0</v>
      </c>
      <c r="AY270" s="96">
        <v>0</v>
      </c>
      <c r="AZ270" s="96">
        <v>0</v>
      </c>
      <c r="BA270" s="96">
        <v>0</v>
      </c>
      <c r="BB270" s="147">
        <f t="shared" si="263"/>
        <v>0</v>
      </c>
      <c r="BC270" s="96"/>
    </row>
    <row r="271" spans="1:55" x14ac:dyDescent="0.3">
      <c r="B271" s="91" t="str">
        <f t="shared" si="261"/>
        <v>Teu/POA</v>
      </c>
      <c r="C271" s="90">
        <v>0</v>
      </c>
      <c r="D271" s="89"/>
      <c r="E271" s="90">
        <v>0</v>
      </c>
      <c r="F271" s="89"/>
      <c r="G271" s="90">
        <v>0</v>
      </c>
      <c r="H271" s="89"/>
      <c r="I271" s="90"/>
      <c r="J271" s="89"/>
      <c r="K271" s="90"/>
      <c r="L271" s="89"/>
      <c r="M271" s="90"/>
      <c r="N271" s="89"/>
      <c r="O271" s="90"/>
      <c r="P271" s="89"/>
      <c r="Q271" s="90"/>
      <c r="R271" s="89"/>
      <c r="S271" s="90"/>
      <c r="T271" s="89"/>
      <c r="U271" s="90"/>
      <c r="V271" s="89"/>
      <c r="W271" s="90"/>
      <c r="X271" s="89"/>
      <c r="Y271" s="90"/>
      <c r="Z271" s="89"/>
      <c r="AA271" s="96">
        <v>0</v>
      </c>
      <c r="AB271" s="96">
        <v>0</v>
      </c>
      <c r="AC271" s="96">
        <v>0</v>
      </c>
      <c r="AD271" s="96">
        <v>0</v>
      </c>
      <c r="AE271" s="96">
        <v>0</v>
      </c>
      <c r="AF271" s="96">
        <v>0</v>
      </c>
      <c r="AG271" s="96">
        <v>0</v>
      </c>
      <c r="AH271" s="96">
        <v>0</v>
      </c>
      <c r="AI271" s="96"/>
      <c r="AJ271" s="96">
        <v>0</v>
      </c>
      <c r="AK271" s="96">
        <v>0</v>
      </c>
      <c r="AL271" s="96">
        <v>0</v>
      </c>
      <c r="AM271" s="96">
        <v>0</v>
      </c>
      <c r="AN271" s="96">
        <v>0</v>
      </c>
      <c r="AO271" s="147">
        <f t="shared" si="262"/>
        <v>0</v>
      </c>
      <c r="AP271" s="96">
        <v>0</v>
      </c>
      <c r="AQ271" s="96">
        <v>0</v>
      </c>
      <c r="AR271" s="96">
        <v>0</v>
      </c>
      <c r="AS271" s="96">
        <v>0</v>
      </c>
      <c r="AT271" s="96">
        <v>0</v>
      </c>
      <c r="AU271" s="96">
        <v>0</v>
      </c>
      <c r="AV271" s="96">
        <v>0</v>
      </c>
      <c r="AW271" s="96">
        <v>0</v>
      </c>
      <c r="AX271" s="96">
        <v>0</v>
      </c>
      <c r="AY271" s="96">
        <v>0</v>
      </c>
      <c r="AZ271" s="96">
        <v>0</v>
      </c>
      <c r="BA271" s="96">
        <v>0</v>
      </c>
      <c r="BB271" s="147">
        <f t="shared" si="263"/>
        <v>0</v>
      </c>
      <c r="BC271" s="96"/>
    </row>
    <row r="272" spans="1:55" x14ac:dyDescent="0.3">
      <c r="B272" s="91" t="str">
        <f t="shared" si="261"/>
        <v>Transfácil/BHZ</v>
      </c>
      <c r="C272" s="90">
        <v>0</v>
      </c>
      <c r="D272" s="89"/>
      <c r="E272" s="90">
        <v>0</v>
      </c>
      <c r="F272" s="89"/>
      <c r="G272" s="90">
        <v>0</v>
      </c>
      <c r="H272" s="89"/>
      <c r="I272" s="90"/>
      <c r="J272" s="89"/>
      <c r="K272" s="90"/>
      <c r="L272" s="89"/>
      <c r="M272" s="90"/>
      <c r="N272" s="89"/>
      <c r="O272" s="90"/>
      <c r="P272" s="89"/>
      <c r="Q272" s="90"/>
      <c r="R272" s="89"/>
      <c r="S272" s="90"/>
      <c r="T272" s="89"/>
      <c r="U272" s="90"/>
      <c r="V272" s="89"/>
      <c r="W272" s="90"/>
      <c r="X272" s="89"/>
      <c r="Y272" s="90"/>
      <c r="Z272" s="89"/>
      <c r="AA272" s="96">
        <v>0</v>
      </c>
      <c r="AB272" s="96">
        <v>0</v>
      </c>
      <c r="AC272" s="96">
        <v>0</v>
      </c>
      <c r="AD272" s="96">
        <v>0</v>
      </c>
      <c r="AE272" s="96">
        <v>0</v>
      </c>
      <c r="AF272" s="96">
        <v>0</v>
      </c>
      <c r="AG272" s="96">
        <v>0</v>
      </c>
      <c r="AH272" s="96">
        <v>0</v>
      </c>
      <c r="AI272" s="96"/>
      <c r="AJ272" s="96">
        <v>0</v>
      </c>
      <c r="AK272" s="96">
        <v>0</v>
      </c>
      <c r="AL272" s="96">
        <v>0</v>
      </c>
      <c r="AM272" s="96">
        <v>0</v>
      </c>
      <c r="AN272" s="96">
        <v>0</v>
      </c>
      <c r="AO272" s="147">
        <f t="shared" si="262"/>
        <v>0</v>
      </c>
      <c r="AP272" s="96">
        <v>0</v>
      </c>
      <c r="AQ272" s="96">
        <v>0</v>
      </c>
      <c r="AR272" s="96">
        <v>0</v>
      </c>
      <c r="AS272" s="96">
        <v>0</v>
      </c>
      <c r="AT272" s="96">
        <v>0</v>
      </c>
      <c r="AU272" s="96">
        <v>0</v>
      </c>
      <c r="AV272" s="96">
        <v>0</v>
      </c>
      <c r="AW272" s="96">
        <v>0</v>
      </c>
      <c r="AX272" s="96">
        <v>0</v>
      </c>
      <c r="AY272" s="96">
        <v>0</v>
      </c>
      <c r="AZ272" s="96">
        <v>0</v>
      </c>
      <c r="BA272" s="96">
        <v>0</v>
      </c>
      <c r="BB272" s="147">
        <f t="shared" si="263"/>
        <v>0</v>
      </c>
      <c r="BC272" s="96"/>
    </row>
    <row r="273" spans="1:55" x14ac:dyDescent="0.3">
      <c r="B273" s="113" t="str">
        <f t="shared" si="261"/>
        <v>Biguaçú-Jotur-Santa Terezinha/Florianopolis</v>
      </c>
      <c r="C273" s="146">
        <v>0</v>
      </c>
      <c r="D273" s="145"/>
      <c r="E273" s="146">
        <v>0</v>
      </c>
      <c r="F273" s="145"/>
      <c r="G273" s="146">
        <v>0</v>
      </c>
      <c r="H273" s="145"/>
      <c r="I273" s="146"/>
      <c r="J273" s="145"/>
      <c r="K273" s="146"/>
      <c r="L273" s="145"/>
      <c r="M273" s="146"/>
      <c r="N273" s="145"/>
      <c r="O273" s="146"/>
      <c r="P273" s="145"/>
      <c r="Q273" s="146"/>
      <c r="R273" s="145"/>
      <c r="S273" s="146"/>
      <c r="T273" s="145"/>
      <c r="U273" s="146"/>
      <c r="V273" s="145"/>
      <c r="W273" s="146"/>
      <c r="X273" s="145"/>
      <c r="Y273" s="146"/>
      <c r="Z273" s="145"/>
      <c r="AA273" s="144">
        <v>0</v>
      </c>
      <c r="AB273" s="144">
        <v>0</v>
      </c>
      <c r="AC273" s="144">
        <v>0</v>
      </c>
      <c r="AD273" s="144">
        <v>0</v>
      </c>
      <c r="AE273" s="144">
        <v>0</v>
      </c>
      <c r="AF273" s="144">
        <v>0</v>
      </c>
      <c r="AG273" s="144">
        <v>0</v>
      </c>
      <c r="AH273" s="144">
        <v>0</v>
      </c>
      <c r="AI273" s="144"/>
      <c r="AJ273" s="144">
        <v>0</v>
      </c>
      <c r="AK273" s="144">
        <v>0</v>
      </c>
      <c r="AL273" s="144">
        <v>0</v>
      </c>
      <c r="AM273" s="144">
        <v>0</v>
      </c>
      <c r="AN273" s="144">
        <v>0</v>
      </c>
      <c r="AO273" s="206">
        <f t="shared" si="262"/>
        <v>0</v>
      </c>
      <c r="AP273" s="144">
        <v>0</v>
      </c>
      <c r="AQ273" s="144">
        <v>0</v>
      </c>
      <c r="AR273" s="144">
        <v>0</v>
      </c>
      <c r="AS273" s="144">
        <v>0</v>
      </c>
      <c r="AT273" s="144">
        <v>0</v>
      </c>
      <c r="AU273" s="144">
        <v>0</v>
      </c>
      <c r="AV273" s="144">
        <v>0</v>
      </c>
      <c r="AW273" s="144">
        <v>0</v>
      </c>
      <c r="AX273" s="144">
        <v>0</v>
      </c>
      <c r="AY273" s="144">
        <v>0</v>
      </c>
      <c r="AZ273" s="144">
        <v>0</v>
      </c>
      <c r="BA273" s="144">
        <v>0</v>
      </c>
      <c r="BB273" s="206">
        <f t="shared" si="263"/>
        <v>0</v>
      </c>
      <c r="BC273" s="144"/>
    </row>
    <row r="274" spans="1:55" x14ac:dyDescent="0.3">
      <c r="B274" s="91" t="str">
        <f t="shared" si="261"/>
        <v>Via Ouro/Nova Lima</v>
      </c>
      <c r="C274" s="90">
        <v>0</v>
      </c>
      <c r="D274" s="89"/>
      <c r="E274" s="90">
        <v>0</v>
      </c>
      <c r="F274" s="89"/>
      <c r="G274" s="90">
        <v>0</v>
      </c>
      <c r="H274" s="89"/>
      <c r="I274" s="90"/>
      <c r="J274" s="89"/>
      <c r="K274" s="90"/>
      <c r="L274" s="89"/>
      <c r="M274" s="90"/>
      <c r="N274" s="89"/>
      <c r="O274" s="90"/>
      <c r="P274" s="89"/>
      <c r="Q274" s="90"/>
      <c r="R274" s="89"/>
      <c r="S274" s="90"/>
      <c r="T274" s="89"/>
      <c r="U274" s="90"/>
      <c r="V274" s="89"/>
      <c r="W274" s="90"/>
      <c r="X274" s="89"/>
      <c r="Y274" s="90"/>
      <c r="Z274" s="89"/>
      <c r="AA274" s="96"/>
      <c r="AB274" s="96"/>
      <c r="AC274" s="96"/>
      <c r="AD274" s="96"/>
      <c r="AE274" s="96"/>
      <c r="AF274" s="96"/>
      <c r="AG274" s="96"/>
      <c r="AH274" s="96"/>
      <c r="AI274" s="144"/>
      <c r="AJ274" s="144"/>
      <c r="AK274" s="144"/>
      <c r="AL274" s="144"/>
      <c r="AM274" s="144"/>
      <c r="AN274" s="144"/>
      <c r="AO274" s="206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206"/>
      <c r="BC274" s="96"/>
    </row>
    <row r="275" spans="1:55" x14ac:dyDescent="0.3">
      <c r="B275" s="113" t="str">
        <f t="shared" si="261"/>
        <v>Alagoinhas</v>
      </c>
      <c r="C275" s="146">
        <v>0</v>
      </c>
      <c r="D275" s="145"/>
      <c r="E275" s="146">
        <v>0</v>
      </c>
      <c r="F275" s="145"/>
      <c r="G275" s="146">
        <v>0</v>
      </c>
      <c r="H275" s="145"/>
      <c r="I275" s="146"/>
      <c r="J275" s="145"/>
      <c r="K275" s="146"/>
      <c r="L275" s="145"/>
      <c r="M275" s="146"/>
      <c r="N275" s="145"/>
      <c r="O275" s="146"/>
      <c r="P275" s="145"/>
      <c r="Q275" s="146"/>
      <c r="R275" s="145"/>
      <c r="S275" s="146"/>
      <c r="T275" s="145"/>
      <c r="U275" s="146"/>
      <c r="V275" s="145"/>
      <c r="W275" s="146"/>
      <c r="X275" s="145"/>
      <c r="Y275" s="146"/>
      <c r="Z275" s="145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206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206"/>
      <c r="BC275" s="144"/>
    </row>
    <row r="276" spans="1:55" x14ac:dyDescent="0.3">
      <c r="B276" s="380" t="s">
        <v>599</v>
      </c>
      <c r="C276" s="143">
        <f>SUM(C268:C275)</f>
        <v>0</v>
      </c>
      <c r="D276" s="385"/>
      <c r="E276" s="143">
        <f>SUM(E268:E275)</f>
        <v>0</v>
      </c>
      <c r="F276" s="385"/>
      <c r="G276" s="143">
        <f>SUM(G268:G275)</f>
        <v>0</v>
      </c>
      <c r="H276" s="385"/>
      <c r="I276" s="143">
        <f>SUM(I268:I275)</f>
        <v>0</v>
      </c>
      <c r="J276" s="385"/>
      <c r="K276" s="143">
        <f>SUM(K268:K275)</f>
        <v>0</v>
      </c>
      <c r="L276" s="385"/>
      <c r="M276" s="143">
        <f>SUM(M268:M275)</f>
        <v>0</v>
      </c>
      <c r="N276" s="385"/>
      <c r="O276" s="143">
        <f>SUM(O268:O275)</f>
        <v>0</v>
      </c>
      <c r="P276" s="385"/>
      <c r="Q276" s="143">
        <f>SUM(Q268:Q275)</f>
        <v>0</v>
      </c>
      <c r="R276" s="385"/>
      <c r="S276" s="143">
        <f>SUM(S268:S275)</f>
        <v>0</v>
      </c>
      <c r="T276" s="385"/>
      <c r="U276" s="143">
        <f>SUM(U268:U275)</f>
        <v>0</v>
      </c>
      <c r="V276" s="385"/>
      <c r="W276" s="143">
        <f>SUM(W268:W275)</f>
        <v>0</v>
      </c>
      <c r="X276" s="385"/>
      <c r="Y276" s="143">
        <f>SUM(Y268:Y275)</f>
        <v>0</v>
      </c>
      <c r="Z276" s="385"/>
      <c r="AA276" s="387">
        <f t="shared" ref="AA276:AH276" si="264">SUM(AA268:AA273)</f>
        <v>0</v>
      </c>
      <c r="AB276" s="387">
        <f t="shared" si="264"/>
        <v>0</v>
      </c>
      <c r="AC276" s="387">
        <f t="shared" si="264"/>
        <v>0</v>
      </c>
      <c r="AD276" s="387">
        <f t="shared" si="264"/>
        <v>0</v>
      </c>
      <c r="AE276" s="387">
        <f t="shared" si="264"/>
        <v>0</v>
      </c>
      <c r="AF276" s="387">
        <f t="shared" si="264"/>
        <v>0</v>
      </c>
      <c r="AG276" s="387">
        <f t="shared" si="264"/>
        <v>0</v>
      </c>
      <c r="AH276" s="387">
        <f t="shared" si="264"/>
        <v>0</v>
      </c>
      <c r="AI276" s="387"/>
      <c r="AJ276" s="387" t="e">
        <f>SUM(AJ268:AJ273)</f>
        <v>#REF!</v>
      </c>
      <c r="AK276" s="387" t="e">
        <f>SUM(AK268:AK273)</f>
        <v>#REF!</v>
      </c>
      <c r="AL276" s="387" t="e">
        <f>SUM(AL268:AL273)</f>
        <v>#REF!</v>
      </c>
      <c r="AM276" s="387" t="e">
        <f>SUM(AM268:AM273)</f>
        <v>#REF!</v>
      </c>
      <c r="AN276" s="387" t="e">
        <f>SUM(AN268:AN273)</f>
        <v>#REF!</v>
      </c>
      <c r="AO276" s="386" t="e">
        <f>SUM(AB276:AN276)</f>
        <v>#REF!</v>
      </c>
      <c r="AP276" s="387" t="e">
        <f t="shared" ref="AP276:BA276" si="265">SUM(AP268:AP273)</f>
        <v>#REF!</v>
      </c>
      <c r="AQ276" s="387" t="e">
        <f t="shared" si="265"/>
        <v>#REF!</v>
      </c>
      <c r="AR276" s="387" t="e">
        <f t="shared" si="265"/>
        <v>#REF!</v>
      </c>
      <c r="AS276" s="387" t="e">
        <f t="shared" si="265"/>
        <v>#REF!</v>
      </c>
      <c r="AT276" s="387" t="e">
        <f t="shared" si="265"/>
        <v>#REF!</v>
      </c>
      <c r="AU276" s="387" t="e">
        <f t="shared" si="265"/>
        <v>#REF!</v>
      </c>
      <c r="AV276" s="387" t="e">
        <f t="shared" si="265"/>
        <v>#REF!</v>
      </c>
      <c r="AW276" s="387" t="e">
        <f t="shared" si="265"/>
        <v>#REF!</v>
      </c>
      <c r="AX276" s="387" t="e">
        <f t="shared" si="265"/>
        <v>#REF!</v>
      </c>
      <c r="AY276" s="387" t="e">
        <f t="shared" si="265"/>
        <v>#REF!</v>
      </c>
      <c r="AZ276" s="387" t="e">
        <f t="shared" si="265"/>
        <v>#REF!</v>
      </c>
      <c r="BA276" s="387" t="e">
        <f t="shared" si="265"/>
        <v>#REF!</v>
      </c>
      <c r="BB276" s="386" t="e">
        <f>SUM(AP276:BA276)</f>
        <v>#REF!</v>
      </c>
      <c r="BC276" s="387"/>
    </row>
    <row r="277" spans="1:55" x14ac:dyDescent="0.3">
      <c r="A277" s="108"/>
      <c r="B277" s="142" t="s">
        <v>600</v>
      </c>
      <c r="C277" s="141"/>
      <c r="D277" s="140"/>
      <c r="E277" s="141"/>
      <c r="F277" s="140"/>
      <c r="G277" s="141"/>
      <c r="H277" s="140"/>
      <c r="I277" s="141"/>
      <c r="J277" s="140"/>
      <c r="K277" s="141"/>
      <c r="L277" s="140"/>
      <c r="M277" s="141"/>
      <c r="N277" s="140"/>
      <c r="O277" s="141"/>
      <c r="P277" s="140"/>
      <c r="Q277" s="141"/>
      <c r="R277" s="140"/>
      <c r="S277" s="141"/>
      <c r="T277" s="140"/>
      <c r="U277" s="141"/>
      <c r="V277" s="140"/>
      <c r="W277" s="141"/>
      <c r="X277" s="140"/>
      <c r="Y277" s="141"/>
      <c r="Z277" s="140"/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  <c r="AN277" s="108"/>
      <c r="AO277" s="139"/>
      <c r="AP277" s="108"/>
      <c r="AQ277" s="108"/>
      <c r="AR277" s="108"/>
      <c r="AS277" s="108"/>
      <c r="AT277" s="108"/>
      <c r="AU277" s="108"/>
      <c r="AV277" s="108"/>
      <c r="AW277" s="108"/>
      <c r="AX277" s="108"/>
      <c r="AY277" s="108"/>
      <c r="AZ277" s="108"/>
      <c r="BA277" s="108"/>
      <c r="BB277" s="139"/>
      <c r="BC277" s="108"/>
    </row>
    <row r="278" spans="1:55" x14ac:dyDescent="0.3">
      <c r="A278" s="156">
        <v>0.25345000000000001</v>
      </c>
      <c r="B278" s="138" t="s">
        <v>601</v>
      </c>
      <c r="C278" s="116">
        <f>C276*$A$278</f>
        <v>0</v>
      </c>
      <c r="D278" s="115"/>
      <c r="E278" s="116">
        <f>E276*$A$278</f>
        <v>0</v>
      </c>
      <c r="F278" s="115"/>
      <c r="G278" s="116">
        <f>G276*$A$278</f>
        <v>0</v>
      </c>
      <c r="H278" s="115"/>
      <c r="I278" s="116">
        <f>I276*$A$278</f>
        <v>0</v>
      </c>
      <c r="J278" s="115"/>
      <c r="K278" s="116">
        <f>K276*$A$278</f>
        <v>0</v>
      </c>
      <c r="L278" s="115"/>
      <c r="M278" s="116">
        <f>M276*$A$278</f>
        <v>0</v>
      </c>
      <c r="N278" s="115"/>
      <c r="O278" s="116">
        <f>O276*$A$278</f>
        <v>0</v>
      </c>
      <c r="P278" s="115"/>
      <c r="Q278" s="116">
        <f>Q276*$A$278</f>
        <v>0</v>
      </c>
      <c r="R278" s="115"/>
      <c r="S278" s="116">
        <f>S276*$A$278</f>
        <v>0</v>
      </c>
      <c r="T278" s="115"/>
      <c r="U278" s="116">
        <f>U276*$A$278</f>
        <v>0</v>
      </c>
      <c r="V278" s="115"/>
      <c r="W278" s="116">
        <f>W276*$A$278</f>
        <v>0</v>
      </c>
      <c r="X278" s="115"/>
      <c r="Y278" s="116">
        <f>Y276*$A$278</f>
        <v>0</v>
      </c>
      <c r="Z278" s="115"/>
      <c r="AA278" s="93">
        <f t="shared" ref="AA278:AH278" si="266">AA276*$A$278</f>
        <v>0</v>
      </c>
      <c r="AB278" s="93">
        <f t="shared" si="266"/>
        <v>0</v>
      </c>
      <c r="AC278" s="93">
        <f t="shared" si="266"/>
        <v>0</v>
      </c>
      <c r="AD278" s="93">
        <f t="shared" si="266"/>
        <v>0</v>
      </c>
      <c r="AE278" s="93">
        <f t="shared" si="266"/>
        <v>0</v>
      </c>
      <c r="AF278" s="93">
        <f t="shared" si="266"/>
        <v>0</v>
      </c>
      <c r="AG278" s="93">
        <f t="shared" si="266"/>
        <v>0</v>
      </c>
      <c r="AH278" s="93">
        <f t="shared" si="266"/>
        <v>0</v>
      </c>
      <c r="AI278" s="93"/>
      <c r="AJ278" s="93" t="e">
        <f>AJ276*$A$278</f>
        <v>#REF!</v>
      </c>
      <c r="AK278" s="93" t="e">
        <f>AK276*$A$278</f>
        <v>#REF!</v>
      </c>
      <c r="AL278" s="93" t="e">
        <f>AL276*$A$278</f>
        <v>#REF!</v>
      </c>
      <c r="AM278" s="93" t="e">
        <f>AM276*$A$278</f>
        <v>#REF!</v>
      </c>
      <c r="AN278" s="93" t="e">
        <f>AN276*$A$278</f>
        <v>#REF!</v>
      </c>
      <c r="AO278" s="114" t="e">
        <f t="shared" ref="AO278:AO284" si="267">SUM(AB278:AN278)</f>
        <v>#REF!</v>
      </c>
      <c r="AP278" s="93" t="e">
        <f t="shared" ref="AP278:BA278" si="268">AP276*$A$278</f>
        <v>#REF!</v>
      </c>
      <c r="AQ278" s="93" t="e">
        <f t="shared" si="268"/>
        <v>#REF!</v>
      </c>
      <c r="AR278" s="93" t="e">
        <f t="shared" si="268"/>
        <v>#REF!</v>
      </c>
      <c r="AS278" s="93" t="e">
        <f t="shared" si="268"/>
        <v>#REF!</v>
      </c>
      <c r="AT278" s="93" t="e">
        <f t="shared" si="268"/>
        <v>#REF!</v>
      </c>
      <c r="AU278" s="93" t="e">
        <f t="shared" si="268"/>
        <v>#REF!</v>
      </c>
      <c r="AV278" s="93" t="e">
        <f t="shared" si="268"/>
        <v>#REF!</v>
      </c>
      <c r="AW278" s="93" t="e">
        <f t="shared" si="268"/>
        <v>#REF!</v>
      </c>
      <c r="AX278" s="93" t="e">
        <f t="shared" si="268"/>
        <v>#REF!</v>
      </c>
      <c r="AY278" s="93" t="e">
        <f t="shared" si="268"/>
        <v>#REF!</v>
      </c>
      <c r="AZ278" s="93" t="e">
        <f t="shared" si="268"/>
        <v>#REF!</v>
      </c>
      <c r="BA278" s="93" t="e">
        <f t="shared" si="268"/>
        <v>#REF!</v>
      </c>
      <c r="BB278" s="114" t="e">
        <f t="shared" ref="BB278:BB284" si="269">SUM(AP278:BA278)</f>
        <v>#REF!</v>
      </c>
      <c r="BC278" s="93"/>
    </row>
    <row r="279" spans="1:55" x14ac:dyDescent="0.3">
      <c r="A279" s="156">
        <v>0</v>
      </c>
      <c r="B279" s="138" t="s">
        <v>602</v>
      </c>
      <c r="C279" s="116">
        <f>C276*$A$279</f>
        <v>0</v>
      </c>
      <c r="D279" s="115"/>
      <c r="E279" s="116">
        <f>E276*$A$279</f>
        <v>0</v>
      </c>
      <c r="F279" s="115"/>
      <c r="G279" s="116">
        <f>G276*$A$279</f>
        <v>0</v>
      </c>
      <c r="H279" s="115"/>
      <c r="I279" s="116">
        <f>I276*$A$279</f>
        <v>0</v>
      </c>
      <c r="J279" s="115"/>
      <c r="K279" s="116">
        <f>K276*$A$279</f>
        <v>0</v>
      </c>
      <c r="L279" s="115"/>
      <c r="M279" s="116">
        <f>M276*$A$279</f>
        <v>0</v>
      </c>
      <c r="N279" s="115"/>
      <c r="O279" s="116">
        <f>O276*$A$279</f>
        <v>0</v>
      </c>
      <c r="P279" s="115"/>
      <c r="Q279" s="116">
        <f>Q276*$A$279</f>
        <v>0</v>
      </c>
      <c r="R279" s="115"/>
      <c r="S279" s="116">
        <f>S276*$A$279</f>
        <v>0</v>
      </c>
      <c r="T279" s="115"/>
      <c r="U279" s="116">
        <f>U276*$A$279</f>
        <v>0</v>
      </c>
      <c r="V279" s="115"/>
      <c r="W279" s="116">
        <f>W276*$A$279</f>
        <v>0</v>
      </c>
      <c r="X279" s="115"/>
      <c r="Y279" s="116">
        <f>Y276*$A$279</f>
        <v>0</v>
      </c>
      <c r="Z279" s="115"/>
      <c r="AA279" s="93">
        <f t="shared" ref="AA279:AH279" si="270">AA276*$A$279</f>
        <v>0</v>
      </c>
      <c r="AB279" s="93">
        <f t="shared" si="270"/>
        <v>0</v>
      </c>
      <c r="AC279" s="93">
        <f t="shared" si="270"/>
        <v>0</v>
      </c>
      <c r="AD279" s="93">
        <f t="shared" si="270"/>
        <v>0</v>
      </c>
      <c r="AE279" s="93">
        <f t="shared" si="270"/>
        <v>0</v>
      </c>
      <c r="AF279" s="93">
        <f t="shared" si="270"/>
        <v>0</v>
      </c>
      <c r="AG279" s="93">
        <f t="shared" si="270"/>
        <v>0</v>
      </c>
      <c r="AH279" s="93">
        <f t="shared" si="270"/>
        <v>0</v>
      </c>
      <c r="AI279" s="93"/>
      <c r="AJ279" s="93" t="e">
        <f>AJ276*$A$279</f>
        <v>#REF!</v>
      </c>
      <c r="AK279" s="93" t="e">
        <f>AK276*$A$279</f>
        <v>#REF!</v>
      </c>
      <c r="AL279" s="93" t="e">
        <f>AL276*$A$279</f>
        <v>#REF!</v>
      </c>
      <c r="AM279" s="93" t="e">
        <f>AM276*$A$279</f>
        <v>#REF!</v>
      </c>
      <c r="AN279" s="93" t="e">
        <f>AN276*$A$279</f>
        <v>#REF!</v>
      </c>
      <c r="AO279" s="114" t="e">
        <f t="shared" si="267"/>
        <v>#REF!</v>
      </c>
      <c r="AP279" s="93" t="e">
        <f t="shared" ref="AP279:BA279" si="271">AP276*$A$279</f>
        <v>#REF!</v>
      </c>
      <c r="AQ279" s="93" t="e">
        <f t="shared" si="271"/>
        <v>#REF!</v>
      </c>
      <c r="AR279" s="93" t="e">
        <f t="shared" si="271"/>
        <v>#REF!</v>
      </c>
      <c r="AS279" s="93" t="e">
        <f t="shared" si="271"/>
        <v>#REF!</v>
      </c>
      <c r="AT279" s="93" t="e">
        <f t="shared" si="271"/>
        <v>#REF!</v>
      </c>
      <c r="AU279" s="93" t="e">
        <f t="shared" si="271"/>
        <v>#REF!</v>
      </c>
      <c r="AV279" s="93" t="e">
        <f t="shared" si="271"/>
        <v>#REF!</v>
      </c>
      <c r="AW279" s="93" t="e">
        <f t="shared" si="271"/>
        <v>#REF!</v>
      </c>
      <c r="AX279" s="93" t="e">
        <f t="shared" si="271"/>
        <v>#REF!</v>
      </c>
      <c r="AY279" s="93" t="e">
        <f t="shared" si="271"/>
        <v>#REF!</v>
      </c>
      <c r="AZ279" s="93" t="e">
        <f t="shared" si="271"/>
        <v>#REF!</v>
      </c>
      <c r="BA279" s="93" t="e">
        <f t="shared" si="271"/>
        <v>#REF!</v>
      </c>
      <c r="BB279" s="114" t="e">
        <f t="shared" si="269"/>
        <v>#REF!</v>
      </c>
      <c r="BC279" s="93"/>
    </row>
    <row r="280" spans="1:55" x14ac:dyDescent="0.3">
      <c r="A280" s="156">
        <f>71.058%+0.015%</f>
        <v>0.71073000000000008</v>
      </c>
      <c r="B280" s="138" t="s">
        <v>603</v>
      </c>
      <c r="C280" s="116">
        <f>C276*$A$280</f>
        <v>0</v>
      </c>
      <c r="D280" s="115"/>
      <c r="E280" s="116">
        <f>E276*$A$280</f>
        <v>0</v>
      </c>
      <c r="F280" s="115"/>
      <c r="G280" s="116">
        <f>G276*$A$280</f>
        <v>0</v>
      </c>
      <c r="H280" s="115"/>
      <c r="I280" s="116">
        <f>I276*$A$280</f>
        <v>0</v>
      </c>
      <c r="J280" s="115"/>
      <c r="K280" s="116">
        <f>K276*$A$280</f>
        <v>0</v>
      </c>
      <c r="L280" s="115"/>
      <c r="M280" s="116">
        <f>M276*$A$280</f>
        <v>0</v>
      </c>
      <c r="N280" s="115"/>
      <c r="O280" s="116">
        <f>O276*$A$280</f>
        <v>0</v>
      </c>
      <c r="P280" s="115"/>
      <c r="Q280" s="116">
        <f>Q276*$A$280</f>
        <v>0</v>
      </c>
      <c r="R280" s="115"/>
      <c r="S280" s="116">
        <f>S276*$A$280</f>
        <v>0</v>
      </c>
      <c r="T280" s="115"/>
      <c r="U280" s="116">
        <f>U276*$A$280</f>
        <v>0</v>
      </c>
      <c r="V280" s="115"/>
      <c r="W280" s="116">
        <f>W276*$A$280</f>
        <v>0</v>
      </c>
      <c r="X280" s="115"/>
      <c r="Y280" s="116">
        <f>Y276*$A$280</f>
        <v>0</v>
      </c>
      <c r="Z280" s="115"/>
      <c r="AA280" s="93">
        <f t="shared" ref="AA280:AH280" si="272">AA276*$A$280</f>
        <v>0</v>
      </c>
      <c r="AB280" s="93">
        <f t="shared" si="272"/>
        <v>0</v>
      </c>
      <c r="AC280" s="93">
        <f t="shared" si="272"/>
        <v>0</v>
      </c>
      <c r="AD280" s="93">
        <f t="shared" si="272"/>
        <v>0</v>
      </c>
      <c r="AE280" s="93">
        <f t="shared" si="272"/>
        <v>0</v>
      </c>
      <c r="AF280" s="93">
        <f t="shared" si="272"/>
        <v>0</v>
      </c>
      <c r="AG280" s="93">
        <f t="shared" si="272"/>
        <v>0</v>
      </c>
      <c r="AH280" s="93">
        <f t="shared" si="272"/>
        <v>0</v>
      </c>
      <c r="AI280" s="93"/>
      <c r="AJ280" s="93" t="e">
        <f>AJ276*$A$280</f>
        <v>#REF!</v>
      </c>
      <c r="AK280" s="93" t="e">
        <f>AK276*$A$280</f>
        <v>#REF!</v>
      </c>
      <c r="AL280" s="93" t="e">
        <f>AL276*$A$280</f>
        <v>#REF!</v>
      </c>
      <c r="AM280" s="93" t="e">
        <f>AM276*$A$280</f>
        <v>#REF!</v>
      </c>
      <c r="AN280" s="93" t="e">
        <f>AN276*$A$280</f>
        <v>#REF!</v>
      </c>
      <c r="AO280" s="114" t="e">
        <f t="shared" si="267"/>
        <v>#REF!</v>
      </c>
      <c r="AP280" s="93" t="e">
        <f t="shared" ref="AP280:BA280" si="273">AP276*$A$280</f>
        <v>#REF!</v>
      </c>
      <c r="AQ280" s="93" t="e">
        <f t="shared" si="273"/>
        <v>#REF!</v>
      </c>
      <c r="AR280" s="93" t="e">
        <f t="shared" si="273"/>
        <v>#REF!</v>
      </c>
      <c r="AS280" s="93" t="e">
        <f t="shared" si="273"/>
        <v>#REF!</v>
      </c>
      <c r="AT280" s="93" t="e">
        <f t="shared" si="273"/>
        <v>#REF!</v>
      </c>
      <c r="AU280" s="93" t="e">
        <f t="shared" si="273"/>
        <v>#REF!</v>
      </c>
      <c r="AV280" s="93" t="e">
        <f t="shared" si="273"/>
        <v>#REF!</v>
      </c>
      <c r="AW280" s="93" t="e">
        <f t="shared" si="273"/>
        <v>#REF!</v>
      </c>
      <c r="AX280" s="93" t="e">
        <f t="shared" si="273"/>
        <v>#REF!</v>
      </c>
      <c r="AY280" s="93" t="e">
        <f t="shared" si="273"/>
        <v>#REF!</v>
      </c>
      <c r="AZ280" s="93" t="e">
        <f t="shared" si="273"/>
        <v>#REF!</v>
      </c>
      <c r="BA280" s="93" t="e">
        <f t="shared" si="273"/>
        <v>#REF!</v>
      </c>
      <c r="BB280" s="114" t="e">
        <f t="shared" si="269"/>
        <v>#REF!</v>
      </c>
      <c r="BC280" s="93"/>
    </row>
    <row r="281" spans="1:55" x14ac:dyDescent="0.3">
      <c r="A281" s="156">
        <v>0</v>
      </c>
      <c r="B281" s="138" t="s">
        <v>604</v>
      </c>
      <c r="C281" s="116">
        <f>C276*$A$281</f>
        <v>0</v>
      </c>
      <c r="D281" s="115"/>
      <c r="E281" s="116">
        <f>E276*$A$281</f>
        <v>0</v>
      </c>
      <c r="F281" s="115"/>
      <c r="G281" s="116">
        <f>G276*$A$281</f>
        <v>0</v>
      </c>
      <c r="H281" s="115"/>
      <c r="I281" s="116">
        <f>I276*$A$281</f>
        <v>0</v>
      </c>
      <c r="J281" s="115"/>
      <c r="K281" s="116">
        <f>K276*$A$281</f>
        <v>0</v>
      </c>
      <c r="L281" s="115"/>
      <c r="M281" s="116">
        <f>M276*$A$281</f>
        <v>0</v>
      </c>
      <c r="N281" s="115"/>
      <c r="O281" s="116">
        <f>O276*$A$281</f>
        <v>0</v>
      </c>
      <c r="P281" s="115"/>
      <c r="Q281" s="116">
        <f>Q276*$A$281</f>
        <v>0</v>
      </c>
      <c r="R281" s="115"/>
      <c r="S281" s="116">
        <f>S276*$A$281</f>
        <v>0</v>
      </c>
      <c r="T281" s="115"/>
      <c r="U281" s="116">
        <f>U276*$A$281</f>
        <v>0</v>
      </c>
      <c r="V281" s="115"/>
      <c r="W281" s="116">
        <f>W276*$A$281</f>
        <v>0</v>
      </c>
      <c r="X281" s="115"/>
      <c r="Y281" s="116">
        <f>Y276*$A$281</f>
        <v>0</v>
      </c>
      <c r="Z281" s="115"/>
      <c r="AA281" s="93">
        <f t="shared" ref="AA281:AH281" si="274">AA276*$A$281</f>
        <v>0</v>
      </c>
      <c r="AB281" s="93">
        <f t="shared" si="274"/>
        <v>0</v>
      </c>
      <c r="AC281" s="93">
        <f t="shared" si="274"/>
        <v>0</v>
      </c>
      <c r="AD281" s="93">
        <f t="shared" si="274"/>
        <v>0</v>
      </c>
      <c r="AE281" s="93">
        <f t="shared" si="274"/>
        <v>0</v>
      </c>
      <c r="AF281" s="93">
        <f t="shared" si="274"/>
        <v>0</v>
      </c>
      <c r="AG281" s="93">
        <f t="shared" si="274"/>
        <v>0</v>
      </c>
      <c r="AH281" s="93">
        <f t="shared" si="274"/>
        <v>0</v>
      </c>
      <c r="AI281" s="93"/>
      <c r="AJ281" s="93" t="e">
        <f>AJ276*$A$281</f>
        <v>#REF!</v>
      </c>
      <c r="AK281" s="93" t="e">
        <f>AK276*$A$281</f>
        <v>#REF!</v>
      </c>
      <c r="AL281" s="93" t="e">
        <f>AL276*$A$281</f>
        <v>#REF!</v>
      </c>
      <c r="AM281" s="93" t="e">
        <f>AM276*$A$281</f>
        <v>#REF!</v>
      </c>
      <c r="AN281" s="93" t="e">
        <f>AN276*$A$281</f>
        <v>#REF!</v>
      </c>
      <c r="AO281" s="114" t="e">
        <f t="shared" si="267"/>
        <v>#REF!</v>
      </c>
      <c r="AP281" s="93" t="e">
        <f t="shared" ref="AP281:BA281" si="275">AP276*$A$281</f>
        <v>#REF!</v>
      </c>
      <c r="AQ281" s="93" t="e">
        <f t="shared" si="275"/>
        <v>#REF!</v>
      </c>
      <c r="AR281" s="93" t="e">
        <f t="shared" si="275"/>
        <v>#REF!</v>
      </c>
      <c r="AS281" s="93" t="e">
        <f t="shared" si="275"/>
        <v>#REF!</v>
      </c>
      <c r="AT281" s="93" t="e">
        <f t="shared" si="275"/>
        <v>#REF!</v>
      </c>
      <c r="AU281" s="93" t="e">
        <f t="shared" si="275"/>
        <v>#REF!</v>
      </c>
      <c r="AV281" s="93" t="e">
        <f t="shared" si="275"/>
        <v>#REF!</v>
      </c>
      <c r="AW281" s="93" t="e">
        <f t="shared" si="275"/>
        <v>#REF!</v>
      </c>
      <c r="AX281" s="93" t="e">
        <f t="shared" si="275"/>
        <v>#REF!</v>
      </c>
      <c r="AY281" s="93" t="e">
        <f t="shared" si="275"/>
        <v>#REF!</v>
      </c>
      <c r="AZ281" s="93" t="e">
        <f t="shared" si="275"/>
        <v>#REF!</v>
      </c>
      <c r="BA281" s="93" t="e">
        <f t="shared" si="275"/>
        <v>#REF!</v>
      </c>
      <c r="BB281" s="114" t="e">
        <f t="shared" si="269"/>
        <v>#REF!</v>
      </c>
      <c r="BC281" s="93"/>
    </row>
    <row r="282" spans="1:55" x14ac:dyDescent="0.3">
      <c r="A282" s="156">
        <v>1.438E-2</v>
      </c>
      <c r="B282" s="138" t="s">
        <v>605</v>
      </c>
      <c r="C282" s="116">
        <f>C276*$A$282</f>
        <v>0</v>
      </c>
      <c r="D282" s="115"/>
      <c r="E282" s="116">
        <f>E276*$A$282</f>
        <v>0</v>
      </c>
      <c r="F282" s="115"/>
      <c r="G282" s="116">
        <f>G276*$A$282</f>
        <v>0</v>
      </c>
      <c r="H282" s="115"/>
      <c r="I282" s="116">
        <f>I276*$A$282</f>
        <v>0</v>
      </c>
      <c r="J282" s="115"/>
      <c r="K282" s="116">
        <f>K276*$A$282</f>
        <v>0</v>
      </c>
      <c r="L282" s="115"/>
      <c r="M282" s="116">
        <f>M276*$A$282</f>
        <v>0</v>
      </c>
      <c r="N282" s="115"/>
      <c r="O282" s="116">
        <f>O276*$A$282</f>
        <v>0</v>
      </c>
      <c r="P282" s="115"/>
      <c r="Q282" s="116">
        <f>Q276*$A$282</f>
        <v>0</v>
      </c>
      <c r="R282" s="115"/>
      <c r="S282" s="116">
        <f>S276*$A$282</f>
        <v>0</v>
      </c>
      <c r="T282" s="115"/>
      <c r="U282" s="116">
        <f>U276*$A$282</f>
        <v>0</v>
      </c>
      <c r="V282" s="115"/>
      <c r="W282" s="116">
        <f>W276*$A$282</f>
        <v>0</v>
      </c>
      <c r="X282" s="115"/>
      <c r="Y282" s="116">
        <f>Y276*$A$282</f>
        <v>0</v>
      </c>
      <c r="Z282" s="115"/>
      <c r="AA282" s="93">
        <f t="shared" ref="AA282:AH282" si="276">AA276*$A$282</f>
        <v>0</v>
      </c>
      <c r="AB282" s="93">
        <f t="shared" si="276"/>
        <v>0</v>
      </c>
      <c r="AC282" s="93">
        <f t="shared" si="276"/>
        <v>0</v>
      </c>
      <c r="AD282" s="93">
        <f t="shared" si="276"/>
        <v>0</v>
      </c>
      <c r="AE282" s="93">
        <f t="shared" si="276"/>
        <v>0</v>
      </c>
      <c r="AF282" s="93">
        <f t="shared" si="276"/>
        <v>0</v>
      </c>
      <c r="AG282" s="93">
        <f t="shared" si="276"/>
        <v>0</v>
      </c>
      <c r="AH282" s="93">
        <f t="shared" si="276"/>
        <v>0</v>
      </c>
      <c r="AI282" s="93"/>
      <c r="AJ282" s="93" t="e">
        <f>AJ276*$A$282</f>
        <v>#REF!</v>
      </c>
      <c r="AK282" s="93" t="e">
        <f>AK276*$A$282</f>
        <v>#REF!</v>
      </c>
      <c r="AL282" s="93" t="e">
        <f>AL276*$A$282</f>
        <v>#REF!</v>
      </c>
      <c r="AM282" s="93" t="e">
        <f>AM276*$A$282</f>
        <v>#REF!</v>
      </c>
      <c r="AN282" s="93" t="e">
        <f>AN276*$A$282</f>
        <v>#REF!</v>
      </c>
      <c r="AO282" s="114" t="e">
        <f t="shared" si="267"/>
        <v>#REF!</v>
      </c>
      <c r="AP282" s="93" t="e">
        <f t="shared" ref="AP282:BA282" si="277">AP276*$A$282</f>
        <v>#REF!</v>
      </c>
      <c r="AQ282" s="93" t="e">
        <f t="shared" si="277"/>
        <v>#REF!</v>
      </c>
      <c r="AR282" s="93" t="e">
        <f t="shared" si="277"/>
        <v>#REF!</v>
      </c>
      <c r="AS282" s="93" t="e">
        <f t="shared" si="277"/>
        <v>#REF!</v>
      </c>
      <c r="AT282" s="93" t="e">
        <f t="shared" si="277"/>
        <v>#REF!</v>
      </c>
      <c r="AU282" s="93" t="e">
        <f t="shared" si="277"/>
        <v>#REF!</v>
      </c>
      <c r="AV282" s="93" t="e">
        <f t="shared" si="277"/>
        <v>#REF!</v>
      </c>
      <c r="AW282" s="93" t="e">
        <f t="shared" si="277"/>
        <v>#REF!</v>
      </c>
      <c r="AX282" s="93" t="e">
        <f t="shared" si="277"/>
        <v>#REF!</v>
      </c>
      <c r="AY282" s="93" t="e">
        <f t="shared" si="277"/>
        <v>#REF!</v>
      </c>
      <c r="AZ282" s="93" t="e">
        <f t="shared" si="277"/>
        <v>#REF!</v>
      </c>
      <c r="BA282" s="93" t="e">
        <f t="shared" si="277"/>
        <v>#REF!</v>
      </c>
      <c r="BB282" s="114" t="e">
        <f t="shared" si="269"/>
        <v>#REF!</v>
      </c>
      <c r="BC282" s="93"/>
    </row>
    <row r="283" spans="1:55" x14ac:dyDescent="0.3">
      <c r="A283" s="156">
        <v>6.3000000000000003E-4</v>
      </c>
      <c r="B283" s="138" t="s">
        <v>606</v>
      </c>
      <c r="C283" s="116">
        <f>C276*$A$283</f>
        <v>0</v>
      </c>
      <c r="D283" s="115"/>
      <c r="E283" s="116">
        <f>E276*$A$283</f>
        <v>0</v>
      </c>
      <c r="F283" s="115"/>
      <c r="G283" s="116">
        <f>G276*$A$283</f>
        <v>0</v>
      </c>
      <c r="H283" s="115"/>
      <c r="I283" s="116">
        <f>I276*$A$283</f>
        <v>0</v>
      </c>
      <c r="J283" s="115"/>
      <c r="K283" s="116">
        <f>K276*$A$283</f>
        <v>0</v>
      </c>
      <c r="L283" s="115"/>
      <c r="M283" s="116">
        <f>M276*$A$283</f>
        <v>0</v>
      </c>
      <c r="N283" s="115"/>
      <c r="O283" s="116">
        <f>O276*$A$283</f>
        <v>0</v>
      </c>
      <c r="P283" s="115"/>
      <c r="Q283" s="116">
        <f>Q276*$A$283</f>
        <v>0</v>
      </c>
      <c r="R283" s="115"/>
      <c r="S283" s="116">
        <f>S276*$A$283</f>
        <v>0</v>
      </c>
      <c r="T283" s="115"/>
      <c r="U283" s="116">
        <f>U276*$A$283</f>
        <v>0</v>
      </c>
      <c r="V283" s="115"/>
      <c r="W283" s="116">
        <f>W276*$A$283</f>
        <v>0</v>
      </c>
      <c r="X283" s="115"/>
      <c r="Y283" s="116">
        <f>Y276*$A$283</f>
        <v>0</v>
      </c>
      <c r="Z283" s="115"/>
      <c r="AA283" s="93">
        <f t="shared" ref="AA283:AH283" si="278">AA276*$A$283</f>
        <v>0</v>
      </c>
      <c r="AB283" s="93">
        <f t="shared" si="278"/>
        <v>0</v>
      </c>
      <c r="AC283" s="93">
        <f t="shared" si="278"/>
        <v>0</v>
      </c>
      <c r="AD283" s="93">
        <f t="shared" si="278"/>
        <v>0</v>
      </c>
      <c r="AE283" s="93">
        <f t="shared" si="278"/>
        <v>0</v>
      </c>
      <c r="AF283" s="93">
        <f t="shared" si="278"/>
        <v>0</v>
      </c>
      <c r="AG283" s="93">
        <f t="shared" si="278"/>
        <v>0</v>
      </c>
      <c r="AH283" s="93">
        <f t="shared" si="278"/>
        <v>0</v>
      </c>
      <c r="AI283" s="93"/>
      <c r="AJ283" s="93" t="e">
        <f>AJ276*$A$283</f>
        <v>#REF!</v>
      </c>
      <c r="AK283" s="93" t="e">
        <f>AK276*$A$283</f>
        <v>#REF!</v>
      </c>
      <c r="AL283" s="93" t="e">
        <f>AL276*$A$283</f>
        <v>#REF!</v>
      </c>
      <c r="AM283" s="93" t="e">
        <f>AM276*$A$283</f>
        <v>#REF!</v>
      </c>
      <c r="AN283" s="93" t="e">
        <f>AN276*$A$283</f>
        <v>#REF!</v>
      </c>
      <c r="AO283" s="114" t="e">
        <f t="shared" si="267"/>
        <v>#REF!</v>
      </c>
      <c r="AP283" s="93" t="e">
        <f t="shared" ref="AP283:BA283" si="279">AP276*$A$283</f>
        <v>#REF!</v>
      </c>
      <c r="AQ283" s="93" t="e">
        <f t="shared" si="279"/>
        <v>#REF!</v>
      </c>
      <c r="AR283" s="93" t="e">
        <f t="shared" si="279"/>
        <v>#REF!</v>
      </c>
      <c r="AS283" s="93" t="e">
        <f t="shared" si="279"/>
        <v>#REF!</v>
      </c>
      <c r="AT283" s="93" t="e">
        <f t="shared" si="279"/>
        <v>#REF!</v>
      </c>
      <c r="AU283" s="93" t="e">
        <f t="shared" si="279"/>
        <v>#REF!</v>
      </c>
      <c r="AV283" s="93" t="e">
        <f t="shared" si="279"/>
        <v>#REF!</v>
      </c>
      <c r="AW283" s="93" t="e">
        <f t="shared" si="279"/>
        <v>#REF!</v>
      </c>
      <c r="AX283" s="93" t="e">
        <f t="shared" si="279"/>
        <v>#REF!</v>
      </c>
      <c r="AY283" s="93" t="e">
        <f t="shared" si="279"/>
        <v>#REF!</v>
      </c>
      <c r="AZ283" s="93" t="e">
        <f t="shared" si="279"/>
        <v>#REF!</v>
      </c>
      <c r="BA283" s="93" t="e">
        <f t="shared" si="279"/>
        <v>#REF!</v>
      </c>
      <c r="BB283" s="114" t="e">
        <f t="shared" si="269"/>
        <v>#REF!</v>
      </c>
      <c r="BC283" s="93"/>
    </row>
    <row r="284" spans="1:55" x14ac:dyDescent="0.3">
      <c r="A284" s="156">
        <v>2.0809999999999999E-2</v>
      </c>
      <c r="B284" s="138" t="s">
        <v>607</v>
      </c>
      <c r="C284" s="116">
        <f>C276*$A$284</f>
        <v>0</v>
      </c>
      <c r="D284" s="115"/>
      <c r="E284" s="116">
        <f>E276*$A$284</f>
        <v>0</v>
      </c>
      <c r="F284" s="115"/>
      <c r="G284" s="116">
        <f>G276*$A$284</f>
        <v>0</v>
      </c>
      <c r="H284" s="115"/>
      <c r="I284" s="116">
        <f>I276*$A$284</f>
        <v>0</v>
      </c>
      <c r="J284" s="115"/>
      <c r="K284" s="116">
        <f>K276*$A$284</f>
        <v>0</v>
      </c>
      <c r="L284" s="115"/>
      <c r="M284" s="116">
        <f>M276*$A$284</f>
        <v>0</v>
      </c>
      <c r="N284" s="115"/>
      <c r="O284" s="116">
        <f>O276*$A$284</f>
        <v>0</v>
      </c>
      <c r="P284" s="115"/>
      <c r="Q284" s="116">
        <f>Q276*$A$284</f>
        <v>0</v>
      </c>
      <c r="R284" s="115"/>
      <c r="S284" s="116">
        <f>S276*$A$284</f>
        <v>0</v>
      </c>
      <c r="T284" s="115"/>
      <c r="U284" s="116">
        <f>U276*$A$284</f>
        <v>0</v>
      </c>
      <c r="V284" s="115"/>
      <c r="W284" s="116">
        <f>W276*$A$284</f>
        <v>0</v>
      </c>
      <c r="X284" s="115"/>
      <c r="Y284" s="116">
        <f>Y276*$A$284</f>
        <v>0</v>
      </c>
      <c r="Z284" s="115"/>
      <c r="AA284" s="93">
        <f t="shared" ref="AA284:AH284" si="280">AA276*$A$284</f>
        <v>0</v>
      </c>
      <c r="AB284" s="93">
        <f t="shared" si="280"/>
        <v>0</v>
      </c>
      <c r="AC284" s="93">
        <f t="shared" si="280"/>
        <v>0</v>
      </c>
      <c r="AD284" s="93">
        <f t="shared" si="280"/>
        <v>0</v>
      </c>
      <c r="AE284" s="93">
        <f t="shared" si="280"/>
        <v>0</v>
      </c>
      <c r="AF284" s="93">
        <f t="shared" si="280"/>
        <v>0</v>
      </c>
      <c r="AG284" s="93">
        <f t="shared" si="280"/>
        <v>0</v>
      </c>
      <c r="AH284" s="93">
        <f t="shared" si="280"/>
        <v>0</v>
      </c>
      <c r="AI284" s="93"/>
      <c r="AJ284" s="93" t="e">
        <f>AJ276*$A$284</f>
        <v>#REF!</v>
      </c>
      <c r="AK284" s="93" t="e">
        <f>AK276*$A$284</f>
        <v>#REF!</v>
      </c>
      <c r="AL284" s="93" t="e">
        <f>AL276*$A$284</f>
        <v>#REF!</v>
      </c>
      <c r="AM284" s="93" t="e">
        <f>AM276*$A$284</f>
        <v>#REF!</v>
      </c>
      <c r="AN284" s="93" t="e">
        <f>AN276*$A$284</f>
        <v>#REF!</v>
      </c>
      <c r="AO284" s="114" t="e">
        <f t="shared" si="267"/>
        <v>#REF!</v>
      </c>
      <c r="AP284" s="93" t="e">
        <f t="shared" ref="AP284:BA284" si="281">AP276*$A$284</f>
        <v>#REF!</v>
      </c>
      <c r="AQ284" s="93" t="e">
        <f t="shared" si="281"/>
        <v>#REF!</v>
      </c>
      <c r="AR284" s="93" t="e">
        <f t="shared" si="281"/>
        <v>#REF!</v>
      </c>
      <c r="AS284" s="93" t="e">
        <f t="shared" si="281"/>
        <v>#REF!</v>
      </c>
      <c r="AT284" s="93" t="e">
        <f t="shared" si="281"/>
        <v>#REF!</v>
      </c>
      <c r="AU284" s="93" t="e">
        <f t="shared" si="281"/>
        <v>#REF!</v>
      </c>
      <c r="AV284" s="93" t="e">
        <f t="shared" si="281"/>
        <v>#REF!</v>
      </c>
      <c r="AW284" s="93" t="e">
        <f t="shared" si="281"/>
        <v>#REF!</v>
      </c>
      <c r="AX284" s="93" t="e">
        <f t="shared" si="281"/>
        <v>#REF!</v>
      </c>
      <c r="AY284" s="93" t="e">
        <f t="shared" si="281"/>
        <v>#REF!</v>
      </c>
      <c r="AZ284" s="93" t="e">
        <f t="shared" si="281"/>
        <v>#REF!</v>
      </c>
      <c r="BA284" s="93" t="e">
        <f t="shared" si="281"/>
        <v>#REF!</v>
      </c>
      <c r="BB284" s="114" t="e">
        <f t="shared" si="269"/>
        <v>#REF!</v>
      </c>
      <c r="BC284" s="93"/>
    </row>
    <row r="285" spans="1:55" x14ac:dyDescent="0.3">
      <c r="A285" s="108"/>
      <c r="B285" s="137" t="s">
        <v>608</v>
      </c>
      <c r="C285" s="136"/>
      <c r="D285" s="135"/>
      <c r="E285" s="136"/>
      <c r="F285" s="135"/>
      <c r="G285" s="136"/>
      <c r="H285" s="135"/>
      <c r="I285" s="136"/>
      <c r="J285" s="135"/>
      <c r="K285" s="136"/>
      <c r="L285" s="135"/>
      <c r="M285" s="136"/>
      <c r="N285" s="135"/>
      <c r="O285" s="136"/>
      <c r="P285" s="135"/>
      <c r="Q285" s="136"/>
      <c r="R285" s="135"/>
      <c r="S285" s="136"/>
      <c r="T285" s="135"/>
      <c r="U285" s="136"/>
      <c r="V285" s="135"/>
      <c r="W285" s="136"/>
      <c r="X285" s="135"/>
      <c r="Y285" s="136"/>
      <c r="Z285" s="135"/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32"/>
      <c r="AL285" s="132"/>
      <c r="AM285" s="132"/>
      <c r="AN285" s="132"/>
      <c r="AO285" s="155"/>
      <c r="AP285" s="132"/>
      <c r="AQ285" s="132"/>
      <c r="AR285" s="132"/>
      <c r="AS285" s="132"/>
      <c r="AT285" s="132"/>
      <c r="AU285" s="132"/>
      <c r="AV285" s="132"/>
      <c r="AW285" s="132"/>
      <c r="AX285" s="132"/>
      <c r="AY285" s="132"/>
      <c r="AZ285" s="132"/>
      <c r="BA285" s="132"/>
      <c r="BB285" s="155"/>
      <c r="BC285" s="132"/>
    </row>
    <row r="286" spans="1:55" x14ac:dyDescent="0.3">
      <c r="A286" s="125">
        <v>0</v>
      </c>
      <c r="B286" s="131" t="s">
        <v>609</v>
      </c>
      <c r="C286" s="130">
        <f>C276*$A$286</f>
        <v>0</v>
      </c>
      <c r="D286" s="129"/>
      <c r="E286" s="130">
        <f>E276*$A$286</f>
        <v>0</v>
      </c>
      <c r="F286" s="129"/>
      <c r="G286" s="130">
        <f>G276*$A$286</f>
        <v>0</v>
      </c>
      <c r="H286" s="129"/>
      <c r="I286" s="130">
        <f>I276*$A$286</f>
        <v>0</v>
      </c>
      <c r="J286" s="129"/>
      <c r="K286" s="130">
        <f>K276*$A$286</f>
        <v>0</v>
      </c>
      <c r="L286" s="129"/>
      <c r="M286" s="130">
        <f>M276*$A$286</f>
        <v>0</v>
      </c>
      <c r="N286" s="129"/>
      <c r="O286" s="130">
        <f>O276*$A$286</f>
        <v>0</v>
      </c>
      <c r="P286" s="129"/>
      <c r="Q286" s="130">
        <f>Q276*$A$286</f>
        <v>0</v>
      </c>
      <c r="R286" s="129"/>
      <c r="S286" s="130">
        <f>S276*$A$286</f>
        <v>0</v>
      </c>
      <c r="T286" s="129"/>
      <c r="U286" s="130">
        <f>U276*$A$286</f>
        <v>0</v>
      </c>
      <c r="V286" s="129"/>
      <c r="W286" s="130">
        <f>W276*$A$286</f>
        <v>0</v>
      </c>
      <c r="X286" s="129"/>
      <c r="Y286" s="130">
        <f>Y276*$A$286</f>
        <v>0</v>
      </c>
      <c r="Z286" s="129"/>
      <c r="AA286" s="126">
        <f t="shared" ref="AA286:AH286" si="282">AA276*$A$286</f>
        <v>0</v>
      </c>
      <c r="AB286" s="126">
        <f t="shared" si="282"/>
        <v>0</v>
      </c>
      <c r="AC286" s="126">
        <f t="shared" si="282"/>
        <v>0</v>
      </c>
      <c r="AD286" s="126">
        <f t="shared" si="282"/>
        <v>0</v>
      </c>
      <c r="AE286" s="126">
        <f t="shared" si="282"/>
        <v>0</v>
      </c>
      <c r="AF286" s="126">
        <f t="shared" si="282"/>
        <v>0</v>
      </c>
      <c r="AG286" s="126">
        <f t="shared" si="282"/>
        <v>0</v>
      </c>
      <c r="AH286" s="126">
        <f t="shared" si="282"/>
        <v>0</v>
      </c>
      <c r="AI286" s="126"/>
      <c r="AJ286" s="126" t="e">
        <f>AJ276*$A$286</f>
        <v>#REF!</v>
      </c>
      <c r="AK286" s="126" t="e">
        <f>AK276*$A$286</f>
        <v>#REF!</v>
      </c>
      <c r="AL286" s="126" t="e">
        <f>AL276*$A$286</f>
        <v>#REF!</v>
      </c>
      <c r="AM286" s="126" t="e">
        <f>AM276*$A$286</f>
        <v>#REF!</v>
      </c>
      <c r="AN286" s="126" t="e">
        <f>AN276*$A$286</f>
        <v>#REF!</v>
      </c>
      <c r="AO286" s="114" t="e">
        <f>SUM(AB286:AN286)</f>
        <v>#REF!</v>
      </c>
      <c r="AP286" s="126" t="e">
        <f t="shared" ref="AP286:BA286" si="283">AP276*$A$286</f>
        <v>#REF!</v>
      </c>
      <c r="AQ286" s="126" t="e">
        <f t="shared" si="283"/>
        <v>#REF!</v>
      </c>
      <c r="AR286" s="126" t="e">
        <f t="shared" si="283"/>
        <v>#REF!</v>
      </c>
      <c r="AS286" s="126" t="e">
        <f t="shared" si="283"/>
        <v>#REF!</v>
      </c>
      <c r="AT286" s="126" t="e">
        <f t="shared" si="283"/>
        <v>#REF!</v>
      </c>
      <c r="AU286" s="126" t="e">
        <f t="shared" si="283"/>
        <v>#REF!</v>
      </c>
      <c r="AV286" s="126" t="e">
        <f t="shared" si="283"/>
        <v>#REF!</v>
      </c>
      <c r="AW286" s="126" t="e">
        <f t="shared" si="283"/>
        <v>#REF!</v>
      </c>
      <c r="AX286" s="126" t="e">
        <f t="shared" si="283"/>
        <v>#REF!</v>
      </c>
      <c r="AY286" s="126" t="e">
        <f t="shared" si="283"/>
        <v>#REF!</v>
      </c>
      <c r="AZ286" s="126" t="e">
        <f t="shared" si="283"/>
        <v>#REF!</v>
      </c>
      <c r="BA286" s="126" t="e">
        <f t="shared" si="283"/>
        <v>#REF!</v>
      </c>
      <c r="BB286" s="114" t="e">
        <f>SUM(AP286:BA286)</f>
        <v>#REF!</v>
      </c>
      <c r="BC286" s="126"/>
    </row>
    <row r="287" spans="1:55" x14ac:dyDescent="0.3">
      <c r="A287" s="125">
        <v>1</v>
      </c>
      <c r="B287" s="124" t="s">
        <v>610</v>
      </c>
      <c r="C287" s="112">
        <f>C276*$A$287</f>
        <v>0</v>
      </c>
      <c r="D287" s="111"/>
      <c r="E287" s="112">
        <f>E276*$A$287</f>
        <v>0</v>
      </c>
      <c r="F287" s="111"/>
      <c r="G287" s="112">
        <f>G276*$A$287</f>
        <v>0</v>
      </c>
      <c r="H287" s="111"/>
      <c r="I287" s="112">
        <f>I276*$A$287</f>
        <v>0</v>
      </c>
      <c r="J287" s="111"/>
      <c r="K287" s="112">
        <f>K276*$A$287</f>
        <v>0</v>
      </c>
      <c r="L287" s="111"/>
      <c r="M287" s="112">
        <f>M276*$A$287</f>
        <v>0</v>
      </c>
      <c r="N287" s="111"/>
      <c r="O287" s="112">
        <f>O276*$A$287</f>
        <v>0</v>
      </c>
      <c r="P287" s="111"/>
      <c r="Q287" s="112">
        <f>Q276*$A$287</f>
        <v>0</v>
      </c>
      <c r="R287" s="111"/>
      <c r="S287" s="112">
        <f>S276*$A$287</f>
        <v>0</v>
      </c>
      <c r="T287" s="111"/>
      <c r="U287" s="112">
        <f>U276*$A$287</f>
        <v>0</v>
      </c>
      <c r="V287" s="111"/>
      <c r="W287" s="112">
        <f>W276*$A$287</f>
        <v>0</v>
      </c>
      <c r="X287" s="111"/>
      <c r="Y287" s="112">
        <f>Y276*$A$287</f>
        <v>0</v>
      </c>
      <c r="Z287" s="111"/>
      <c r="AA287" s="109">
        <f t="shared" ref="AA287:AH287" si="284">AA276*$A$287</f>
        <v>0</v>
      </c>
      <c r="AB287" s="109">
        <f t="shared" si="284"/>
        <v>0</v>
      </c>
      <c r="AC287" s="109">
        <f t="shared" si="284"/>
        <v>0</v>
      </c>
      <c r="AD287" s="109">
        <f t="shared" si="284"/>
        <v>0</v>
      </c>
      <c r="AE287" s="109">
        <f t="shared" si="284"/>
        <v>0</v>
      </c>
      <c r="AF287" s="109">
        <f t="shared" si="284"/>
        <v>0</v>
      </c>
      <c r="AG287" s="109">
        <f t="shared" si="284"/>
        <v>0</v>
      </c>
      <c r="AH287" s="109">
        <f t="shared" si="284"/>
        <v>0</v>
      </c>
      <c r="AI287" s="109"/>
      <c r="AJ287" s="109" t="e">
        <f>AJ276*$A$287</f>
        <v>#REF!</v>
      </c>
      <c r="AK287" s="109" t="e">
        <f>AK276*$A$287</f>
        <v>#REF!</v>
      </c>
      <c r="AL287" s="109" t="e">
        <f>AL276*$A$287</f>
        <v>#REF!</v>
      </c>
      <c r="AM287" s="109" t="e">
        <f>AM276*$A$287</f>
        <v>#REF!</v>
      </c>
      <c r="AN287" s="109" t="e">
        <f>AN276*$A$287</f>
        <v>#REF!</v>
      </c>
      <c r="AO287" s="110" t="e">
        <f>SUM(AB287:AN287)</f>
        <v>#REF!</v>
      </c>
      <c r="AP287" s="109" t="e">
        <f t="shared" ref="AP287:BA287" si="285">AP276*$A$287</f>
        <v>#REF!</v>
      </c>
      <c r="AQ287" s="109" t="e">
        <f t="shared" si="285"/>
        <v>#REF!</v>
      </c>
      <c r="AR287" s="109" t="e">
        <f t="shared" si="285"/>
        <v>#REF!</v>
      </c>
      <c r="AS287" s="109" t="e">
        <f t="shared" si="285"/>
        <v>#REF!</v>
      </c>
      <c r="AT287" s="109" t="e">
        <f t="shared" si="285"/>
        <v>#REF!</v>
      </c>
      <c r="AU287" s="109" t="e">
        <f t="shared" si="285"/>
        <v>#REF!</v>
      </c>
      <c r="AV287" s="109" t="e">
        <f t="shared" si="285"/>
        <v>#REF!</v>
      </c>
      <c r="AW287" s="109" t="e">
        <f t="shared" si="285"/>
        <v>#REF!</v>
      </c>
      <c r="AX287" s="109" t="e">
        <f t="shared" si="285"/>
        <v>#REF!</v>
      </c>
      <c r="AY287" s="109" t="e">
        <f t="shared" si="285"/>
        <v>#REF!</v>
      </c>
      <c r="AZ287" s="109" t="e">
        <f t="shared" si="285"/>
        <v>#REF!</v>
      </c>
      <c r="BA287" s="109" t="e">
        <f t="shared" si="285"/>
        <v>#REF!</v>
      </c>
      <c r="BB287" s="110" t="e">
        <f>SUM(AP287:BA287)</f>
        <v>#REF!</v>
      </c>
      <c r="BC287" s="109"/>
    </row>
    <row r="288" spans="1:55" x14ac:dyDescent="0.3">
      <c r="B288" s="380" t="s">
        <v>611</v>
      </c>
      <c r="C288" s="123">
        <f>SUM(C286:C287)</f>
        <v>0</v>
      </c>
      <c r="D288" s="388"/>
      <c r="E288" s="123">
        <f>SUM(E286:E287)</f>
        <v>0</v>
      </c>
      <c r="F288" s="388"/>
      <c r="G288" s="123">
        <f>SUM(G286:G287)</f>
        <v>0</v>
      </c>
      <c r="H288" s="388"/>
      <c r="I288" s="123">
        <f>SUM(I286:I287)</f>
        <v>0</v>
      </c>
      <c r="J288" s="388"/>
      <c r="K288" s="123">
        <f>SUM(K286:K287)</f>
        <v>0</v>
      </c>
      <c r="L288" s="388"/>
      <c r="M288" s="123">
        <f>SUM(M286:M287)</f>
        <v>0</v>
      </c>
      <c r="N288" s="388"/>
      <c r="O288" s="123">
        <f>SUM(O286:O287)</f>
        <v>0</v>
      </c>
      <c r="P288" s="388"/>
      <c r="Q288" s="123">
        <f>SUM(Q286:Q287)</f>
        <v>0</v>
      </c>
      <c r="R288" s="388"/>
      <c r="S288" s="123">
        <f>SUM(S286:S287)</f>
        <v>0</v>
      </c>
      <c r="T288" s="388"/>
      <c r="U288" s="123">
        <f>SUM(U286:U287)</f>
        <v>0</v>
      </c>
      <c r="V288" s="388"/>
      <c r="W288" s="123">
        <f>SUM(W286:W287)</f>
        <v>0</v>
      </c>
      <c r="X288" s="388"/>
      <c r="Y288" s="123">
        <f>SUM(Y286:Y287)</f>
        <v>0</v>
      </c>
      <c r="Z288" s="388"/>
      <c r="AA288" s="389">
        <f t="shared" ref="AA288:AH288" si="286">SUM(AA286:AA287)</f>
        <v>0</v>
      </c>
      <c r="AB288" s="389">
        <f t="shared" si="286"/>
        <v>0</v>
      </c>
      <c r="AC288" s="389">
        <f t="shared" si="286"/>
        <v>0</v>
      </c>
      <c r="AD288" s="389">
        <f t="shared" si="286"/>
        <v>0</v>
      </c>
      <c r="AE288" s="389">
        <f t="shared" si="286"/>
        <v>0</v>
      </c>
      <c r="AF288" s="389">
        <f t="shared" si="286"/>
        <v>0</v>
      </c>
      <c r="AG288" s="389">
        <f t="shared" si="286"/>
        <v>0</v>
      </c>
      <c r="AH288" s="389">
        <f t="shared" si="286"/>
        <v>0</v>
      </c>
      <c r="AI288" s="389"/>
      <c r="AJ288" s="389" t="e">
        <f>SUM(AJ286:AJ287)</f>
        <v>#REF!</v>
      </c>
      <c r="AK288" s="389" t="e">
        <f>SUM(AK286:AK287)</f>
        <v>#REF!</v>
      </c>
      <c r="AL288" s="389" t="e">
        <f>SUM(AL286:AL287)</f>
        <v>#REF!</v>
      </c>
      <c r="AM288" s="389" t="e">
        <f>SUM(AM286:AM287)</f>
        <v>#REF!</v>
      </c>
      <c r="AN288" s="389" t="e">
        <f>SUM(AN286:AN287)</f>
        <v>#REF!</v>
      </c>
      <c r="AO288" s="390" t="e">
        <f>SUM(AB288:AN288)</f>
        <v>#REF!</v>
      </c>
      <c r="AP288" s="389" t="e">
        <f t="shared" ref="AP288:BA288" si="287">SUM(AP286:AP287)</f>
        <v>#REF!</v>
      </c>
      <c r="AQ288" s="389" t="e">
        <f t="shared" si="287"/>
        <v>#REF!</v>
      </c>
      <c r="AR288" s="389" t="e">
        <f t="shared" si="287"/>
        <v>#REF!</v>
      </c>
      <c r="AS288" s="389" t="e">
        <f t="shared" si="287"/>
        <v>#REF!</v>
      </c>
      <c r="AT288" s="389" t="e">
        <f t="shared" si="287"/>
        <v>#REF!</v>
      </c>
      <c r="AU288" s="389" t="e">
        <f t="shared" si="287"/>
        <v>#REF!</v>
      </c>
      <c r="AV288" s="389" t="e">
        <f t="shared" si="287"/>
        <v>#REF!</v>
      </c>
      <c r="AW288" s="389" t="e">
        <f t="shared" si="287"/>
        <v>#REF!</v>
      </c>
      <c r="AX288" s="389" t="e">
        <f t="shared" si="287"/>
        <v>#REF!</v>
      </c>
      <c r="AY288" s="389" t="e">
        <f t="shared" si="287"/>
        <v>#REF!</v>
      </c>
      <c r="AZ288" s="389" t="e">
        <f t="shared" si="287"/>
        <v>#REF!</v>
      </c>
      <c r="BA288" s="389" t="e">
        <f t="shared" si="287"/>
        <v>#REF!</v>
      </c>
      <c r="BB288" s="390" t="e">
        <f>SUM(AP288:BA288)</f>
        <v>#REF!</v>
      </c>
      <c r="BC288" s="389"/>
    </row>
    <row r="289" spans="1:55" x14ac:dyDescent="0.3">
      <c r="C289" s="83"/>
      <c r="D289" s="82"/>
      <c r="E289" s="83"/>
      <c r="F289" s="82"/>
      <c r="G289" s="83"/>
      <c r="H289" s="82"/>
      <c r="I289" s="83"/>
      <c r="J289" s="82"/>
      <c r="K289" s="83"/>
      <c r="L289" s="82"/>
      <c r="M289" s="83"/>
      <c r="N289" s="82"/>
      <c r="O289" s="83"/>
      <c r="P289" s="82"/>
      <c r="Q289" s="83"/>
      <c r="R289" s="82"/>
      <c r="S289" s="83"/>
      <c r="T289" s="82"/>
      <c r="U289" s="83"/>
      <c r="V289" s="82"/>
      <c r="W289" s="83"/>
      <c r="X289" s="82"/>
      <c r="Y289" s="83"/>
      <c r="Z289" s="82"/>
    </row>
    <row r="290" spans="1:55" ht="18.600000000000001" thickBot="1" x14ac:dyDescent="0.4">
      <c r="C290" s="151" t="s">
        <v>625</v>
      </c>
      <c r="D290" s="150"/>
      <c r="E290" s="151"/>
      <c r="F290" s="150"/>
      <c r="G290" s="151"/>
      <c r="H290" s="150"/>
      <c r="I290" s="151"/>
      <c r="J290" s="150"/>
      <c r="K290" s="83"/>
      <c r="L290" s="82"/>
      <c r="M290" s="83"/>
      <c r="N290" s="82"/>
      <c r="O290" s="83"/>
      <c r="P290" s="82"/>
      <c r="Q290" s="83"/>
      <c r="R290" s="82"/>
      <c r="S290" s="83"/>
      <c r="T290" s="82"/>
      <c r="U290" s="83"/>
      <c r="V290" s="82"/>
      <c r="W290" s="83"/>
      <c r="X290" s="82"/>
      <c r="Y290" s="83"/>
      <c r="Z290" s="82"/>
    </row>
    <row r="291" spans="1:55" ht="15" thickTop="1" x14ac:dyDescent="0.3">
      <c r="B291" s="381"/>
      <c r="C291" s="149">
        <v>45292</v>
      </c>
      <c r="D291" s="148">
        <v>45292</v>
      </c>
      <c r="E291" s="149">
        <v>45323</v>
      </c>
      <c r="F291" s="148">
        <v>45323</v>
      </c>
      <c r="G291" s="149">
        <v>45352</v>
      </c>
      <c r="H291" s="148">
        <v>45352</v>
      </c>
      <c r="I291" s="149">
        <v>45383</v>
      </c>
      <c r="J291" s="148">
        <v>45383</v>
      </c>
      <c r="K291" s="149">
        <v>45413</v>
      </c>
      <c r="L291" s="148">
        <v>45413</v>
      </c>
      <c r="M291" s="149">
        <v>45444</v>
      </c>
      <c r="N291" s="148">
        <v>45444</v>
      </c>
      <c r="O291" s="149">
        <v>45474</v>
      </c>
      <c r="P291" s="148">
        <v>45474</v>
      </c>
      <c r="Q291" s="149">
        <v>45505</v>
      </c>
      <c r="R291" s="148">
        <v>45505</v>
      </c>
      <c r="S291" s="149">
        <v>45536</v>
      </c>
      <c r="T291" s="148">
        <v>45536</v>
      </c>
      <c r="U291" s="149">
        <v>45566</v>
      </c>
      <c r="V291" s="148">
        <v>45566</v>
      </c>
      <c r="W291" s="149">
        <v>45597</v>
      </c>
      <c r="X291" s="148">
        <v>45597</v>
      </c>
      <c r="Y291" s="149">
        <v>45627</v>
      </c>
      <c r="Z291" s="148">
        <v>45627</v>
      </c>
      <c r="AA291" s="382">
        <f t="shared" ref="AA291:AH291" si="288">AA267</f>
        <v>44927</v>
      </c>
      <c r="AB291" s="382">
        <f t="shared" si="288"/>
        <v>44958</v>
      </c>
      <c r="AC291" s="382">
        <f t="shared" si="288"/>
        <v>44986</v>
      </c>
      <c r="AD291" s="382">
        <f t="shared" si="288"/>
        <v>45017</v>
      </c>
      <c r="AE291" s="382">
        <f t="shared" si="288"/>
        <v>45047</v>
      </c>
      <c r="AF291" s="382">
        <f t="shared" si="288"/>
        <v>45078</v>
      </c>
      <c r="AG291" s="382">
        <f t="shared" si="288"/>
        <v>45108</v>
      </c>
      <c r="AH291" s="382">
        <f t="shared" si="288"/>
        <v>45139</v>
      </c>
      <c r="AI291" s="381"/>
      <c r="AJ291" s="381" t="s">
        <v>579</v>
      </c>
      <c r="AK291" s="381" t="s">
        <v>580</v>
      </c>
      <c r="AL291" s="381" t="s">
        <v>581</v>
      </c>
      <c r="AM291" s="381" t="s">
        <v>582</v>
      </c>
      <c r="AN291" s="381" t="s">
        <v>583</v>
      </c>
      <c r="AO291" s="383" t="s">
        <v>584</v>
      </c>
      <c r="AP291" s="381" t="s">
        <v>585</v>
      </c>
      <c r="AQ291" s="381" t="s">
        <v>586</v>
      </c>
      <c r="AR291" s="381" t="s">
        <v>587</v>
      </c>
      <c r="AS291" s="381" t="s">
        <v>588</v>
      </c>
      <c r="AT291" s="381" t="s">
        <v>589</v>
      </c>
      <c r="AU291" s="381" t="s">
        <v>590</v>
      </c>
      <c r="AV291" s="381" t="s">
        <v>591</v>
      </c>
      <c r="AW291" s="381" t="s">
        <v>592</v>
      </c>
      <c r="AX291" s="381" t="s">
        <v>593</v>
      </c>
      <c r="AY291" s="381" t="s">
        <v>594</v>
      </c>
      <c r="AZ291" s="381" t="s">
        <v>595</v>
      </c>
      <c r="BA291" s="381" t="s">
        <v>596</v>
      </c>
      <c r="BB291" s="383" t="s">
        <v>597</v>
      </c>
      <c r="BC291" s="382"/>
    </row>
    <row r="292" spans="1:55" x14ac:dyDescent="0.3">
      <c r="B292" s="113" t="str">
        <f t="shared" ref="B292:B297" si="289">B268</f>
        <v>Salvadorcard/SSA</v>
      </c>
      <c r="C292" s="146">
        <v>0</v>
      </c>
      <c r="D292" s="145"/>
      <c r="E292" s="146">
        <v>0</v>
      </c>
      <c r="F292" s="145"/>
      <c r="G292" s="146">
        <v>0</v>
      </c>
      <c r="H292" s="145"/>
      <c r="I292" s="146">
        <v>0</v>
      </c>
      <c r="J292" s="145"/>
      <c r="K292" s="146">
        <v>0</v>
      </c>
      <c r="L292" s="145"/>
      <c r="M292" s="146">
        <v>0</v>
      </c>
      <c r="N292" s="145"/>
      <c r="O292" s="146">
        <v>0</v>
      </c>
      <c r="P292" s="145"/>
      <c r="Q292" s="146">
        <v>0</v>
      </c>
      <c r="R292" s="145"/>
      <c r="S292" s="146">
        <v>0</v>
      </c>
      <c r="T292" s="145"/>
      <c r="U292" s="146">
        <v>0</v>
      </c>
      <c r="V292" s="145"/>
      <c r="W292" s="146">
        <v>0</v>
      </c>
      <c r="X292" s="145"/>
      <c r="Y292" s="146">
        <v>0</v>
      </c>
      <c r="Z292" s="145"/>
      <c r="AA292" s="144">
        <v>0</v>
      </c>
      <c r="AB292" s="144">
        <v>0</v>
      </c>
      <c r="AC292" s="144">
        <v>0</v>
      </c>
      <c r="AD292" s="144">
        <v>0</v>
      </c>
      <c r="AE292" s="144">
        <v>0</v>
      </c>
      <c r="AF292" s="144">
        <v>0</v>
      </c>
      <c r="AG292" s="144">
        <v>0</v>
      </c>
      <c r="AH292" s="144">
        <v>0</v>
      </c>
      <c r="AI292" s="144"/>
      <c r="AJ292" s="144">
        <v>0</v>
      </c>
      <c r="AK292" s="144">
        <v>0</v>
      </c>
      <c r="AL292" s="144">
        <v>0</v>
      </c>
      <c r="AM292" s="144">
        <v>0</v>
      </c>
      <c r="AN292" s="144">
        <v>0</v>
      </c>
      <c r="AO292" s="391">
        <f t="shared" ref="AO292:AO298" si="290">SUM(AB292:AN292)</f>
        <v>0</v>
      </c>
      <c r="AP292" s="144">
        <v>0</v>
      </c>
      <c r="AQ292" s="144">
        <v>0</v>
      </c>
      <c r="AR292" s="144">
        <v>0</v>
      </c>
      <c r="AS292" s="144">
        <v>0</v>
      </c>
      <c r="AT292" s="144">
        <v>0</v>
      </c>
      <c r="AU292" s="144">
        <v>0</v>
      </c>
      <c r="AV292" s="144">
        <v>0</v>
      </c>
      <c r="AW292" s="144">
        <v>0</v>
      </c>
      <c r="AX292" s="144">
        <v>0</v>
      </c>
      <c r="AY292" s="144">
        <v>0</v>
      </c>
      <c r="AZ292" s="144">
        <v>0</v>
      </c>
      <c r="BA292" s="144">
        <v>0</v>
      </c>
      <c r="BB292" s="391">
        <f t="shared" ref="BB292:BB298" si="291">SUM(AP292:BA292)</f>
        <v>0</v>
      </c>
      <c r="BC292" s="144"/>
    </row>
    <row r="293" spans="1:55" x14ac:dyDescent="0.3">
      <c r="B293" s="91" t="str">
        <f t="shared" si="289"/>
        <v>Metropasse/SSA</v>
      </c>
      <c r="C293" s="90">
        <v>0</v>
      </c>
      <c r="D293" s="89"/>
      <c r="E293" s="90">
        <v>0</v>
      </c>
      <c r="F293" s="89"/>
      <c r="G293" s="90">
        <v>0</v>
      </c>
      <c r="H293" s="89"/>
      <c r="I293" s="90">
        <v>0</v>
      </c>
      <c r="J293" s="89"/>
      <c r="K293" s="90">
        <v>0</v>
      </c>
      <c r="L293" s="89"/>
      <c r="M293" s="90">
        <v>0</v>
      </c>
      <c r="N293" s="89"/>
      <c r="O293" s="90">
        <v>0</v>
      </c>
      <c r="P293" s="89"/>
      <c r="Q293" s="90">
        <v>0</v>
      </c>
      <c r="R293" s="89"/>
      <c r="S293" s="90">
        <v>0</v>
      </c>
      <c r="T293" s="89"/>
      <c r="U293" s="90">
        <v>0</v>
      </c>
      <c r="V293" s="89"/>
      <c r="W293" s="90">
        <v>0</v>
      </c>
      <c r="X293" s="89"/>
      <c r="Y293" s="90">
        <v>0</v>
      </c>
      <c r="Z293" s="89"/>
      <c r="AA293" s="96">
        <v>0</v>
      </c>
      <c r="AB293" s="96">
        <v>0</v>
      </c>
      <c r="AC293" s="96">
        <v>0</v>
      </c>
      <c r="AD293" s="96">
        <v>0</v>
      </c>
      <c r="AE293" s="96">
        <v>0</v>
      </c>
      <c r="AF293" s="96">
        <v>0</v>
      </c>
      <c r="AG293" s="96">
        <v>0</v>
      </c>
      <c r="AH293" s="96">
        <v>0</v>
      </c>
      <c r="AI293" s="96"/>
      <c r="AJ293" s="96" t="e">
        <v>#REF!</v>
      </c>
      <c r="AK293" s="96" t="e">
        <v>#REF!</v>
      </c>
      <c r="AL293" s="96" t="e">
        <v>#REF!</v>
      </c>
      <c r="AM293" s="96" t="e">
        <v>#REF!</v>
      </c>
      <c r="AN293" s="96" t="e">
        <v>#REF!</v>
      </c>
      <c r="AO293" s="147" t="e">
        <f t="shared" si="290"/>
        <v>#REF!</v>
      </c>
      <c r="AP293" s="96" t="e">
        <v>#REF!</v>
      </c>
      <c r="AQ293" s="96" t="e">
        <v>#REF!</v>
      </c>
      <c r="AR293" s="96" t="e">
        <v>#REF!</v>
      </c>
      <c r="AS293" s="96" t="e">
        <v>#REF!</v>
      </c>
      <c r="AT293" s="96" t="e">
        <v>#REF!</v>
      </c>
      <c r="AU293" s="96" t="e">
        <v>#REF!</v>
      </c>
      <c r="AV293" s="96" t="e">
        <v>#REF!</v>
      </c>
      <c r="AW293" s="96" t="e">
        <v>#REF!</v>
      </c>
      <c r="AX293" s="96" t="e">
        <v>#REF!</v>
      </c>
      <c r="AY293" s="96" t="e">
        <v>#REF!</v>
      </c>
      <c r="AZ293" s="96" t="e">
        <v>#REF!</v>
      </c>
      <c r="BA293" s="96" t="e">
        <v>#REF!</v>
      </c>
      <c r="BB293" s="147" t="e">
        <f t="shared" si="291"/>
        <v>#REF!</v>
      </c>
      <c r="BC293" s="96"/>
    </row>
    <row r="294" spans="1:55" x14ac:dyDescent="0.3">
      <c r="B294" s="91" t="str">
        <f t="shared" si="289"/>
        <v>GVBus/VIX</v>
      </c>
      <c r="C294" s="90">
        <v>0</v>
      </c>
      <c r="D294" s="89"/>
      <c r="E294" s="90">
        <v>0</v>
      </c>
      <c r="F294" s="89"/>
      <c r="G294" s="90">
        <v>0</v>
      </c>
      <c r="H294" s="89"/>
      <c r="I294" s="90">
        <v>0</v>
      </c>
      <c r="J294" s="89"/>
      <c r="K294" s="90">
        <v>0</v>
      </c>
      <c r="L294" s="89"/>
      <c r="M294" s="90">
        <v>0</v>
      </c>
      <c r="N294" s="89"/>
      <c r="O294" s="90">
        <v>0</v>
      </c>
      <c r="P294" s="89"/>
      <c r="Q294" s="90">
        <v>0</v>
      </c>
      <c r="R294" s="89"/>
      <c r="S294" s="90">
        <v>0</v>
      </c>
      <c r="T294" s="89"/>
      <c r="U294" s="90">
        <v>0</v>
      </c>
      <c r="V294" s="89"/>
      <c r="W294" s="90">
        <v>0</v>
      </c>
      <c r="X294" s="89"/>
      <c r="Y294" s="90">
        <v>0</v>
      </c>
      <c r="Z294" s="89"/>
      <c r="AA294" s="96">
        <v>0</v>
      </c>
      <c r="AB294" s="96">
        <v>0</v>
      </c>
      <c r="AC294" s="96">
        <v>0</v>
      </c>
      <c r="AD294" s="96">
        <v>0</v>
      </c>
      <c r="AE294" s="96">
        <v>0</v>
      </c>
      <c r="AF294" s="96">
        <v>0</v>
      </c>
      <c r="AG294" s="96">
        <v>0</v>
      </c>
      <c r="AH294" s="96">
        <v>0</v>
      </c>
      <c r="AI294" s="96"/>
      <c r="AJ294" s="96">
        <v>0</v>
      </c>
      <c r="AK294" s="96">
        <v>0</v>
      </c>
      <c r="AL294" s="96">
        <v>0</v>
      </c>
      <c r="AM294" s="96">
        <v>0</v>
      </c>
      <c r="AN294" s="96">
        <v>0</v>
      </c>
      <c r="AO294" s="147">
        <f t="shared" si="290"/>
        <v>0</v>
      </c>
      <c r="AP294" s="96">
        <v>0</v>
      </c>
      <c r="AQ294" s="96">
        <v>0</v>
      </c>
      <c r="AR294" s="96">
        <v>0</v>
      </c>
      <c r="AS294" s="96">
        <v>0</v>
      </c>
      <c r="AT294" s="96">
        <v>0</v>
      </c>
      <c r="AU294" s="96">
        <v>0</v>
      </c>
      <c r="AV294" s="96">
        <v>0</v>
      </c>
      <c r="AW294" s="96">
        <v>0</v>
      </c>
      <c r="AX294" s="96">
        <v>0</v>
      </c>
      <c r="AY294" s="96">
        <v>0</v>
      </c>
      <c r="AZ294" s="96">
        <v>0</v>
      </c>
      <c r="BA294" s="96">
        <v>0</v>
      </c>
      <c r="BB294" s="147">
        <f t="shared" si="291"/>
        <v>0</v>
      </c>
      <c r="BC294" s="96"/>
    </row>
    <row r="295" spans="1:55" x14ac:dyDescent="0.3">
      <c r="B295" s="91" t="str">
        <f t="shared" si="289"/>
        <v>Teu/POA</v>
      </c>
      <c r="C295" s="90">
        <v>0</v>
      </c>
      <c r="D295" s="89"/>
      <c r="E295" s="90">
        <v>0</v>
      </c>
      <c r="F295" s="89"/>
      <c r="G295" s="90">
        <v>0</v>
      </c>
      <c r="H295" s="89"/>
      <c r="I295" s="90">
        <v>0</v>
      </c>
      <c r="J295" s="89"/>
      <c r="K295" s="90">
        <v>0</v>
      </c>
      <c r="L295" s="89"/>
      <c r="M295" s="90">
        <v>0</v>
      </c>
      <c r="N295" s="89"/>
      <c r="O295" s="90">
        <v>0</v>
      </c>
      <c r="P295" s="89"/>
      <c r="Q295" s="90">
        <v>0</v>
      </c>
      <c r="R295" s="89"/>
      <c r="S295" s="90">
        <v>0</v>
      </c>
      <c r="T295" s="89"/>
      <c r="U295" s="90">
        <v>0</v>
      </c>
      <c r="V295" s="89"/>
      <c r="W295" s="90">
        <v>0</v>
      </c>
      <c r="X295" s="89"/>
      <c r="Y295" s="90">
        <v>0</v>
      </c>
      <c r="Z295" s="89"/>
      <c r="AA295" s="96">
        <v>0</v>
      </c>
      <c r="AB295" s="96">
        <v>0</v>
      </c>
      <c r="AC295" s="96">
        <v>0</v>
      </c>
      <c r="AD295" s="96">
        <v>0</v>
      </c>
      <c r="AE295" s="96">
        <v>0</v>
      </c>
      <c r="AF295" s="96">
        <v>0</v>
      </c>
      <c r="AG295" s="96">
        <v>0</v>
      </c>
      <c r="AH295" s="96">
        <v>0</v>
      </c>
      <c r="AI295" s="96"/>
      <c r="AJ295" s="96">
        <v>0</v>
      </c>
      <c r="AK295" s="96">
        <v>0</v>
      </c>
      <c r="AL295" s="96">
        <v>0</v>
      </c>
      <c r="AM295" s="96">
        <v>0</v>
      </c>
      <c r="AN295" s="96">
        <v>0</v>
      </c>
      <c r="AO295" s="147">
        <f t="shared" si="290"/>
        <v>0</v>
      </c>
      <c r="AP295" s="96">
        <v>0</v>
      </c>
      <c r="AQ295" s="96">
        <v>0</v>
      </c>
      <c r="AR295" s="96">
        <v>0</v>
      </c>
      <c r="AS295" s="96">
        <v>0</v>
      </c>
      <c r="AT295" s="96">
        <v>0</v>
      </c>
      <c r="AU295" s="96">
        <v>0</v>
      </c>
      <c r="AV295" s="96">
        <v>0</v>
      </c>
      <c r="AW295" s="96">
        <v>0</v>
      </c>
      <c r="AX295" s="96">
        <v>0</v>
      </c>
      <c r="AY295" s="96">
        <v>0</v>
      </c>
      <c r="AZ295" s="96">
        <v>0</v>
      </c>
      <c r="BA295" s="96">
        <v>0</v>
      </c>
      <c r="BB295" s="147">
        <f t="shared" si="291"/>
        <v>0</v>
      </c>
      <c r="BC295" s="96"/>
    </row>
    <row r="296" spans="1:55" x14ac:dyDescent="0.3">
      <c r="B296" s="91" t="str">
        <f t="shared" si="289"/>
        <v>Transfácil/BHZ</v>
      </c>
      <c r="C296" s="90">
        <v>0</v>
      </c>
      <c r="D296" s="89"/>
      <c r="E296" s="90">
        <v>0</v>
      </c>
      <c r="F296" s="89"/>
      <c r="G296" s="90">
        <v>0</v>
      </c>
      <c r="H296" s="89"/>
      <c r="I296" s="90">
        <v>0</v>
      </c>
      <c r="J296" s="89"/>
      <c r="K296" s="90">
        <v>0</v>
      </c>
      <c r="L296" s="89"/>
      <c r="M296" s="90">
        <v>0</v>
      </c>
      <c r="N296" s="89"/>
      <c r="O296" s="90">
        <v>0</v>
      </c>
      <c r="P296" s="89"/>
      <c r="Q296" s="90">
        <v>0</v>
      </c>
      <c r="R296" s="89"/>
      <c r="S296" s="90">
        <v>0</v>
      </c>
      <c r="T296" s="89"/>
      <c r="U296" s="90">
        <v>0</v>
      </c>
      <c r="V296" s="89"/>
      <c r="W296" s="90">
        <v>0</v>
      </c>
      <c r="X296" s="89"/>
      <c r="Y296" s="90">
        <v>0</v>
      </c>
      <c r="Z296" s="89"/>
      <c r="AA296" s="96">
        <v>0</v>
      </c>
      <c r="AB296" s="96">
        <v>0</v>
      </c>
      <c r="AC296" s="96">
        <v>0</v>
      </c>
      <c r="AD296" s="96">
        <v>0</v>
      </c>
      <c r="AE296" s="96">
        <v>0</v>
      </c>
      <c r="AF296" s="96">
        <v>0</v>
      </c>
      <c r="AG296" s="96">
        <v>0</v>
      </c>
      <c r="AH296" s="96">
        <v>0</v>
      </c>
      <c r="AI296" s="96"/>
      <c r="AJ296" s="96">
        <v>0</v>
      </c>
      <c r="AK296" s="96">
        <v>0</v>
      </c>
      <c r="AL296" s="96">
        <v>0</v>
      </c>
      <c r="AM296" s="96">
        <v>0</v>
      </c>
      <c r="AN296" s="96">
        <v>0</v>
      </c>
      <c r="AO296" s="147">
        <f t="shared" si="290"/>
        <v>0</v>
      </c>
      <c r="AP296" s="96">
        <v>0</v>
      </c>
      <c r="AQ296" s="96">
        <v>0</v>
      </c>
      <c r="AR296" s="96">
        <v>0</v>
      </c>
      <c r="AS296" s="96">
        <v>0</v>
      </c>
      <c r="AT296" s="96">
        <v>0</v>
      </c>
      <c r="AU296" s="96">
        <v>0</v>
      </c>
      <c r="AV296" s="96">
        <v>0</v>
      </c>
      <c r="AW296" s="96">
        <v>0</v>
      </c>
      <c r="AX296" s="96">
        <v>0</v>
      </c>
      <c r="AY296" s="96">
        <v>0</v>
      </c>
      <c r="AZ296" s="96">
        <v>0</v>
      </c>
      <c r="BA296" s="96">
        <v>0</v>
      </c>
      <c r="BB296" s="147">
        <f t="shared" si="291"/>
        <v>0</v>
      </c>
      <c r="BC296" s="96"/>
    </row>
    <row r="297" spans="1:55" x14ac:dyDescent="0.3">
      <c r="B297" s="113" t="str">
        <f t="shared" si="289"/>
        <v>Biguaçú-Jotur-Santa Terezinha/Florianopolis</v>
      </c>
      <c r="C297" s="146">
        <v>0</v>
      </c>
      <c r="D297" s="145"/>
      <c r="E297" s="146">
        <v>0</v>
      </c>
      <c r="F297" s="145"/>
      <c r="G297" s="146">
        <v>0</v>
      </c>
      <c r="H297" s="145"/>
      <c r="I297" s="146">
        <v>0</v>
      </c>
      <c r="J297" s="145"/>
      <c r="K297" s="146">
        <v>0</v>
      </c>
      <c r="L297" s="145"/>
      <c r="M297" s="146">
        <v>0</v>
      </c>
      <c r="N297" s="145"/>
      <c r="O297" s="146">
        <v>0</v>
      </c>
      <c r="P297" s="145"/>
      <c r="Q297" s="146">
        <v>0</v>
      </c>
      <c r="R297" s="145"/>
      <c r="S297" s="146">
        <v>0</v>
      </c>
      <c r="T297" s="145"/>
      <c r="U297" s="146">
        <v>0</v>
      </c>
      <c r="V297" s="145"/>
      <c r="W297" s="146">
        <v>0</v>
      </c>
      <c r="X297" s="145"/>
      <c r="Y297" s="146">
        <v>0</v>
      </c>
      <c r="Z297" s="145"/>
      <c r="AA297" s="144">
        <v>0</v>
      </c>
      <c r="AB297" s="144">
        <v>0</v>
      </c>
      <c r="AC297" s="144">
        <v>0</v>
      </c>
      <c r="AD297" s="144">
        <v>0</v>
      </c>
      <c r="AE297" s="144">
        <v>0</v>
      </c>
      <c r="AF297" s="144">
        <v>0</v>
      </c>
      <c r="AG297" s="144">
        <v>0</v>
      </c>
      <c r="AH297" s="144">
        <v>0</v>
      </c>
      <c r="AI297" s="144"/>
      <c r="AJ297" s="144">
        <v>0</v>
      </c>
      <c r="AK297" s="144">
        <v>0</v>
      </c>
      <c r="AL297" s="144">
        <v>0</v>
      </c>
      <c r="AM297" s="144">
        <v>0</v>
      </c>
      <c r="AN297" s="144">
        <v>0</v>
      </c>
      <c r="AO297" s="206">
        <f t="shared" si="290"/>
        <v>0</v>
      </c>
      <c r="AP297" s="144">
        <v>0</v>
      </c>
      <c r="AQ297" s="144">
        <v>0</v>
      </c>
      <c r="AR297" s="144">
        <v>0</v>
      </c>
      <c r="AS297" s="144">
        <v>0</v>
      </c>
      <c r="AT297" s="144">
        <v>0</v>
      </c>
      <c r="AU297" s="144">
        <v>0</v>
      </c>
      <c r="AV297" s="144">
        <v>0</v>
      </c>
      <c r="AW297" s="144">
        <v>0</v>
      </c>
      <c r="AX297" s="144">
        <v>0</v>
      </c>
      <c r="AY297" s="144">
        <v>0</v>
      </c>
      <c r="AZ297" s="144">
        <v>0</v>
      </c>
      <c r="BA297" s="144">
        <v>0</v>
      </c>
      <c r="BB297" s="206">
        <f t="shared" si="291"/>
        <v>0</v>
      </c>
      <c r="BC297" s="144"/>
    </row>
    <row r="298" spans="1:55" x14ac:dyDescent="0.3">
      <c r="B298" s="380" t="s">
        <v>599</v>
      </c>
      <c r="C298" s="143">
        <f>SUM(C292:C297)</f>
        <v>0</v>
      </c>
      <c r="D298" s="385"/>
      <c r="E298" s="143">
        <f>SUM(E292:E297)</f>
        <v>0</v>
      </c>
      <c r="F298" s="385"/>
      <c r="G298" s="143">
        <f>SUM(G292:G297)</f>
        <v>0</v>
      </c>
      <c r="H298" s="385"/>
      <c r="I298" s="143">
        <f>SUM(I292:I297)</f>
        <v>0</v>
      </c>
      <c r="J298" s="385"/>
      <c r="K298" s="143">
        <f>SUM(K292:K297)</f>
        <v>0</v>
      </c>
      <c r="L298" s="385"/>
      <c r="M298" s="143">
        <f>SUM(M292:M297)</f>
        <v>0</v>
      </c>
      <c r="N298" s="385"/>
      <c r="O298" s="143">
        <f>SUM(O292:O297)</f>
        <v>0</v>
      </c>
      <c r="P298" s="385"/>
      <c r="Q298" s="143">
        <f>SUM(Q292:Q297)</f>
        <v>0</v>
      </c>
      <c r="R298" s="385"/>
      <c r="S298" s="143">
        <f>SUM(S292:S297)</f>
        <v>0</v>
      </c>
      <c r="T298" s="385"/>
      <c r="U298" s="143">
        <f>SUM(U292:U297)</f>
        <v>0</v>
      </c>
      <c r="V298" s="385"/>
      <c r="W298" s="143">
        <f>SUM(W292:W297)</f>
        <v>0</v>
      </c>
      <c r="X298" s="385"/>
      <c r="Y298" s="143">
        <f>SUM(Y292:Y297)</f>
        <v>0</v>
      </c>
      <c r="Z298" s="385"/>
      <c r="AA298" s="387">
        <f t="shared" ref="AA298:AH298" si="292">SUM(AA292:AA297)</f>
        <v>0</v>
      </c>
      <c r="AB298" s="387">
        <f t="shared" si="292"/>
        <v>0</v>
      </c>
      <c r="AC298" s="387">
        <f t="shared" si="292"/>
        <v>0</v>
      </c>
      <c r="AD298" s="387">
        <f t="shared" si="292"/>
        <v>0</v>
      </c>
      <c r="AE298" s="387">
        <f t="shared" si="292"/>
        <v>0</v>
      </c>
      <c r="AF298" s="387">
        <f t="shared" si="292"/>
        <v>0</v>
      </c>
      <c r="AG298" s="387">
        <f t="shared" si="292"/>
        <v>0</v>
      </c>
      <c r="AH298" s="387">
        <f t="shared" si="292"/>
        <v>0</v>
      </c>
      <c r="AI298" s="387"/>
      <c r="AJ298" s="387" t="e">
        <f>SUM(AJ292:AJ297)</f>
        <v>#REF!</v>
      </c>
      <c r="AK298" s="387" t="e">
        <f>SUM(AK292:AK297)</f>
        <v>#REF!</v>
      </c>
      <c r="AL298" s="387" t="e">
        <f>SUM(AL292:AL297)</f>
        <v>#REF!</v>
      </c>
      <c r="AM298" s="387" t="e">
        <f>SUM(AM292:AM297)</f>
        <v>#REF!</v>
      </c>
      <c r="AN298" s="387" t="e">
        <f>SUM(AN292:AN297)</f>
        <v>#REF!</v>
      </c>
      <c r="AO298" s="386" t="e">
        <f t="shared" si="290"/>
        <v>#REF!</v>
      </c>
      <c r="AP298" s="387" t="e">
        <f t="shared" ref="AP298:BA298" si="293">SUM(AP292:AP297)</f>
        <v>#REF!</v>
      </c>
      <c r="AQ298" s="387" t="e">
        <f t="shared" si="293"/>
        <v>#REF!</v>
      </c>
      <c r="AR298" s="387" t="e">
        <f t="shared" si="293"/>
        <v>#REF!</v>
      </c>
      <c r="AS298" s="387" t="e">
        <f t="shared" si="293"/>
        <v>#REF!</v>
      </c>
      <c r="AT298" s="387" t="e">
        <f t="shared" si="293"/>
        <v>#REF!</v>
      </c>
      <c r="AU298" s="387" t="e">
        <f t="shared" si="293"/>
        <v>#REF!</v>
      </c>
      <c r="AV298" s="387" t="e">
        <f t="shared" si="293"/>
        <v>#REF!</v>
      </c>
      <c r="AW298" s="387" t="e">
        <f t="shared" si="293"/>
        <v>#REF!</v>
      </c>
      <c r="AX298" s="387" t="e">
        <f t="shared" si="293"/>
        <v>#REF!</v>
      </c>
      <c r="AY298" s="387" t="e">
        <f t="shared" si="293"/>
        <v>#REF!</v>
      </c>
      <c r="AZ298" s="387" t="e">
        <f t="shared" si="293"/>
        <v>#REF!</v>
      </c>
      <c r="BA298" s="387" t="e">
        <f t="shared" si="293"/>
        <v>#REF!</v>
      </c>
      <c r="BB298" s="386" t="e">
        <f t="shared" si="291"/>
        <v>#REF!</v>
      </c>
      <c r="BC298" s="387"/>
    </row>
    <row r="299" spans="1:55" x14ac:dyDescent="0.3">
      <c r="A299" s="108"/>
      <c r="B299" s="142" t="s">
        <v>600</v>
      </c>
      <c r="C299" s="141"/>
      <c r="D299" s="140"/>
      <c r="E299" s="141"/>
      <c r="F299" s="140"/>
      <c r="G299" s="141"/>
      <c r="H299" s="140"/>
      <c r="I299" s="141"/>
      <c r="J299" s="140"/>
      <c r="K299" s="141"/>
      <c r="L299" s="140"/>
      <c r="M299" s="141"/>
      <c r="N299" s="140"/>
      <c r="O299" s="141"/>
      <c r="P299" s="140"/>
      <c r="Q299" s="141"/>
      <c r="R299" s="140"/>
      <c r="S299" s="141"/>
      <c r="T299" s="140"/>
      <c r="U299" s="141"/>
      <c r="V299" s="140"/>
      <c r="W299" s="141"/>
      <c r="X299" s="140"/>
      <c r="Y299" s="141"/>
      <c r="Z299" s="140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  <c r="AN299" s="108"/>
      <c r="AO299" s="139"/>
      <c r="AP299" s="108"/>
      <c r="AQ299" s="108"/>
      <c r="AR299" s="108"/>
      <c r="AS299" s="108"/>
      <c r="AT299" s="108"/>
      <c r="AU299" s="108"/>
      <c r="AV299" s="108"/>
      <c r="AW299" s="108"/>
      <c r="AX299" s="108"/>
      <c r="AY299" s="108"/>
      <c r="AZ299" s="108"/>
      <c r="BA299" s="108"/>
      <c r="BB299" s="139"/>
      <c r="BC299" s="108"/>
    </row>
    <row r="300" spans="1:55" x14ac:dyDescent="0.3">
      <c r="A300" s="125">
        <v>0</v>
      </c>
      <c r="B300" s="138" t="s">
        <v>601</v>
      </c>
      <c r="C300" s="116">
        <f>C298*$A$300</f>
        <v>0</v>
      </c>
      <c r="D300" s="115"/>
      <c r="E300" s="116">
        <f>E298*$A$300</f>
        <v>0</v>
      </c>
      <c r="F300" s="115"/>
      <c r="G300" s="116">
        <f>G298*$A$300</f>
        <v>0</v>
      </c>
      <c r="H300" s="115"/>
      <c r="I300" s="116">
        <f>I298*$A$300</f>
        <v>0</v>
      </c>
      <c r="J300" s="115"/>
      <c r="K300" s="116">
        <f>K298*$A$300</f>
        <v>0</v>
      </c>
      <c r="L300" s="115"/>
      <c r="M300" s="116">
        <f>M298*$A$300</f>
        <v>0</v>
      </c>
      <c r="N300" s="115"/>
      <c r="O300" s="116">
        <f>O298*$A$300</f>
        <v>0</v>
      </c>
      <c r="P300" s="115"/>
      <c r="Q300" s="116">
        <f>Q298*$A$300</f>
        <v>0</v>
      </c>
      <c r="R300" s="115"/>
      <c r="S300" s="116">
        <f>S298*$A$300</f>
        <v>0</v>
      </c>
      <c r="T300" s="115"/>
      <c r="U300" s="116">
        <f>U298*$A$300</f>
        <v>0</v>
      </c>
      <c r="V300" s="115"/>
      <c r="W300" s="116">
        <f>W298*$A$300</f>
        <v>0</v>
      </c>
      <c r="X300" s="115"/>
      <c r="Y300" s="116">
        <f>Y298*$A$300</f>
        <v>0</v>
      </c>
      <c r="Z300" s="115"/>
      <c r="AA300" s="93">
        <f t="shared" ref="AA300:AH300" si="294">AA298*$A$300</f>
        <v>0</v>
      </c>
      <c r="AB300" s="93">
        <f t="shared" si="294"/>
        <v>0</v>
      </c>
      <c r="AC300" s="93">
        <f t="shared" si="294"/>
        <v>0</v>
      </c>
      <c r="AD300" s="93">
        <f t="shared" si="294"/>
        <v>0</v>
      </c>
      <c r="AE300" s="93">
        <f t="shared" si="294"/>
        <v>0</v>
      </c>
      <c r="AF300" s="93">
        <f t="shared" si="294"/>
        <v>0</v>
      </c>
      <c r="AG300" s="93">
        <f t="shared" si="294"/>
        <v>0</v>
      </c>
      <c r="AH300" s="93">
        <f t="shared" si="294"/>
        <v>0</v>
      </c>
      <c r="AI300" s="93"/>
      <c r="AJ300" s="93" t="e">
        <f>AJ298*$A$300</f>
        <v>#REF!</v>
      </c>
      <c r="AK300" s="93" t="e">
        <f>AK298*$A$300</f>
        <v>#REF!</v>
      </c>
      <c r="AL300" s="93" t="e">
        <f>AL298*$A$300</f>
        <v>#REF!</v>
      </c>
      <c r="AM300" s="93" t="e">
        <f>AM298*$A$300</f>
        <v>#REF!</v>
      </c>
      <c r="AN300" s="93" t="e">
        <f>AN298*$A$300</f>
        <v>#REF!</v>
      </c>
      <c r="AO300" s="153" t="e">
        <f t="shared" ref="AO300:AO306" si="295">SUM(AB300:AN300)</f>
        <v>#REF!</v>
      </c>
      <c r="AP300" s="93" t="e">
        <f t="shared" ref="AP300:BA300" si="296">AP298*$A$300</f>
        <v>#REF!</v>
      </c>
      <c r="AQ300" s="93" t="e">
        <f t="shared" si="296"/>
        <v>#REF!</v>
      </c>
      <c r="AR300" s="93" t="e">
        <f t="shared" si="296"/>
        <v>#REF!</v>
      </c>
      <c r="AS300" s="93" t="e">
        <f t="shared" si="296"/>
        <v>#REF!</v>
      </c>
      <c r="AT300" s="93" t="e">
        <f t="shared" si="296"/>
        <v>#REF!</v>
      </c>
      <c r="AU300" s="93" t="e">
        <f t="shared" si="296"/>
        <v>#REF!</v>
      </c>
      <c r="AV300" s="93" t="e">
        <f t="shared" si="296"/>
        <v>#REF!</v>
      </c>
      <c r="AW300" s="93" t="e">
        <f t="shared" si="296"/>
        <v>#REF!</v>
      </c>
      <c r="AX300" s="93" t="e">
        <f t="shared" si="296"/>
        <v>#REF!</v>
      </c>
      <c r="AY300" s="93" t="e">
        <f t="shared" si="296"/>
        <v>#REF!</v>
      </c>
      <c r="AZ300" s="93" t="e">
        <f t="shared" si="296"/>
        <v>#REF!</v>
      </c>
      <c r="BA300" s="93" t="e">
        <f t="shared" si="296"/>
        <v>#REF!</v>
      </c>
      <c r="BB300" s="152" t="e">
        <f t="shared" ref="BB300:BB306" si="297">SUM(AP300:BA300)</f>
        <v>#REF!</v>
      </c>
      <c r="BC300" s="93"/>
    </row>
    <row r="301" spans="1:55" x14ac:dyDescent="0.3">
      <c r="A301" s="125">
        <v>0</v>
      </c>
      <c r="B301" s="138" t="s">
        <v>602</v>
      </c>
      <c r="C301" s="116">
        <f>C298*$A$301</f>
        <v>0</v>
      </c>
      <c r="D301" s="115"/>
      <c r="E301" s="116">
        <f>E298*$A$301</f>
        <v>0</v>
      </c>
      <c r="F301" s="115"/>
      <c r="G301" s="116">
        <f>G298*$A$301</f>
        <v>0</v>
      </c>
      <c r="H301" s="115"/>
      <c r="I301" s="116">
        <f>I298*$A$301</f>
        <v>0</v>
      </c>
      <c r="J301" s="115"/>
      <c r="K301" s="116">
        <f>K298*$A$301</f>
        <v>0</v>
      </c>
      <c r="L301" s="115"/>
      <c r="M301" s="116">
        <f>M298*$A$301</f>
        <v>0</v>
      </c>
      <c r="N301" s="115"/>
      <c r="O301" s="116">
        <f>O298*$A$301</f>
        <v>0</v>
      </c>
      <c r="P301" s="115"/>
      <c r="Q301" s="116">
        <f>Q298*$A$301</f>
        <v>0</v>
      </c>
      <c r="R301" s="115"/>
      <c r="S301" s="116">
        <f>S298*$A$301</f>
        <v>0</v>
      </c>
      <c r="T301" s="115"/>
      <c r="U301" s="116">
        <f>U298*$A$301</f>
        <v>0</v>
      </c>
      <c r="V301" s="115"/>
      <c r="W301" s="116">
        <f>W298*$A$301</f>
        <v>0</v>
      </c>
      <c r="X301" s="115"/>
      <c r="Y301" s="116">
        <f>Y298*$A$301</f>
        <v>0</v>
      </c>
      <c r="Z301" s="115"/>
      <c r="AA301" s="93">
        <f t="shared" ref="AA301:AH301" si="298">AA298*$A$301</f>
        <v>0</v>
      </c>
      <c r="AB301" s="93">
        <f t="shared" si="298"/>
        <v>0</v>
      </c>
      <c r="AC301" s="93">
        <f t="shared" si="298"/>
        <v>0</v>
      </c>
      <c r="AD301" s="93">
        <f t="shared" si="298"/>
        <v>0</v>
      </c>
      <c r="AE301" s="93">
        <f t="shared" si="298"/>
        <v>0</v>
      </c>
      <c r="AF301" s="93">
        <f t="shared" si="298"/>
        <v>0</v>
      </c>
      <c r="AG301" s="93">
        <f t="shared" si="298"/>
        <v>0</v>
      </c>
      <c r="AH301" s="93">
        <f t="shared" si="298"/>
        <v>0</v>
      </c>
      <c r="AI301" s="93"/>
      <c r="AJ301" s="93" t="e">
        <f>AJ298*$A$301</f>
        <v>#REF!</v>
      </c>
      <c r="AK301" s="93" t="e">
        <f>AK298*$A$301</f>
        <v>#REF!</v>
      </c>
      <c r="AL301" s="93" t="e">
        <f>AL298*$A$301</f>
        <v>#REF!</v>
      </c>
      <c r="AM301" s="93" t="e">
        <f>AM298*$A$301</f>
        <v>#REF!</v>
      </c>
      <c r="AN301" s="93" t="e">
        <f>AN298*$A$301</f>
        <v>#REF!</v>
      </c>
      <c r="AO301" s="153" t="e">
        <f t="shared" si="295"/>
        <v>#REF!</v>
      </c>
      <c r="AP301" s="93" t="e">
        <f t="shared" ref="AP301:BA301" si="299">AP298*$A$301</f>
        <v>#REF!</v>
      </c>
      <c r="AQ301" s="93" t="e">
        <f t="shared" si="299"/>
        <v>#REF!</v>
      </c>
      <c r="AR301" s="93" t="e">
        <f t="shared" si="299"/>
        <v>#REF!</v>
      </c>
      <c r="AS301" s="93" t="e">
        <f t="shared" si="299"/>
        <v>#REF!</v>
      </c>
      <c r="AT301" s="93" t="e">
        <f t="shared" si="299"/>
        <v>#REF!</v>
      </c>
      <c r="AU301" s="93" t="e">
        <f t="shared" si="299"/>
        <v>#REF!</v>
      </c>
      <c r="AV301" s="93" t="e">
        <f t="shared" si="299"/>
        <v>#REF!</v>
      </c>
      <c r="AW301" s="93" t="e">
        <f t="shared" si="299"/>
        <v>#REF!</v>
      </c>
      <c r="AX301" s="93" t="e">
        <f t="shared" si="299"/>
        <v>#REF!</v>
      </c>
      <c r="AY301" s="93" t="e">
        <f t="shared" si="299"/>
        <v>#REF!</v>
      </c>
      <c r="AZ301" s="93" t="e">
        <f t="shared" si="299"/>
        <v>#REF!</v>
      </c>
      <c r="BA301" s="93" t="e">
        <f t="shared" si="299"/>
        <v>#REF!</v>
      </c>
      <c r="BB301" s="152" t="e">
        <f t="shared" si="297"/>
        <v>#REF!</v>
      </c>
      <c r="BC301" s="93"/>
    </row>
    <row r="302" spans="1:55" x14ac:dyDescent="0.3">
      <c r="A302" s="125">
        <v>0</v>
      </c>
      <c r="B302" s="138" t="s">
        <v>603</v>
      </c>
      <c r="C302" s="116">
        <f>C298*$A$302</f>
        <v>0</v>
      </c>
      <c r="D302" s="115"/>
      <c r="E302" s="116">
        <f>E298*$A$302</f>
        <v>0</v>
      </c>
      <c r="F302" s="115"/>
      <c r="G302" s="116">
        <f>G298*$A$302</f>
        <v>0</v>
      </c>
      <c r="H302" s="115"/>
      <c r="I302" s="116">
        <f>I298*$A$302</f>
        <v>0</v>
      </c>
      <c r="J302" s="115"/>
      <c r="K302" s="116">
        <f>K298*$A$302</f>
        <v>0</v>
      </c>
      <c r="L302" s="115"/>
      <c r="M302" s="116">
        <f>M298*$A$302</f>
        <v>0</v>
      </c>
      <c r="N302" s="115"/>
      <c r="O302" s="116">
        <f>O298*$A$302</f>
        <v>0</v>
      </c>
      <c r="P302" s="115"/>
      <c r="Q302" s="116">
        <f>Q298*$A$302</f>
        <v>0</v>
      </c>
      <c r="R302" s="115"/>
      <c r="S302" s="116">
        <f>S298*$A$302</f>
        <v>0</v>
      </c>
      <c r="T302" s="115"/>
      <c r="U302" s="116">
        <f>U298*$A$302</f>
        <v>0</v>
      </c>
      <c r="V302" s="115"/>
      <c r="W302" s="116">
        <f>W298*$A$302</f>
        <v>0</v>
      </c>
      <c r="X302" s="115"/>
      <c r="Y302" s="116">
        <f>Y298*$A$302</f>
        <v>0</v>
      </c>
      <c r="Z302" s="115"/>
      <c r="AA302" s="93">
        <f t="shared" ref="AA302:AH302" si="300">AA298*$A$302</f>
        <v>0</v>
      </c>
      <c r="AB302" s="93">
        <f t="shared" si="300"/>
        <v>0</v>
      </c>
      <c r="AC302" s="93">
        <f t="shared" si="300"/>
        <v>0</v>
      </c>
      <c r="AD302" s="93">
        <f t="shared" si="300"/>
        <v>0</v>
      </c>
      <c r="AE302" s="93">
        <f t="shared" si="300"/>
        <v>0</v>
      </c>
      <c r="AF302" s="93">
        <f t="shared" si="300"/>
        <v>0</v>
      </c>
      <c r="AG302" s="93">
        <f t="shared" si="300"/>
        <v>0</v>
      </c>
      <c r="AH302" s="93">
        <f t="shared" si="300"/>
        <v>0</v>
      </c>
      <c r="AI302" s="93"/>
      <c r="AJ302" s="93" t="e">
        <f>AJ298*$A$302</f>
        <v>#REF!</v>
      </c>
      <c r="AK302" s="93" t="e">
        <f>AK298*$A$302</f>
        <v>#REF!</v>
      </c>
      <c r="AL302" s="93" t="e">
        <f>AL298*$A$302</f>
        <v>#REF!</v>
      </c>
      <c r="AM302" s="93" t="e">
        <f>AM298*$A$302</f>
        <v>#REF!</v>
      </c>
      <c r="AN302" s="93" t="e">
        <f>AN298*$A$302</f>
        <v>#REF!</v>
      </c>
      <c r="AO302" s="153" t="e">
        <f t="shared" si="295"/>
        <v>#REF!</v>
      </c>
      <c r="AP302" s="93" t="e">
        <f t="shared" ref="AP302:BA302" si="301">AP298*$A$302</f>
        <v>#REF!</v>
      </c>
      <c r="AQ302" s="93" t="e">
        <f t="shared" si="301"/>
        <v>#REF!</v>
      </c>
      <c r="AR302" s="93" t="e">
        <f t="shared" si="301"/>
        <v>#REF!</v>
      </c>
      <c r="AS302" s="93" t="e">
        <f t="shared" si="301"/>
        <v>#REF!</v>
      </c>
      <c r="AT302" s="93" t="e">
        <f t="shared" si="301"/>
        <v>#REF!</v>
      </c>
      <c r="AU302" s="93" t="e">
        <f t="shared" si="301"/>
        <v>#REF!</v>
      </c>
      <c r="AV302" s="93" t="e">
        <f t="shared" si="301"/>
        <v>#REF!</v>
      </c>
      <c r="AW302" s="93" t="e">
        <f t="shared" si="301"/>
        <v>#REF!</v>
      </c>
      <c r="AX302" s="93" t="e">
        <f t="shared" si="301"/>
        <v>#REF!</v>
      </c>
      <c r="AY302" s="93" t="e">
        <f t="shared" si="301"/>
        <v>#REF!</v>
      </c>
      <c r="AZ302" s="93" t="e">
        <f t="shared" si="301"/>
        <v>#REF!</v>
      </c>
      <c r="BA302" s="93" t="e">
        <f t="shared" si="301"/>
        <v>#REF!</v>
      </c>
      <c r="BB302" s="152" t="e">
        <f t="shared" si="297"/>
        <v>#REF!</v>
      </c>
      <c r="BC302" s="93"/>
    </row>
    <row r="303" spans="1:55" x14ac:dyDescent="0.3">
      <c r="A303" s="125">
        <v>0</v>
      </c>
      <c r="B303" s="138" t="s">
        <v>604</v>
      </c>
      <c r="C303" s="116">
        <f>C298*$A$303</f>
        <v>0</v>
      </c>
      <c r="D303" s="115"/>
      <c r="E303" s="116">
        <f>E298*$A$303</f>
        <v>0</v>
      </c>
      <c r="F303" s="115"/>
      <c r="G303" s="116">
        <f>G298*$A$303</f>
        <v>0</v>
      </c>
      <c r="H303" s="115"/>
      <c r="I303" s="116">
        <f>I298*$A$303</f>
        <v>0</v>
      </c>
      <c r="J303" s="115"/>
      <c r="K303" s="116">
        <f>K298*$A$303</f>
        <v>0</v>
      </c>
      <c r="L303" s="115"/>
      <c r="M303" s="116">
        <f>M298*$A$303</f>
        <v>0</v>
      </c>
      <c r="N303" s="115"/>
      <c r="O303" s="116">
        <f>O298*$A$303</f>
        <v>0</v>
      </c>
      <c r="P303" s="115"/>
      <c r="Q303" s="116">
        <f>Q298*$A$303</f>
        <v>0</v>
      </c>
      <c r="R303" s="115"/>
      <c r="S303" s="116">
        <f>S298*$A$303</f>
        <v>0</v>
      </c>
      <c r="T303" s="115"/>
      <c r="U303" s="116">
        <f>U298*$A$303</f>
        <v>0</v>
      </c>
      <c r="V303" s="115"/>
      <c r="W303" s="116">
        <f>W298*$A$303</f>
        <v>0</v>
      </c>
      <c r="X303" s="115"/>
      <c r="Y303" s="116">
        <f>Y298*$A$303</f>
        <v>0</v>
      </c>
      <c r="Z303" s="115"/>
      <c r="AA303" s="93">
        <f t="shared" ref="AA303:AH303" si="302">AA298*$A$303</f>
        <v>0</v>
      </c>
      <c r="AB303" s="93">
        <f t="shared" si="302"/>
        <v>0</v>
      </c>
      <c r="AC303" s="93">
        <f t="shared" si="302"/>
        <v>0</v>
      </c>
      <c r="AD303" s="93">
        <f t="shared" si="302"/>
        <v>0</v>
      </c>
      <c r="AE303" s="93">
        <f t="shared" si="302"/>
        <v>0</v>
      </c>
      <c r="AF303" s="93">
        <f t="shared" si="302"/>
        <v>0</v>
      </c>
      <c r="AG303" s="93">
        <f t="shared" si="302"/>
        <v>0</v>
      </c>
      <c r="AH303" s="93">
        <f t="shared" si="302"/>
        <v>0</v>
      </c>
      <c r="AI303" s="93"/>
      <c r="AJ303" s="93" t="e">
        <f>AJ298*$A$303</f>
        <v>#REF!</v>
      </c>
      <c r="AK303" s="93" t="e">
        <f>AK298*$A$303</f>
        <v>#REF!</v>
      </c>
      <c r="AL303" s="93" t="e">
        <f>AL298*$A$303</f>
        <v>#REF!</v>
      </c>
      <c r="AM303" s="93" t="e">
        <f>AM298*$A$303</f>
        <v>#REF!</v>
      </c>
      <c r="AN303" s="93" t="e">
        <f>AN298*$A$303</f>
        <v>#REF!</v>
      </c>
      <c r="AO303" s="153" t="e">
        <f t="shared" si="295"/>
        <v>#REF!</v>
      </c>
      <c r="AP303" s="93" t="e">
        <f t="shared" ref="AP303:BA303" si="303">AP298*$A$303</f>
        <v>#REF!</v>
      </c>
      <c r="AQ303" s="93" t="e">
        <f t="shared" si="303"/>
        <v>#REF!</v>
      </c>
      <c r="AR303" s="93" t="e">
        <f t="shared" si="303"/>
        <v>#REF!</v>
      </c>
      <c r="AS303" s="93" t="e">
        <f t="shared" si="303"/>
        <v>#REF!</v>
      </c>
      <c r="AT303" s="93" t="e">
        <f t="shared" si="303"/>
        <v>#REF!</v>
      </c>
      <c r="AU303" s="93" t="e">
        <f t="shared" si="303"/>
        <v>#REF!</v>
      </c>
      <c r="AV303" s="93" t="e">
        <f t="shared" si="303"/>
        <v>#REF!</v>
      </c>
      <c r="AW303" s="93" t="e">
        <f t="shared" si="303"/>
        <v>#REF!</v>
      </c>
      <c r="AX303" s="93" t="e">
        <f t="shared" si="303"/>
        <v>#REF!</v>
      </c>
      <c r="AY303" s="93" t="e">
        <f t="shared" si="303"/>
        <v>#REF!</v>
      </c>
      <c r="AZ303" s="93" t="e">
        <f t="shared" si="303"/>
        <v>#REF!</v>
      </c>
      <c r="BA303" s="93" t="e">
        <f t="shared" si="303"/>
        <v>#REF!</v>
      </c>
      <c r="BB303" s="152" t="e">
        <f t="shared" si="297"/>
        <v>#REF!</v>
      </c>
      <c r="BC303" s="93"/>
    </row>
    <row r="304" spans="1:55" x14ac:dyDescent="0.3">
      <c r="A304" s="125">
        <v>0</v>
      </c>
      <c r="B304" s="138" t="s">
        <v>605</v>
      </c>
      <c r="C304" s="116">
        <f>C298*$A$304</f>
        <v>0</v>
      </c>
      <c r="D304" s="115"/>
      <c r="E304" s="116">
        <f>E298*$A$304</f>
        <v>0</v>
      </c>
      <c r="F304" s="115"/>
      <c r="G304" s="116">
        <f>G298*$A$304</f>
        <v>0</v>
      </c>
      <c r="H304" s="115"/>
      <c r="I304" s="116">
        <f>I298*$A$304</f>
        <v>0</v>
      </c>
      <c r="J304" s="115"/>
      <c r="K304" s="116">
        <f>K298*$A$304</f>
        <v>0</v>
      </c>
      <c r="L304" s="115"/>
      <c r="M304" s="116">
        <f>M298*$A$304</f>
        <v>0</v>
      </c>
      <c r="N304" s="115"/>
      <c r="O304" s="116">
        <f>O298*$A$304</f>
        <v>0</v>
      </c>
      <c r="P304" s="115"/>
      <c r="Q304" s="116">
        <f>Q298*$A$304</f>
        <v>0</v>
      </c>
      <c r="R304" s="115"/>
      <c r="S304" s="116">
        <f>S298*$A$304</f>
        <v>0</v>
      </c>
      <c r="T304" s="115"/>
      <c r="U304" s="116">
        <f>U298*$A$304</f>
        <v>0</v>
      </c>
      <c r="V304" s="115"/>
      <c r="W304" s="116">
        <f>W298*$A$304</f>
        <v>0</v>
      </c>
      <c r="X304" s="115"/>
      <c r="Y304" s="116">
        <f>Y298*$A$304</f>
        <v>0</v>
      </c>
      <c r="Z304" s="115"/>
      <c r="AA304" s="93">
        <f t="shared" ref="AA304:AH304" si="304">AA298*$A$304</f>
        <v>0</v>
      </c>
      <c r="AB304" s="93">
        <f t="shared" si="304"/>
        <v>0</v>
      </c>
      <c r="AC304" s="93">
        <f t="shared" si="304"/>
        <v>0</v>
      </c>
      <c r="AD304" s="93">
        <f t="shared" si="304"/>
        <v>0</v>
      </c>
      <c r="AE304" s="93">
        <f t="shared" si="304"/>
        <v>0</v>
      </c>
      <c r="AF304" s="93">
        <f t="shared" si="304"/>
        <v>0</v>
      </c>
      <c r="AG304" s="93">
        <f t="shared" si="304"/>
        <v>0</v>
      </c>
      <c r="AH304" s="93">
        <f t="shared" si="304"/>
        <v>0</v>
      </c>
      <c r="AI304" s="93"/>
      <c r="AJ304" s="93" t="e">
        <f>AJ298*$A$304</f>
        <v>#REF!</v>
      </c>
      <c r="AK304" s="93" t="e">
        <f>AK298*$A$304</f>
        <v>#REF!</v>
      </c>
      <c r="AL304" s="93" t="e">
        <f>AL298*$A$304</f>
        <v>#REF!</v>
      </c>
      <c r="AM304" s="93" t="e">
        <f>AM298*$A$304</f>
        <v>#REF!</v>
      </c>
      <c r="AN304" s="93" t="e">
        <f>AN298*$A$304</f>
        <v>#REF!</v>
      </c>
      <c r="AO304" s="153" t="e">
        <f t="shared" si="295"/>
        <v>#REF!</v>
      </c>
      <c r="AP304" s="93" t="e">
        <f t="shared" ref="AP304:BA304" si="305">AP298*$A$304</f>
        <v>#REF!</v>
      </c>
      <c r="AQ304" s="93" t="e">
        <f t="shared" si="305"/>
        <v>#REF!</v>
      </c>
      <c r="AR304" s="93" t="e">
        <f t="shared" si="305"/>
        <v>#REF!</v>
      </c>
      <c r="AS304" s="93" t="e">
        <f t="shared" si="305"/>
        <v>#REF!</v>
      </c>
      <c r="AT304" s="93" t="e">
        <f t="shared" si="305"/>
        <v>#REF!</v>
      </c>
      <c r="AU304" s="93" t="e">
        <f t="shared" si="305"/>
        <v>#REF!</v>
      </c>
      <c r="AV304" s="93" t="e">
        <f t="shared" si="305"/>
        <v>#REF!</v>
      </c>
      <c r="AW304" s="93" t="e">
        <f t="shared" si="305"/>
        <v>#REF!</v>
      </c>
      <c r="AX304" s="93" t="e">
        <f t="shared" si="305"/>
        <v>#REF!</v>
      </c>
      <c r="AY304" s="93" t="e">
        <f t="shared" si="305"/>
        <v>#REF!</v>
      </c>
      <c r="AZ304" s="93" t="e">
        <f t="shared" si="305"/>
        <v>#REF!</v>
      </c>
      <c r="BA304" s="93" t="e">
        <f t="shared" si="305"/>
        <v>#REF!</v>
      </c>
      <c r="BB304" s="152" t="e">
        <f t="shared" si="297"/>
        <v>#REF!</v>
      </c>
      <c r="BC304" s="93"/>
    </row>
    <row r="305" spans="1:55" x14ac:dyDescent="0.3">
      <c r="A305" s="125">
        <v>0</v>
      </c>
      <c r="B305" s="138" t="s">
        <v>606</v>
      </c>
      <c r="C305" s="116">
        <f>C298*$A$305</f>
        <v>0</v>
      </c>
      <c r="D305" s="115"/>
      <c r="E305" s="116">
        <f>E298*$A$305</f>
        <v>0</v>
      </c>
      <c r="F305" s="115"/>
      <c r="G305" s="116">
        <f>G298*$A$305</f>
        <v>0</v>
      </c>
      <c r="H305" s="115"/>
      <c r="I305" s="116">
        <f>I298*$A$305</f>
        <v>0</v>
      </c>
      <c r="J305" s="115"/>
      <c r="K305" s="116">
        <f>K298*$A$305</f>
        <v>0</v>
      </c>
      <c r="L305" s="115"/>
      <c r="M305" s="116">
        <f>M298*$A$305</f>
        <v>0</v>
      </c>
      <c r="N305" s="115"/>
      <c r="O305" s="116">
        <f>O298*$A$305</f>
        <v>0</v>
      </c>
      <c r="P305" s="115"/>
      <c r="Q305" s="116">
        <f>Q298*$A$305</f>
        <v>0</v>
      </c>
      <c r="R305" s="115"/>
      <c r="S305" s="116">
        <f>S298*$A$305</f>
        <v>0</v>
      </c>
      <c r="T305" s="115"/>
      <c r="U305" s="116">
        <f>U298*$A$305</f>
        <v>0</v>
      </c>
      <c r="V305" s="115"/>
      <c r="W305" s="116">
        <f>W298*$A$305</f>
        <v>0</v>
      </c>
      <c r="X305" s="115"/>
      <c r="Y305" s="116">
        <f>Y298*$A$305</f>
        <v>0</v>
      </c>
      <c r="Z305" s="115"/>
      <c r="AA305" s="93">
        <f t="shared" ref="AA305:AH305" si="306">AA298*$A$305</f>
        <v>0</v>
      </c>
      <c r="AB305" s="93">
        <f t="shared" si="306"/>
        <v>0</v>
      </c>
      <c r="AC305" s="93">
        <f t="shared" si="306"/>
        <v>0</v>
      </c>
      <c r="AD305" s="93">
        <f t="shared" si="306"/>
        <v>0</v>
      </c>
      <c r="AE305" s="93">
        <f t="shared" si="306"/>
        <v>0</v>
      </c>
      <c r="AF305" s="93">
        <f t="shared" si="306"/>
        <v>0</v>
      </c>
      <c r="AG305" s="93">
        <f t="shared" si="306"/>
        <v>0</v>
      </c>
      <c r="AH305" s="93">
        <f t="shared" si="306"/>
        <v>0</v>
      </c>
      <c r="AI305" s="93"/>
      <c r="AJ305" s="93" t="e">
        <f>AJ298*$A$305</f>
        <v>#REF!</v>
      </c>
      <c r="AK305" s="93" t="e">
        <f>AK298*$A$305</f>
        <v>#REF!</v>
      </c>
      <c r="AL305" s="93" t="e">
        <f>AL298*$A$305</f>
        <v>#REF!</v>
      </c>
      <c r="AM305" s="93" t="e">
        <f>AM298*$A$305</f>
        <v>#REF!</v>
      </c>
      <c r="AN305" s="93" t="e">
        <f>AN298*$A$305</f>
        <v>#REF!</v>
      </c>
      <c r="AO305" s="153" t="e">
        <f t="shared" si="295"/>
        <v>#REF!</v>
      </c>
      <c r="AP305" s="93" t="e">
        <f t="shared" ref="AP305:BA305" si="307">AP298*$A$305</f>
        <v>#REF!</v>
      </c>
      <c r="AQ305" s="93" t="e">
        <f t="shared" si="307"/>
        <v>#REF!</v>
      </c>
      <c r="AR305" s="93" t="e">
        <f t="shared" si="307"/>
        <v>#REF!</v>
      </c>
      <c r="AS305" s="93" t="e">
        <f t="shared" si="307"/>
        <v>#REF!</v>
      </c>
      <c r="AT305" s="93" t="e">
        <f t="shared" si="307"/>
        <v>#REF!</v>
      </c>
      <c r="AU305" s="93" t="e">
        <f t="shared" si="307"/>
        <v>#REF!</v>
      </c>
      <c r="AV305" s="93" t="e">
        <f t="shared" si="307"/>
        <v>#REF!</v>
      </c>
      <c r="AW305" s="93" t="e">
        <f t="shared" si="307"/>
        <v>#REF!</v>
      </c>
      <c r="AX305" s="93" t="e">
        <f t="shared" si="307"/>
        <v>#REF!</v>
      </c>
      <c r="AY305" s="93" t="e">
        <f t="shared" si="307"/>
        <v>#REF!</v>
      </c>
      <c r="AZ305" s="93" t="e">
        <f t="shared" si="307"/>
        <v>#REF!</v>
      </c>
      <c r="BA305" s="93" t="e">
        <f t="shared" si="307"/>
        <v>#REF!</v>
      </c>
      <c r="BB305" s="152" t="e">
        <f t="shared" si="297"/>
        <v>#REF!</v>
      </c>
      <c r="BC305" s="93"/>
    </row>
    <row r="306" spans="1:55" x14ac:dyDescent="0.3">
      <c r="A306" s="125">
        <v>0</v>
      </c>
      <c r="B306" s="138" t="s">
        <v>607</v>
      </c>
      <c r="C306" s="116">
        <f>C298*$A$306</f>
        <v>0</v>
      </c>
      <c r="D306" s="115"/>
      <c r="E306" s="116">
        <f>E298*$A$306</f>
        <v>0</v>
      </c>
      <c r="F306" s="115"/>
      <c r="G306" s="116">
        <f>G298*$A$306</f>
        <v>0</v>
      </c>
      <c r="H306" s="115"/>
      <c r="I306" s="116">
        <f>I298*$A$306</f>
        <v>0</v>
      </c>
      <c r="J306" s="115"/>
      <c r="K306" s="116">
        <f>K298*$A$306</f>
        <v>0</v>
      </c>
      <c r="L306" s="115"/>
      <c r="M306" s="116">
        <f>M298*$A$306</f>
        <v>0</v>
      </c>
      <c r="N306" s="115"/>
      <c r="O306" s="116">
        <f>O298*$A$306</f>
        <v>0</v>
      </c>
      <c r="P306" s="115"/>
      <c r="Q306" s="116">
        <f>Q298*$A$306</f>
        <v>0</v>
      </c>
      <c r="R306" s="115"/>
      <c r="S306" s="116">
        <f>S298*$A$306</f>
        <v>0</v>
      </c>
      <c r="T306" s="115"/>
      <c r="U306" s="116">
        <f>U298*$A$306</f>
        <v>0</v>
      </c>
      <c r="V306" s="115"/>
      <c r="W306" s="116">
        <f>W298*$A$306</f>
        <v>0</v>
      </c>
      <c r="X306" s="115"/>
      <c r="Y306" s="116">
        <f>Y298*$A$306</f>
        <v>0</v>
      </c>
      <c r="Z306" s="115"/>
      <c r="AA306" s="93">
        <f t="shared" ref="AA306:AH306" si="308">AA298*$A$306</f>
        <v>0</v>
      </c>
      <c r="AB306" s="93">
        <f t="shared" si="308"/>
        <v>0</v>
      </c>
      <c r="AC306" s="93">
        <f t="shared" si="308"/>
        <v>0</v>
      </c>
      <c r="AD306" s="93">
        <f t="shared" si="308"/>
        <v>0</v>
      </c>
      <c r="AE306" s="93">
        <f t="shared" si="308"/>
        <v>0</v>
      </c>
      <c r="AF306" s="93">
        <f t="shared" si="308"/>
        <v>0</v>
      </c>
      <c r="AG306" s="93">
        <f t="shared" si="308"/>
        <v>0</v>
      </c>
      <c r="AH306" s="93">
        <f t="shared" si="308"/>
        <v>0</v>
      </c>
      <c r="AI306" s="93"/>
      <c r="AJ306" s="93" t="e">
        <f>AJ298*$A$306</f>
        <v>#REF!</v>
      </c>
      <c r="AK306" s="93" t="e">
        <f>AK298*$A$306</f>
        <v>#REF!</v>
      </c>
      <c r="AL306" s="93" t="e">
        <f>AL298*$A$306</f>
        <v>#REF!</v>
      </c>
      <c r="AM306" s="93" t="e">
        <f>AM298*$A$306</f>
        <v>#REF!</v>
      </c>
      <c r="AN306" s="93" t="e">
        <f>AN298*$A$306</f>
        <v>#REF!</v>
      </c>
      <c r="AO306" s="153" t="e">
        <f t="shared" si="295"/>
        <v>#REF!</v>
      </c>
      <c r="AP306" s="93" t="e">
        <f t="shared" ref="AP306:BA306" si="309">AP298*$A$306</f>
        <v>#REF!</v>
      </c>
      <c r="AQ306" s="93" t="e">
        <f t="shared" si="309"/>
        <v>#REF!</v>
      </c>
      <c r="AR306" s="93" t="e">
        <f t="shared" si="309"/>
        <v>#REF!</v>
      </c>
      <c r="AS306" s="93" t="e">
        <f t="shared" si="309"/>
        <v>#REF!</v>
      </c>
      <c r="AT306" s="93" t="e">
        <f t="shared" si="309"/>
        <v>#REF!</v>
      </c>
      <c r="AU306" s="93" t="e">
        <f t="shared" si="309"/>
        <v>#REF!</v>
      </c>
      <c r="AV306" s="93" t="e">
        <f t="shared" si="309"/>
        <v>#REF!</v>
      </c>
      <c r="AW306" s="93" t="e">
        <f t="shared" si="309"/>
        <v>#REF!</v>
      </c>
      <c r="AX306" s="93" t="e">
        <f t="shared" si="309"/>
        <v>#REF!</v>
      </c>
      <c r="AY306" s="93" t="e">
        <f t="shared" si="309"/>
        <v>#REF!</v>
      </c>
      <c r="AZ306" s="93" t="e">
        <f t="shared" si="309"/>
        <v>#REF!</v>
      </c>
      <c r="BA306" s="93" t="e">
        <f t="shared" si="309"/>
        <v>#REF!</v>
      </c>
      <c r="BB306" s="152" t="e">
        <f t="shared" si="297"/>
        <v>#REF!</v>
      </c>
      <c r="BC306" s="93"/>
    </row>
    <row r="307" spans="1:55" x14ac:dyDescent="0.3">
      <c r="A307" s="108"/>
      <c r="B307" s="137" t="s">
        <v>608</v>
      </c>
      <c r="C307" s="136"/>
      <c r="D307" s="135"/>
      <c r="E307" s="136"/>
      <c r="F307" s="135"/>
      <c r="G307" s="136"/>
      <c r="H307" s="135"/>
      <c r="I307" s="136"/>
      <c r="J307" s="135"/>
      <c r="K307" s="136"/>
      <c r="L307" s="135"/>
      <c r="M307" s="136"/>
      <c r="N307" s="135"/>
      <c r="O307" s="136"/>
      <c r="P307" s="135"/>
      <c r="Q307" s="136"/>
      <c r="R307" s="135"/>
      <c r="S307" s="136"/>
      <c r="T307" s="135"/>
      <c r="U307" s="136"/>
      <c r="V307" s="135"/>
      <c r="W307" s="136"/>
      <c r="X307" s="135"/>
      <c r="Y307" s="136"/>
      <c r="Z307" s="135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2"/>
      <c r="AP307" s="132"/>
      <c r="AQ307" s="132"/>
      <c r="AR307" s="132"/>
      <c r="AS307" s="132"/>
      <c r="AT307" s="132"/>
      <c r="AU307" s="132"/>
      <c r="AV307" s="132"/>
      <c r="AW307" s="132"/>
      <c r="AX307" s="132"/>
      <c r="AY307" s="132"/>
      <c r="AZ307" s="132"/>
      <c r="BA307" s="132"/>
      <c r="BB307" s="154"/>
      <c r="BC307" s="132"/>
    </row>
    <row r="308" spans="1:55" x14ac:dyDescent="0.3">
      <c r="A308" s="125">
        <v>0</v>
      </c>
      <c r="B308" s="131" t="s">
        <v>609</v>
      </c>
      <c r="C308" s="130">
        <f>C298*$A$308</f>
        <v>0</v>
      </c>
      <c r="D308" s="129"/>
      <c r="E308" s="130">
        <f>E298*$A$308</f>
        <v>0</v>
      </c>
      <c r="F308" s="129"/>
      <c r="G308" s="130">
        <f>G298*$A$308</f>
        <v>0</v>
      </c>
      <c r="H308" s="129"/>
      <c r="I308" s="130">
        <f>I298*$A$308</f>
        <v>0</v>
      </c>
      <c r="J308" s="129"/>
      <c r="K308" s="130">
        <f>K298*$A$308</f>
        <v>0</v>
      </c>
      <c r="L308" s="129"/>
      <c r="M308" s="130">
        <f>M298*$A$308</f>
        <v>0</v>
      </c>
      <c r="N308" s="129"/>
      <c r="O308" s="130">
        <f>O298*$A$308</f>
        <v>0</v>
      </c>
      <c r="P308" s="129"/>
      <c r="Q308" s="130">
        <f>Q298*$A$308</f>
        <v>0</v>
      </c>
      <c r="R308" s="129"/>
      <c r="S308" s="130">
        <f>S298*$A$308</f>
        <v>0</v>
      </c>
      <c r="T308" s="129"/>
      <c r="U308" s="130">
        <f>U298*$A$308</f>
        <v>0</v>
      </c>
      <c r="V308" s="129"/>
      <c r="W308" s="130">
        <f>W298*$A$308</f>
        <v>0</v>
      </c>
      <c r="X308" s="129"/>
      <c r="Y308" s="130">
        <f>Y298*$A$308</f>
        <v>0</v>
      </c>
      <c r="Z308" s="129"/>
      <c r="AA308" s="126">
        <f t="shared" ref="AA308:AH308" si="310">AA298*$A$308</f>
        <v>0</v>
      </c>
      <c r="AB308" s="126">
        <f t="shared" si="310"/>
        <v>0</v>
      </c>
      <c r="AC308" s="126">
        <f t="shared" si="310"/>
        <v>0</v>
      </c>
      <c r="AD308" s="126">
        <f t="shared" si="310"/>
        <v>0</v>
      </c>
      <c r="AE308" s="126">
        <f t="shared" si="310"/>
        <v>0</v>
      </c>
      <c r="AF308" s="126">
        <f t="shared" si="310"/>
        <v>0</v>
      </c>
      <c r="AG308" s="126">
        <f t="shared" si="310"/>
        <v>0</v>
      </c>
      <c r="AH308" s="126">
        <f t="shared" si="310"/>
        <v>0</v>
      </c>
      <c r="AI308" s="126"/>
      <c r="AJ308" s="126" t="e">
        <f>AJ298*$A$308</f>
        <v>#REF!</v>
      </c>
      <c r="AK308" s="126" t="e">
        <f>AK298*$A$308</f>
        <v>#REF!</v>
      </c>
      <c r="AL308" s="126" t="e">
        <f>AL298*$A$308</f>
        <v>#REF!</v>
      </c>
      <c r="AM308" s="126" t="e">
        <f>AM298*$A$308</f>
        <v>#REF!</v>
      </c>
      <c r="AN308" s="126" t="e">
        <f>AN298*$A$308</f>
        <v>#REF!</v>
      </c>
      <c r="AO308" s="153" t="e">
        <f>SUM(AB308:AN308)</f>
        <v>#REF!</v>
      </c>
      <c r="AP308" s="126" t="e">
        <f t="shared" ref="AP308:BA308" si="311">AP298*$A$308</f>
        <v>#REF!</v>
      </c>
      <c r="AQ308" s="126" t="e">
        <f t="shared" si="311"/>
        <v>#REF!</v>
      </c>
      <c r="AR308" s="126" t="e">
        <f t="shared" si="311"/>
        <v>#REF!</v>
      </c>
      <c r="AS308" s="126" t="e">
        <f t="shared" si="311"/>
        <v>#REF!</v>
      </c>
      <c r="AT308" s="126" t="e">
        <f t="shared" si="311"/>
        <v>#REF!</v>
      </c>
      <c r="AU308" s="126" t="e">
        <f t="shared" si="311"/>
        <v>#REF!</v>
      </c>
      <c r="AV308" s="126" t="e">
        <f t="shared" si="311"/>
        <v>#REF!</v>
      </c>
      <c r="AW308" s="126" t="e">
        <f t="shared" si="311"/>
        <v>#REF!</v>
      </c>
      <c r="AX308" s="126" t="e">
        <f t="shared" si="311"/>
        <v>#REF!</v>
      </c>
      <c r="AY308" s="126" t="e">
        <f t="shared" si="311"/>
        <v>#REF!</v>
      </c>
      <c r="AZ308" s="126" t="e">
        <f t="shared" si="311"/>
        <v>#REF!</v>
      </c>
      <c r="BA308" s="126" t="e">
        <f t="shared" si="311"/>
        <v>#REF!</v>
      </c>
      <c r="BB308" s="152" t="e">
        <f>SUM(AP308:BA308)</f>
        <v>#REF!</v>
      </c>
      <c r="BC308" s="126"/>
    </row>
    <row r="309" spans="1:55" x14ac:dyDescent="0.3">
      <c r="A309" s="125">
        <v>0.04</v>
      </c>
      <c r="B309" s="124" t="s">
        <v>610</v>
      </c>
      <c r="C309" s="112">
        <f>C298*$A$309</f>
        <v>0</v>
      </c>
      <c r="D309" s="111"/>
      <c r="E309" s="112">
        <f>E298*$A$309</f>
        <v>0</v>
      </c>
      <c r="F309" s="111"/>
      <c r="G309" s="112">
        <f>G298*$A$309</f>
        <v>0</v>
      </c>
      <c r="H309" s="111"/>
      <c r="I309" s="112">
        <f>I298*$A$309</f>
        <v>0</v>
      </c>
      <c r="J309" s="111"/>
      <c r="K309" s="112">
        <f>K298*$A$309</f>
        <v>0</v>
      </c>
      <c r="L309" s="111"/>
      <c r="M309" s="112">
        <f>M298*$A$309</f>
        <v>0</v>
      </c>
      <c r="N309" s="111"/>
      <c r="O309" s="112">
        <f>O298*$A$309</f>
        <v>0</v>
      </c>
      <c r="P309" s="111"/>
      <c r="Q309" s="112">
        <f>Q298*$A$309</f>
        <v>0</v>
      </c>
      <c r="R309" s="111"/>
      <c r="S309" s="112">
        <f>S298*$A$309</f>
        <v>0</v>
      </c>
      <c r="T309" s="111"/>
      <c r="U309" s="112">
        <f>U298*$A$309</f>
        <v>0</v>
      </c>
      <c r="V309" s="111"/>
      <c r="W309" s="112">
        <f>W298*$A$309</f>
        <v>0</v>
      </c>
      <c r="X309" s="111"/>
      <c r="Y309" s="112">
        <f>Y298*$A$309</f>
        <v>0</v>
      </c>
      <c r="Z309" s="111"/>
      <c r="AA309" s="109">
        <f t="shared" ref="AA309:AH309" si="312">AA298*$A$309</f>
        <v>0</v>
      </c>
      <c r="AB309" s="109">
        <f t="shared" si="312"/>
        <v>0</v>
      </c>
      <c r="AC309" s="109">
        <f t="shared" si="312"/>
        <v>0</v>
      </c>
      <c r="AD309" s="109">
        <f t="shared" si="312"/>
        <v>0</v>
      </c>
      <c r="AE309" s="109">
        <f t="shared" si="312"/>
        <v>0</v>
      </c>
      <c r="AF309" s="109">
        <f t="shared" si="312"/>
        <v>0</v>
      </c>
      <c r="AG309" s="109">
        <f t="shared" si="312"/>
        <v>0</v>
      </c>
      <c r="AH309" s="109">
        <f t="shared" si="312"/>
        <v>0</v>
      </c>
      <c r="AI309" s="109"/>
      <c r="AJ309" s="109" t="e">
        <f>AJ298*$A$309</f>
        <v>#REF!</v>
      </c>
      <c r="AK309" s="109" t="e">
        <f>AK298*$A$309</f>
        <v>#REF!</v>
      </c>
      <c r="AL309" s="109" t="e">
        <f>AL298*$A$309</f>
        <v>#REF!</v>
      </c>
      <c r="AM309" s="109" t="e">
        <f>AM298*$A$309</f>
        <v>#REF!</v>
      </c>
      <c r="AN309" s="109" t="e">
        <f>AN298*$A$309</f>
        <v>#REF!</v>
      </c>
      <c r="AO309" s="110" t="e">
        <f>SUM(AB309:AN309)</f>
        <v>#REF!</v>
      </c>
      <c r="AP309" s="109" t="e">
        <f t="shared" ref="AP309:BA309" si="313">AP298*$A$309</f>
        <v>#REF!</v>
      </c>
      <c r="AQ309" s="109" t="e">
        <f t="shared" si="313"/>
        <v>#REF!</v>
      </c>
      <c r="AR309" s="109" t="e">
        <f t="shared" si="313"/>
        <v>#REF!</v>
      </c>
      <c r="AS309" s="109" t="e">
        <f t="shared" si="313"/>
        <v>#REF!</v>
      </c>
      <c r="AT309" s="109" t="e">
        <f t="shared" si="313"/>
        <v>#REF!</v>
      </c>
      <c r="AU309" s="109" t="e">
        <f t="shared" si="313"/>
        <v>#REF!</v>
      </c>
      <c r="AV309" s="109" t="e">
        <f t="shared" si="313"/>
        <v>#REF!</v>
      </c>
      <c r="AW309" s="109" t="e">
        <f t="shared" si="313"/>
        <v>#REF!</v>
      </c>
      <c r="AX309" s="109" t="e">
        <f t="shared" si="313"/>
        <v>#REF!</v>
      </c>
      <c r="AY309" s="109" t="e">
        <f t="shared" si="313"/>
        <v>#REF!</v>
      </c>
      <c r="AZ309" s="109" t="e">
        <f t="shared" si="313"/>
        <v>#REF!</v>
      </c>
      <c r="BA309" s="109" t="e">
        <f t="shared" si="313"/>
        <v>#REF!</v>
      </c>
      <c r="BB309" s="110" t="e">
        <f>SUM(AP309:BA309)</f>
        <v>#REF!</v>
      </c>
      <c r="BC309" s="109"/>
    </row>
    <row r="310" spans="1:55" x14ac:dyDescent="0.3">
      <c r="B310" s="380" t="s">
        <v>611</v>
      </c>
      <c r="C310" s="123">
        <f>SUM(C308:C309)</f>
        <v>0</v>
      </c>
      <c r="D310" s="388"/>
      <c r="E310" s="123">
        <f>SUM(E308:E309)</f>
        <v>0</v>
      </c>
      <c r="F310" s="388"/>
      <c r="G310" s="123">
        <f>SUM(G308:G309)</f>
        <v>0</v>
      </c>
      <c r="H310" s="388"/>
      <c r="I310" s="123">
        <f>SUM(I308:I309)</f>
        <v>0</v>
      </c>
      <c r="J310" s="388"/>
      <c r="K310" s="123">
        <f>SUM(K308:K309)</f>
        <v>0</v>
      </c>
      <c r="L310" s="388"/>
      <c r="M310" s="123">
        <f>SUM(M308:M309)</f>
        <v>0</v>
      </c>
      <c r="N310" s="388"/>
      <c r="O310" s="123">
        <f>SUM(O308:O309)</f>
        <v>0</v>
      </c>
      <c r="P310" s="388"/>
      <c r="Q310" s="123">
        <f>SUM(Q308:Q309)</f>
        <v>0</v>
      </c>
      <c r="R310" s="388"/>
      <c r="S310" s="123">
        <f>SUM(S308:S309)</f>
        <v>0</v>
      </c>
      <c r="T310" s="388"/>
      <c r="U310" s="123">
        <f>SUM(U308:U309)</f>
        <v>0</v>
      </c>
      <c r="V310" s="388"/>
      <c r="W310" s="123">
        <f>SUM(W308:W309)</f>
        <v>0</v>
      </c>
      <c r="X310" s="388"/>
      <c r="Y310" s="123">
        <f>SUM(Y308:Y309)</f>
        <v>0</v>
      </c>
      <c r="Z310" s="388"/>
      <c r="AA310" s="389">
        <f t="shared" ref="AA310:AH310" si="314">SUM(AA308:AA309)</f>
        <v>0</v>
      </c>
      <c r="AB310" s="389">
        <f t="shared" si="314"/>
        <v>0</v>
      </c>
      <c r="AC310" s="389">
        <f t="shared" si="314"/>
        <v>0</v>
      </c>
      <c r="AD310" s="389">
        <f t="shared" si="314"/>
        <v>0</v>
      </c>
      <c r="AE310" s="389">
        <f t="shared" si="314"/>
        <v>0</v>
      </c>
      <c r="AF310" s="389">
        <f t="shared" si="314"/>
        <v>0</v>
      </c>
      <c r="AG310" s="389">
        <f t="shared" si="314"/>
        <v>0</v>
      </c>
      <c r="AH310" s="389">
        <f t="shared" si="314"/>
        <v>0</v>
      </c>
      <c r="AI310" s="389"/>
      <c r="AJ310" s="389" t="e">
        <f>SUM(AJ308:AJ309)</f>
        <v>#REF!</v>
      </c>
      <c r="AK310" s="389" t="e">
        <f>SUM(AK308:AK309)</f>
        <v>#REF!</v>
      </c>
      <c r="AL310" s="389" t="e">
        <f>SUM(AL308:AL309)</f>
        <v>#REF!</v>
      </c>
      <c r="AM310" s="389" t="e">
        <f>SUM(AM308:AM309)</f>
        <v>#REF!</v>
      </c>
      <c r="AN310" s="389" t="e">
        <f>SUM(AN308:AN309)</f>
        <v>#REF!</v>
      </c>
      <c r="AO310" s="390" t="e">
        <f>SUM(AB310:AN310)</f>
        <v>#REF!</v>
      </c>
      <c r="AP310" s="389" t="e">
        <f t="shared" ref="AP310:BA310" si="315">SUM(AP308:AP309)</f>
        <v>#REF!</v>
      </c>
      <c r="AQ310" s="389" t="e">
        <f t="shared" si="315"/>
        <v>#REF!</v>
      </c>
      <c r="AR310" s="389" t="e">
        <f t="shared" si="315"/>
        <v>#REF!</v>
      </c>
      <c r="AS310" s="389" t="e">
        <f t="shared" si="315"/>
        <v>#REF!</v>
      </c>
      <c r="AT310" s="389" t="e">
        <f t="shared" si="315"/>
        <v>#REF!</v>
      </c>
      <c r="AU310" s="389" t="e">
        <f t="shared" si="315"/>
        <v>#REF!</v>
      </c>
      <c r="AV310" s="389" t="e">
        <f t="shared" si="315"/>
        <v>#REF!</v>
      </c>
      <c r="AW310" s="389" t="e">
        <f t="shared" si="315"/>
        <v>#REF!</v>
      </c>
      <c r="AX310" s="389" t="e">
        <f t="shared" si="315"/>
        <v>#REF!</v>
      </c>
      <c r="AY310" s="389" t="e">
        <f t="shared" si="315"/>
        <v>#REF!</v>
      </c>
      <c r="AZ310" s="389" t="e">
        <f t="shared" si="315"/>
        <v>#REF!</v>
      </c>
      <c r="BA310" s="389" t="e">
        <f t="shared" si="315"/>
        <v>#REF!</v>
      </c>
      <c r="BB310" s="390" t="e">
        <f>SUM(AP310:BA310)</f>
        <v>#REF!</v>
      </c>
      <c r="BC310" s="389"/>
    </row>
    <row r="311" spans="1:55" x14ac:dyDescent="0.3">
      <c r="C311" s="83"/>
      <c r="D311" s="82"/>
      <c r="E311" s="83"/>
      <c r="F311" s="82"/>
      <c r="G311" s="83"/>
      <c r="H311" s="82"/>
      <c r="I311" s="83"/>
      <c r="J311" s="82"/>
      <c r="K311" s="83"/>
      <c r="L311" s="82"/>
      <c r="M311" s="83"/>
      <c r="N311" s="82"/>
      <c r="O311" s="83"/>
      <c r="P311" s="82"/>
      <c r="Q311" s="83"/>
      <c r="R311" s="82"/>
      <c r="S311" s="83"/>
      <c r="T311" s="82"/>
      <c r="U311" s="83"/>
      <c r="V311" s="82"/>
      <c r="W311" s="83"/>
      <c r="X311" s="82"/>
      <c r="Y311" s="83"/>
      <c r="Z311" s="82"/>
    </row>
    <row r="312" spans="1:55" ht="18.600000000000001" thickBot="1" x14ac:dyDescent="0.4">
      <c r="C312" s="151" t="s">
        <v>626</v>
      </c>
      <c r="D312" s="150"/>
      <c r="E312" s="151"/>
      <c r="F312" s="150"/>
      <c r="G312" s="151"/>
      <c r="H312" s="150"/>
      <c r="I312" s="151"/>
      <c r="J312" s="150"/>
      <c r="K312" s="83"/>
      <c r="L312" s="82"/>
      <c r="M312" s="83"/>
      <c r="N312" s="82"/>
      <c r="O312" s="83"/>
      <c r="P312" s="82"/>
      <c r="Q312" s="83"/>
      <c r="R312" s="82"/>
      <c r="S312" s="83"/>
      <c r="T312" s="82"/>
      <c r="U312" s="83"/>
      <c r="V312" s="82"/>
      <c r="W312" s="83"/>
      <c r="X312" s="82"/>
      <c r="Y312" s="83"/>
      <c r="Z312" s="82"/>
    </row>
    <row r="313" spans="1:55" ht="15" thickTop="1" x14ac:dyDescent="0.3">
      <c r="B313" s="381"/>
      <c r="C313" s="149">
        <v>45292</v>
      </c>
      <c r="D313" s="148">
        <v>45292</v>
      </c>
      <c r="E313" s="149">
        <v>45323</v>
      </c>
      <c r="F313" s="148">
        <v>45323</v>
      </c>
      <c r="G313" s="149">
        <v>45352</v>
      </c>
      <c r="H313" s="148">
        <v>45352</v>
      </c>
      <c r="I313" s="149">
        <v>45383</v>
      </c>
      <c r="J313" s="148">
        <v>45383</v>
      </c>
      <c r="K313" s="149">
        <v>45413</v>
      </c>
      <c r="L313" s="148">
        <v>45413</v>
      </c>
      <c r="M313" s="149">
        <v>45444</v>
      </c>
      <c r="N313" s="148">
        <v>45444</v>
      </c>
      <c r="O313" s="149">
        <v>45474</v>
      </c>
      <c r="P313" s="148">
        <v>45474</v>
      </c>
      <c r="Q313" s="149">
        <v>45505</v>
      </c>
      <c r="R313" s="148">
        <v>45505</v>
      </c>
      <c r="S313" s="149">
        <v>45536</v>
      </c>
      <c r="T313" s="148">
        <v>45536</v>
      </c>
      <c r="U313" s="149">
        <v>45566</v>
      </c>
      <c r="V313" s="148">
        <v>45566</v>
      </c>
      <c r="W313" s="149">
        <v>45597</v>
      </c>
      <c r="X313" s="148">
        <v>45597</v>
      </c>
      <c r="Y313" s="149">
        <v>45627</v>
      </c>
      <c r="Z313" s="148">
        <v>45627</v>
      </c>
      <c r="AA313" s="382">
        <f t="shared" ref="AA313:AH313" si="316">AA291</f>
        <v>44927</v>
      </c>
      <c r="AB313" s="382">
        <f t="shared" si="316"/>
        <v>44958</v>
      </c>
      <c r="AC313" s="382">
        <f t="shared" si="316"/>
        <v>44986</v>
      </c>
      <c r="AD313" s="382">
        <f t="shared" si="316"/>
        <v>45017</v>
      </c>
      <c r="AE313" s="382">
        <f t="shared" si="316"/>
        <v>45047</v>
      </c>
      <c r="AF313" s="382">
        <f t="shared" si="316"/>
        <v>45078</v>
      </c>
      <c r="AG313" s="382">
        <f t="shared" si="316"/>
        <v>45108</v>
      </c>
      <c r="AH313" s="382">
        <f t="shared" si="316"/>
        <v>45139</v>
      </c>
      <c r="AI313" s="381"/>
      <c r="AJ313" s="381" t="s">
        <v>579</v>
      </c>
      <c r="AK313" s="381" t="s">
        <v>580</v>
      </c>
      <c r="AL313" s="381" t="s">
        <v>581</v>
      </c>
      <c r="AM313" s="381" t="s">
        <v>582</v>
      </c>
      <c r="AN313" s="381" t="s">
        <v>583</v>
      </c>
      <c r="AO313" s="383" t="s">
        <v>584</v>
      </c>
      <c r="AP313" s="381" t="s">
        <v>585</v>
      </c>
      <c r="AQ313" s="381" t="s">
        <v>586</v>
      </c>
      <c r="AR313" s="381" t="s">
        <v>587</v>
      </c>
      <c r="AS313" s="381" t="s">
        <v>588</v>
      </c>
      <c r="AT313" s="381" t="s">
        <v>589</v>
      </c>
      <c r="AU313" s="381" t="s">
        <v>590</v>
      </c>
      <c r="AV313" s="381" t="s">
        <v>591</v>
      </c>
      <c r="AW313" s="381" t="s">
        <v>592</v>
      </c>
      <c r="AX313" s="381" t="s">
        <v>593</v>
      </c>
      <c r="AY313" s="381" t="s">
        <v>594</v>
      </c>
      <c r="AZ313" s="381" t="s">
        <v>595</v>
      </c>
      <c r="BA313" s="381" t="s">
        <v>596</v>
      </c>
      <c r="BB313" s="383" t="s">
        <v>597</v>
      </c>
      <c r="BC313" s="382"/>
    </row>
    <row r="314" spans="1:55" x14ac:dyDescent="0.3">
      <c r="B314" s="113" t="str">
        <f t="shared" ref="B314:B319" si="317">B292</f>
        <v>Salvadorcard/SSA</v>
      </c>
      <c r="C314" s="146">
        <v>0</v>
      </c>
      <c r="D314" s="145"/>
      <c r="E314" s="146">
        <v>0</v>
      </c>
      <c r="F314" s="145"/>
      <c r="G314" s="146">
        <v>0</v>
      </c>
      <c r="H314" s="145"/>
      <c r="I314" s="146">
        <v>0</v>
      </c>
      <c r="J314" s="145"/>
      <c r="K314" s="146">
        <v>0</v>
      </c>
      <c r="L314" s="145"/>
      <c r="M314" s="146">
        <v>0</v>
      </c>
      <c r="N314" s="145"/>
      <c r="O314" s="146">
        <v>0</v>
      </c>
      <c r="P314" s="145"/>
      <c r="Q314" s="146">
        <v>0</v>
      </c>
      <c r="R314" s="145"/>
      <c r="S314" s="146">
        <v>0</v>
      </c>
      <c r="T314" s="145"/>
      <c r="U314" s="146">
        <v>0</v>
      </c>
      <c r="V314" s="145"/>
      <c r="W314" s="146">
        <v>0</v>
      </c>
      <c r="X314" s="145"/>
      <c r="Y314" s="146">
        <v>0</v>
      </c>
      <c r="Z314" s="145"/>
      <c r="AA314" s="144">
        <v>0</v>
      </c>
      <c r="AB314" s="144">
        <v>0</v>
      </c>
      <c r="AC314" s="144">
        <v>0</v>
      </c>
      <c r="AD314" s="144">
        <v>0</v>
      </c>
      <c r="AE314" s="144">
        <v>0</v>
      </c>
      <c r="AF314" s="144">
        <v>0</v>
      </c>
      <c r="AG314" s="144">
        <v>0</v>
      </c>
      <c r="AH314" s="144">
        <v>0</v>
      </c>
      <c r="AI314" s="144"/>
      <c r="AJ314" s="144">
        <v>0</v>
      </c>
      <c r="AK314" s="144">
        <v>0</v>
      </c>
      <c r="AL314" s="144">
        <v>0</v>
      </c>
      <c r="AM314" s="144">
        <v>0</v>
      </c>
      <c r="AN314" s="144">
        <v>0</v>
      </c>
      <c r="AO314" s="391">
        <f t="shared" ref="AO314:AO320" si="318">SUM(AB314:AN314)</f>
        <v>0</v>
      </c>
      <c r="AP314" s="144">
        <v>0</v>
      </c>
      <c r="AQ314" s="144">
        <v>0</v>
      </c>
      <c r="AR314" s="144">
        <v>0</v>
      </c>
      <c r="AS314" s="144">
        <v>0</v>
      </c>
      <c r="AT314" s="144">
        <v>0</v>
      </c>
      <c r="AU314" s="144">
        <v>0</v>
      </c>
      <c r="AV314" s="144">
        <v>0</v>
      </c>
      <c r="AW314" s="144">
        <v>0</v>
      </c>
      <c r="AX314" s="144">
        <v>0</v>
      </c>
      <c r="AY314" s="144">
        <v>0</v>
      </c>
      <c r="AZ314" s="144">
        <v>0</v>
      </c>
      <c r="BA314" s="144">
        <v>0</v>
      </c>
      <c r="BB314" s="391">
        <f t="shared" ref="BB314:BB320" si="319">SUM(AP314:BA314)</f>
        <v>0</v>
      </c>
      <c r="BC314" s="144"/>
    </row>
    <row r="315" spans="1:55" x14ac:dyDescent="0.3">
      <c r="B315" s="91" t="str">
        <f t="shared" si="317"/>
        <v>Metropasse/SSA</v>
      </c>
      <c r="C315" s="90">
        <v>0</v>
      </c>
      <c r="D315" s="89"/>
      <c r="E315" s="90">
        <v>0</v>
      </c>
      <c r="F315" s="89"/>
      <c r="G315" s="90">
        <v>0</v>
      </c>
      <c r="H315" s="89"/>
      <c r="I315" s="90">
        <v>0</v>
      </c>
      <c r="J315" s="89"/>
      <c r="K315" s="90">
        <v>0</v>
      </c>
      <c r="L315" s="89"/>
      <c r="M315" s="90">
        <v>0</v>
      </c>
      <c r="N315" s="89"/>
      <c r="O315" s="90">
        <v>0</v>
      </c>
      <c r="P315" s="89"/>
      <c r="Q315" s="90">
        <v>0</v>
      </c>
      <c r="R315" s="89"/>
      <c r="S315" s="90">
        <v>0</v>
      </c>
      <c r="T315" s="89"/>
      <c r="U315" s="90">
        <v>0</v>
      </c>
      <c r="V315" s="89"/>
      <c r="W315" s="90">
        <v>0</v>
      </c>
      <c r="X315" s="89"/>
      <c r="Y315" s="90">
        <v>0</v>
      </c>
      <c r="Z315" s="89"/>
      <c r="AA315" s="96">
        <v>0</v>
      </c>
      <c r="AB315" s="96">
        <v>0</v>
      </c>
      <c r="AC315" s="96">
        <v>0</v>
      </c>
      <c r="AD315" s="96">
        <v>0</v>
      </c>
      <c r="AE315" s="96">
        <v>0</v>
      </c>
      <c r="AF315" s="96">
        <v>0</v>
      </c>
      <c r="AG315" s="96">
        <v>0</v>
      </c>
      <c r="AH315" s="96">
        <v>0</v>
      </c>
      <c r="AI315" s="96"/>
      <c r="AJ315" s="96">
        <v>0</v>
      </c>
      <c r="AK315" s="96">
        <v>0</v>
      </c>
      <c r="AL315" s="96">
        <v>0</v>
      </c>
      <c r="AM315" s="96">
        <v>0</v>
      </c>
      <c r="AN315" s="96">
        <v>0</v>
      </c>
      <c r="AO315" s="147">
        <f t="shared" si="318"/>
        <v>0</v>
      </c>
      <c r="AP315" s="96">
        <v>0</v>
      </c>
      <c r="AQ315" s="96">
        <v>0</v>
      </c>
      <c r="AR315" s="96">
        <v>0</v>
      </c>
      <c r="AS315" s="96">
        <v>0</v>
      </c>
      <c r="AT315" s="96">
        <v>0</v>
      </c>
      <c r="AU315" s="96">
        <v>0</v>
      </c>
      <c r="AV315" s="96">
        <v>0</v>
      </c>
      <c r="AW315" s="96">
        <v>0</v>
      </c>
      <c r="AX315" s="96">
        <v>0</v>
      </c>
      <c r="AY315" s="96">
        <v>0</v>
      </c>
      <c r="AZ315" s="96">
        <v>0</v>
      </c>
      <c r="BA315" s="96">
        <v>0</v>
      </c>
      <c r="BB315" s="147">
        <f t="shared" si="319"/>
        <v>0</v>
      </c>
      <c r="BC315" s="96"/>
    </row>
    <row r="316" spans="1:55" x14ac:dyDescent="0.3">
      <c r="B316" s="91" t="str">
        <f t="shared" si="317"/>
        <v>GVBus/VIX</v>
      </c>
      <c r="C316" s="90">
        <v>0</v>
      </c>
      <c r="D316" s="89"/>
      <c r="E316" s="90">
        <v>0</v>
      </c>
      <c r="F316" s="89"/>
      <c r="G316" s="90">
        <v>0</v>
      </c>
      <c r="H316" s="89"/>
      <c r="I316" s="90">
        <v>0</v>
      </c>
      <c r="J316" s="89"/>
      <c r="K316" s="90">
        <v>0</v>
      </c>
      <c r="L316" s="89"/>
      <c r="M316" s="90">
        <v>0</v>
      </c>
      <c r="N316" s="89"/>
      <c r="O316" s="90">
        <v>0</v>
      </c>
      <c r="P316" s="89"/>
      <c r="Q316" s="90">
        <v>0</v>
      </c>
      <c r="R316" s="89"/>
      <c r="S316" s="90">
        <v>0</v>
      </c>
      <c r="T316" s="89"/>
      <c r="U316" s="90">
        <v>0</v>
      </c>
      <c r="V316" s="89"/>
      <c r="W316" s="90">
        <v>0</v>
      </c>
      <c r="X316" s="89"/>
      <c r="Y316" s="90">
        <v>0</v>
      </c>
      <c r="Z316" s="89"/>
      <c r="AA316" s="96">
        <v>0</v>
      </c>
      <c r="AB316" s="96">
        <v>0</v>
      </c>
      <c r="AC316" s="96">
        <v>0</v>
      </c>
      <c r="AD316" s="96">
        <v>0</v>
      </c>
      <c r="AE316" s="96">
        <v>0</v>
      </c>
      <c r="AF316" s="96">
        <v>0</v>
      </c>
      <c r="AG316" s="96">
        <v>0</v>
      </c>
      <c r="AH316" s="96">
        <v>0</v>
      </c>
      <c r="AI316" s="96"/>
      <c r="AJ316" s="96">
        <v>0</v>
      </c>
      <c r="AK316" s="96">
        <v>0</v>
      </c>
      <c r="AL316" s="96">
        <v>0</v>
      </c>
      <c r="AM316" s="96">
        <v>0</v>
      </c>
      <c r="AN316" s="96">
        <v>0</v>
      </c>
      <c r="AO316" s="147">
        <f t="shared" si="318"/>
        <v>0</v>
      </c>
      <c r="AP316" s="96">
        <v>0</v>
      </c>
      <c r="AQ316" s="96">
        <v>0</v>
      </c>
      <c r="AR316" s="96">
        <v>0</v>
      </c>
      <c r="AS316" s="96">
        <v>0</v>
      </c>
      <c r="AT316" s="96">
        <v>0</v>
      </c>
      <c r="AU316" s="96">
        <v>0</v>
      </c>
      <c r="AV316" s="96">
        <v>0</v>
      </c>
      <c r="AW316" s="96">
        <v>0</v>
      </c>
      <c r="AX316" s="96">
        <v>0</v>
      </c>
      <c r="AY316" s="96">
        <v>0</v>
      </c>
      <c r="AZ316" s="96">
        <v>0</v>
      </c>
      <c r="BA316" s="96">
        <v>0</v>
      </c>
      <c r="BB316" s="147">
        <f t="shared" si="319"/>
        <v>0</v>
      </c>
      <c r="BC316" s="96"/>
    </row>
    <row r="317" spans="1:55" x14ac:dyDescent="0.3">
      <c r="B317" s="91" t="str">
        <f t="shared" si="317"/>
        <v>Teu/POA</v>
      </c>
      <c r="C317" s="90">
        <v>0</v>
      </c>
      <c r="D317" s="89"/>
      <c r="E317" s="90">
        <v>0</v>
      </c>
      <c r="F317" s="89"/>
      <c r="G317" s="90">
        <v>0</v>
      </c>
      <c r="H317" s="89"/>
      <c r="I317" s="90">
        <v>0</v>
      </c>
      <c r="J317" s="89"/>
      <c r="K317" s="90">
        <v>0</v>
      </c>
      <c r="L317" s="89"/>
      <c r="M317" s="90">
        <v>0</v>
      </c>
      <c r="N317" s="89"/>
      <c r="O317" s="90">
        <v>0</v>
      </c>
      <c r="P317" s="89"/>
      <c r="Q317" s="90">
        <v>0</v>
      </c>
      <c r="R317" s="89"/>
      <c r="S317" s="90">
        <v>0</v>
      </c>
      <c r="T317" s="89"/>
      <c r="U317" s="90">
        <v>0</v>
      </c>
      <c r="V317" s="89"/>
      <c r="W317" s="90">
        <v>0</v>
      </c>
      <c r="X317" s="89"/>
      <c r="Y317" s="90">
        <v>0</v>
      </c>
      <c r="Z317" s="89"/>
      <c r="AA317" s="96">
        <v>0</v>
      </c>
      <c r="AB317" s="96">
        <v>0</v>
      </c>
      <c r="AC317" s="96">
        <v>0</v>
      </c>
      <c r="AD317" s="96">
        <v>0</v>
      </c>
      <c r="AE317" s="96">
        <v>0</v>
      </c>
      <c r="AF317" s="96">
        <v>0</v>
      </c>
      <c r="AG317" s="96">
        <v>0</v>
      </c>
      <c r="AH317" s="96">
        <v>0</v>
      </c>
      <c r="AI317" s="96"/>
      <c r="AJ317" s="96">
        <v>0</v>
      </c>
      <c r="AK317" s="96">
        <v>0</v>
      </c>
      <c r="AL317" s="96">
        <v>0</v>
      </c>
      <c r="AM317" s="96">
        <v>0</v>
      </c>
      <c r="AN317" s="96">
        <v>0</v>
      </c>
      <c r="AO317" s="147">
        <f t="shared" si="318"/>
        <v>0</v>
      </c>
      <c r="AP317" s="96">
        <v>0</v>
      </c>
      <c r="AQ317" s="96">
        <v>0</v>
      </c>
      <c r="AR317" s="96">
        <v>0</v>
      </c>
      <c r="AS317" s="96">
        <v>0</v>
      </c>
      <c r="AT317" s="96">
        <v>0</v>
      </c>
      <c r="AU317" s="96">
        <v>0</v>
      </c>
      <c r="AV317" s="96">
        <v>0</v>
      </c>
      <c r="AW317" s="96">
        <v>0</v>
      </c>
      <c r="AX317" s="96">
        <v>0</v>
      </c>
      <c r="AY317" s="96">
        <v>0</v>
      </c>
      <c r="AZ317" s="96">
        <v>0</v>
      </c>
      <c r="BA317" s="96">
        <v>0</v>
      </c>
      <c r="BB317" s="147">
        <f t="shared" si="319"/>
        <v>0</v>
      </c>
      <c r="BC317" s="96"/>
    </row>
    <row r="318" spans="1:55" x14ac:dyDescent="0.3">
      <c r="B318" s="91" t="str">
        <f t="shared" si="317"/>
        <v>Transfácil/BHZ</v>
      </c>
      <c r="C318" s="90">
        <v>0</v>
      </c>
      <c r="D318" s="89"/>
      <c r="E318" s="90">
        <v>0</v>
      </c>
      <c r="F318" s="89"/>
      <c r="G318" s="90">
        <v>0</v>
      </c>
      <c r="H318" s="89"/>
      <c r="I318" s="90">
        <v>0</v>
      </c>
      <c r="J318" s="89"/>
      <c r="K318" s="90">
        <v>0</v>
      </c>
      <c r="L318" s="89"/>
      <c r="M318" s="90">
        <v>0</v>
      </c>
      <c r="N318" s="89"/>
      <c r="O318" s="90">
        <v>0</v>
      </c>
      <c r="P318" s="89"/>
      <c r="Q318" s="90">
        <v>0</v>
      </c>
      <c r="R318" s="89"/>
      <c r="S318" s="90">
        <v>0</v>
      </c>
      <c r="T318" s="89"/>
      <c r="U318" s="90">
        <v>0</v>
      </c>
      <c r="V318" s="89"/>
      <c r="W318" s="90">
        <v>0</v>
      </c>
      <c r="X318" s="89"/>
      <c r="Y318" s="90">
        <v>0</v>
      </c>
      <c r="Z318" s="89"/>
      <c r="AA318" s="96">
        <v>0</v>
      </c>
      <c r="AB318" s="96">
        <v>0</v>
      </c>
      <c r="AC318" s="96">
        <v>0</v>
      </c>
      <c r="AD318" s="96">
        <v>0</v>
      </c>
      <c r="AE318" s="96">
        <v>0</v>
      </c>
      <c r="AF318" s="96">
        <v>0</v>
      </c>
      <c r="AG318" s="96">
        <v>0</v>
      </c>
      <c r="AH318" s="96">
        <v>0</v>
      </c>
      <c r="AI318" s="96"/>
      <c r="AJ318" s="96">
        <v>0</v>
      </c>
      <c r="AK318" s="96">
        <v>0</v>
      </c>
      <c r="AL318" s="96">
        <v>0</v>
      </c>
      <c r="AM318" s="96">
        <v>0</v>
      </c>
      <c r="AN318" s="96">
        <v>0</v>
      </c>
      <c r="AO318" s="147">
        <f t="shared" si="318"/>
        <v>0</v>
      </c>
      <c r="AP318" s="96">
        <v>0</v>
      </c>
      <c r="AQ318" s="96">
        <v>0</v>
      </c>
      <c r="AR318" s="96">
        <v>0</v>
      </c>
      <c r="AS318" s="96">
        <v>0</v>
      </c>
      <c r="AT318" s="96">
        <v>0</v>
      </c>
      <c r="AU318" s="96">
        <v>0</v>
      </c>
      <c r="AV318" s="96">
        <v>0</v>
      </c>
      <c r="AW318" s="96">
        <v>0</v>
      </c>
      <c r="AX318" s="96">
        <v>0</v>
      </c>
      <c r="AY318" s="96">
        <v>0</v>
      </c>
      <c r="AZ318" s="96">
        <v>0</v>
      </c>
      <c r="BA318" s="96">
        <v>0</v>
      </c>
      <c r="BB318" s="147">
        <f t="shared" si="319"/>
        <v>0</v>
      </c>
      <c r="BC318" s="96"/>
    </row>
    <row r="319" spans="1:55" x14ac:dyDescent="0.3">
      <c r="B319" s="113" t="str">
        <f t="shared" si="317"/>
        <v>Biguaçú-Jotur-Santa Terezinha/Florianopolis</v>
      </c>
      <c r="C319" s="146">
        <v>0</v>
      </c>
      <c r="D319" s="145"/>
      <c r="E319" s="146">
        <v>0</v>
      </c>
      <c r="F319" s="145"/>
      <c r="G319" s="146">
        <v>0</v>
      </c>
      <c r="H319" s="145"/>
      <c r="I319" s="146">
        <v>0</v>
      </c>
      <c r="J319" s="145"/>
      <c r="K319" s="146">
        <v>0</v>
      </c>
      <c r="L319" s="145"/>
      <c r="M319" s="146">
        <v>0</v>
      </c>
      <c r="N319" s="145"/>
      <c r="O319" s="146">
        <v>0</v>
      </c>
      <c r="P319" s="145"/>
      <c r="Q319" s="146">
        <v>0</v>
      </c>
      <c r="R319" s="145"/>
      <c r="S319" s="146">
        <v>0</v>
      </c>
      <c r="T319" s="145"/>
      <c r="U319" s="146">
        <v>0</v>
      </c>
      <c r="V319" s="145"/>
      <c r="W319" s="146">
        <v>0</v>
      </c>
      <c r="X319" s="145"/>
      <c r="Y319" s="146">
        <v>0</v>
      </c>
      <c r="Z319" s="145"/>
      <c r="AA319" s="144">
        <v>0</v>
      </c>
      <c r="AB319" s="144">
        <v>0</v>
      </c>
      <c r="AC319" s="144">
        <v>0</v>
      </c>
      <c r="AD319" s="144">
        <v>0</v>
      </c>
      <c r="AE319" s="144">
        <v>0</v>
      </c>
      <c r="AF319" s="144">
        <v>0</v>
      </c>
      <c r="AG319" s="144">
        <v>0</v>
      </c>
      <c r="AH319" s="144">
        <v>0</v>
      </c>
      <c r="AI319" s="144"/>
      <c r="AJ319" s="144">
        <v>0</v>
      </c>
      <c r="AK319" s="144">
        <v>0</v>
      </c>
      <c r="AL319" s="144">
        <v>0</v>
      </c>
      <c r="AM319" s="144">
        <v>0</v>
      </c>
      <c r="AN319" s="144">
        <v>0</v>
      </c>
      <c r="AO319" s="206">
        <f t="shared" si="318"/>
        <v>0</v>
      </c>
      <c r="AP319" s="144">
        <v>0</v>
      </c>
      <c r="AQ319" s="144">
        <v>0</v>
      </c>
      <c r="AR319" s="144">
        <v>0</v>
      </c>
      <c r="AS319" s="144">
        <v>0</v>
      </c>
      <c r="AT319" s="144">
        <v>0</v>
      </c>
      <c r="AU319" s="144">
        <v>0</v>
      </c>
      <c r="AV319" s="144">
        <v>0</v>
      </c>
      <c r="AW319" s="144">
        <v>0</v>
      </c>
      <c r="AX319" s="144">
        <v>0</v>
      </c>
      <c r="AY319" s="144">
        <v>0</v>
      </c>
      <c r="AZ319" s="144">
        <v>0</v>
      </c>
      <c r="BA319" s="144">
        <v>0</v>
      </c>
      <c r="BB319" s="206">
        <f t="shared" si="319"/>
        <v>0</v>
      </c>
      <c r="BC319" s="144"/>
    </row>
    <row r="320" spans="1:55" x14ac:dyDescent="0.3">
      <c r="B320" s="380" t="s">
        <v>599</v>
      </c>
      <c r="C320" s="143">
        <f>SUM(C314:C319)</f>
        <v>0</v>
      </c>
      <c r="D320" s="385"/>
      <c r="E320" s="143">
        <f>SUM(E314:E319)</f>
        <v>0</v>
      </c>
      <c r="F320" s="385"/>
      <c r="G320" s="143">
        <f>SUM(G314:G319)</f>
        <v>0</v>
      </c>
      <c r="H320" s="385"/>
      <c r="I320" s="143">
        <f>SUM(I314:I319)</f>
        <v>0</v>
      </c>
      <c r="J320" s="385"/>
      <c r="K320" s="143">
        <f>SUM(K314:K319)</f>
        <v>0</v>
      </c>
      <c r="L320" s="385"/>
      <c r="M320" s="143">
        <f>SUM(M314:M319)</f>
        <v>0</v>
      </c>
      <c r="N320" s="385"/>
      <c r="O320" s="143">
        <f>SUM(O314:O319)</f>
        <v>0</v>
      </c>
      <c r="P320" s="385"/>
      <c r="Q320" s="143">
        <f>SUM(Q314:Q319)</f>
        <v>0</v>
      </c>
      <c r="R320" s="385"/>
      <c r="S320" s="143">
        <f>SUM(S314:S319)</f>
        <v>0</v>
      </c>
      <c r="T320" s="385"/>
      <c r="U320" s="143">
        <f>SUM(U314:U319)</f>
        <v>0</v>
      </c>
      <c r="V320" s="385"/>
      <c r="W320" s="143">
        <f>SUM(W314:W319)</f>
        <v>0</v>
      </c>
      <c r="X320" s="385"/>
      <c r="Y320" s="143">
        <f>SUM(Y314:Y319)</f>
        <v>0</v>
      </c>
      <c r="Z320" s="385"/>
      <c r="AA320" s="387">
        <f t="shared" ref="AA320:AH320" si="320">SUM(AA314:AA319)</f>
        <v>0</v>
      </c>
      <c r="AB320" s="387">
        <f t="shared" si="320"/>
        <v>0</v>
      </c>
      <c r="AC320" s="387">
        <f t="shared" si="320"/>
        <v>0</v>
      </c>
      <c r="AD320" s="387">
        <f t="shared" si="320"/>
        <v>0</v>
      </c>
      <c r="AE320" s="387">
        <f t="shared" si="320"/>
        <v>0</v>
      </c>
      <c r="AF320" s="387">
        <f t="shared" si="320"/>
        <v>0</v>
      </c>
      <c r="AG320" s="387">
        <f t="shared" si="320"/>
        <v>0</v>
      </c>
      <c r="AH320" s="387">
        <f t="shared" si="320"/>
        <v>0</v>
      </c>
      <c r="AI320" s="387"/>
      <c r="AJ320" s="387">
        <f>SUM(AJ314:AJ319)</f>
        <v>0</v>
      </c>
      <c r="AK320" s="387">
        <f>SUM(AK314:AK319)</f>
        <v>0</v>
      </c>
      <c r="AL320" s="387">
        <f>SUM(AL314:AL319)</f>
        <v>0</v>
      </c>
      <c r="AM320" s="387">
        <f>SUM(AM314:AM319)</f>
        <v>0</v>
      </c>
      <c r="AN320" s="387">
        <f>SUM(AN314:AN319)</f>
        <v>0</v>
      </c>
      <c r="AO320" s="386">
        <f t="shared" si="318"/>
        <v>0</v>
      </c>
      <c r="AP320" s="387">
        <f t="shared" ref="AP320:BA320" si="321">SUM(AP314:AP319)</f>
        <v>0</v>
      </c>
      <c r="AQ320" s="387">
        <f t="shared" si="321"/>
        <v>0</v>
      </c>
      <c r="AR320" s="387">
        <f t="shared" si="321"/>
        <v>0</v>
      </c>
      <c r="AS320" s="387">
        <f t="shared" si="321"/>
        <v>0</v>
      </c>
      <c r="AT320" s="387">
        <f t="shared" si="321"/>
        <v>0</v>
      </c>
      <c r="AU320" s="387">
        <f t="shared" si="321"/>
        <v>0</v>
      </c>
      <c r="AV320" s="387">
        <f t="shared" si="321"/>
        <v>0</v>
      </c>
      <c r="AW320" s="387">
        <f t="shared" si="321"/>
        <v>0</v>
      </c>
      <c r="AX320" s="387">
        <f t="shared" si="321"/>
        <v>0</v>
      </c>
      <c r="AY320" s="387">
        <f t="shared" si="321"/>
        <v>0</v>
      </c>
      <c r="AZ320" s="387">
        <f t="shared" si="321"/>
        <v>0</v>
      </c>
      <c r="BA320" s="387">
        <f t="shared" si="321"/>
        <v>0</v>
      </c>
      <c r="BB320" s="386">
        <f t="shared" si="319"/>
        <v>0</v>
      </c>
      <c r="BC320" s="387"/>
    </row>
    <row r="321" spans="1:55" x14ac:dyDescent="0.3">
      <c r="A321" s="108"/>
      <c r="B321" s="142" t="s">
        <v>600</v>
      </c>
      <c r="C321" s="141"/>
      <c r="D321" s="140"/>
      <c r="E321" s="141"/>
      <c r="F321" s="140"/>
      <c r="G321" s="141"/>
      <c r="H321" s="140"/>
      <c r="I321" s="141"/>
      <c r="J321" s="140"/>
      <c r="K321" s="141"/>
      <c r="L321" s="140"/>
      <c r="M321" s="141"/>
      <c r="N321" s="140"/>
      <c r="O321" s="141"/>
      <c r="P321" s="140"/>
      <c r="Q321" s="141"/>
      <c r="R321" s="140"/>
      <c r="S321" s="141"/>
      <c r="T321" s="140"/>
      <c r="U321" s="141"/>
      <c r="V321" s="140"/>
      <c r="W321" s="141"/>
      <c r="X321" s="140"/>
      <c r="Y321" s="141"/>
      <c r="Z321" s="140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  <c r="AN321" s="108"/>
      <c r="AO321" s="139"/>
      <c r="AP321" s="108"/>
      <c r="AQ321" s="108"/>
      <c r="AR321" s="108"/>
      <c r="AS321" s="108"/>
      <c r="AT321" s="108"/>
      <c r="AU321" s="108"/>
      <c r="AV321" s="108"/>
      <c r="AW321" s="108"/>
      <c r="AX321" s="108"/>
      <c r="AY321" s="108"/>
      <c r="AZ321" s="108"/>
      <c r="BA321" s="108"/>
      <c r="BB321" s="139"/>
      <c r="BC321" s="108"/>
    </row>
    <row r="322" spans="1:55" x14ac:dyDescent="0.3">
      <c r="A322" s="125">
        <v>0.47270000000000001</v>
      </c>
      <c r="B322" s="138" t="s">
        <v>601</v>
      </c>
      <c r="C322" s="116">
        <f t="shared" ref="C322:C328" si="322">C$320*$A322</f>
        <v>0</v>
      </c>
      <c r="D322" s="115"/>
      <c r="E322" s="116">
        <f t="shared" ref="E322:E328" si="323">E$320*$A322</f>
        <v>0</v>
      </c>
      <c r="F322" s="115"/>
      <c r="G322" s="116">
        <f t="shared" ref="G322:G328" si="324">G$320*$A322</f>
        <v>0</v>
      </c>
      <c r="H322" s="115"/>
      <c r="I322" s="116">
        <f t="shared" ref="I322:I328" si="325">I$320*$A322</f>
        <v>0</v>
      </c>
      <c r="J322" s="115"/>
      <c r="K322" s="116">
        <f t="shared" ref="K322:K328" si="326">K$320*$A322</f>
        <v>0</v>
      </c>
      <c r="L322" s="115"/>
      <c r="M322" s="116">
        <f t="shared" ref="M322:M328" si="327">M$320*$A322</f>
        <v>0</v>
      </c>
      <c r="N322" s="115"/>
      <c r="O322" s="116">
        <f t="shared" ref="O322:O328" si="328">O$320*$A322</f>
        <v>0</v>
      </c>
      <c r="P322" s="115"/>
      <c r="Q322" s="116">
        <f t="shared" ref="Q322:Q328" si="329">Q$320*$A322</f>
        <v>0</v>
      </c>
      <c r="R322" s="115"/>
      <c r="S322" s="116">
        <f t="shared" ref="S322:S328" si="330">S$320*$A322</f>
        <v>0</v>
      </c>
      <c r="T322" s="115"/>
      <c r="U322" s="116">
        <f t="shared" ref="U322:U328" si="331">U$320*$A322</f>
        <v>0</v>
      </c>
      <c r="V322" s="115"/>
      <c r="W322" s="116">
        <f t="shared" ref="W322:W328" si="332">W$320*$A322</f>
        <v>0</v>
      </c>
      <c r="X322" s="115"/>
      <c r="Y322" s="116">
        <f t="shared" ref="Y322:Y328" si="333">Y$320*$A322</f>
        <v>0</v>
      </c>
      <c r="Z322" s="115"/>
      <c r="AA322" s="93">
        <f t="shared" ref="AA322:AH328" si="334">AA$320*$A322</f>
        <v>0</v>
      </c>
      <c r="AB322" s="93">
        <f t="shared" si="334"/>
        <v>0</v>
      </c>
      <c r="AC322" s="93">
        <f t="shared" si="334"/>
        <v>0</v>
      </c>
      <c r="AD322" s="93">
        <f t="shared" si="334"/>
        <v>0</v>
      </c>
      <c r="AE322" s="93">
        <f t="shared" si="334"/>
        <v>0</v>
      </c>
      <c r="AF322" s="93">
        <f t="shared" si="334"/>
        <v>0</v>
      </c>
      <c r="AG322" s="93">
        <f t="shared" si="334"/>
        <v>0</v>
      </c>
      <c r="AH322" s="93">
        <f t="shared" si="334"/>
        <v>0</v>
      </c>
      <c r="AI322" s="93"/>
      <c r="AJ322" s="93">
        <f t="shared" ref="AJ322:AN328" si="335">AJ$320*$A322</f>
        <v>0</v>
      </c>
      <c r="AK322" s="93">
        <f t="shared" si="335"/>
        <v>0</v>
      </c>
      <c r="AL322" s="93">
        <f t="shared" si="335"/>
        <v>0</v>
      </c>
      <c r="AM322" s="93">
        <f t="shared" si="335"/>
        <v>0</v>
      </c>
      <c r="AN322" s="93">
        <f t="shared" si="335"/>
        <v>0</v>
      </c>
      <c r="AO322" s="128">
        <f t="shared" ref="AO322:AO328" si="336">SUM(AB322:AN322)</f>
        <v>0</v>
      </c>
      <c r="AP322" s="93">
        <f t="shared" ref="AP322:BA328" si="337">AP$320*$A322</f>
        <v>0</v>
      </c>
      <c r="AQ322" s="93">
        <f t="shared" si="337"/>
        <v>0</v>
      </c>
      <c r="AR322" s="93">
        <f t="shared" si="337"/>
        <v>0</v>
      </c>
      <c r="AS322" s="93">
        <f t="shared" si="337"/>
        <v>0</v>
      </c>
      <c r="AT322" s="93">
        <f t="shared" si="337"/>
        <v>0</v>
      </c>
      <c r="AU322" s="93">
        <f t="shared" si="337"/>
        <v>0</v>
      </c>
      <c r="AV322" s="93">
        <f t="shared" si="337"/>
        <v>0</v>
      </c>
      <c r="AW322" s="93">
        <f t="shared" si="337"/>
        <v>0</v>
      </c>
      <c r="AX322" s="93">
        <f t="shared" si="337"/>
        <v>0</v>
      </c>
      <c r="AY322" s="93">
        <f t="shared" si="337"/>
        <v>0</v>
      </c>
      <c r="AZ322" s="93">
        <f t="shared" si="337"/>
        <v>0</v>
      </c>
      <c r="BA322" s="93">
        <f t="shared" si="337"/>
        <v>0</v>
      </c>
      <c r="BB322" s="127">
        <f t="shared" ref="BB322:BB328" si="338">SUM(AP322:BA322)</f>
        <v>0</v>
      </c>
      <c r="BC322" s="93"/>
    </row>
    <row r="323" spans="1:55" x14ac:dyDescent="0.3">
      <c r="A323" s="125">
        <v>8.9999999999999998E-4</v>
      </c>
      <c r="B323" s="138" t="s">
        <v>602</v>
      </c>
      <c r="C323" s="116">
        <f t="shared" si="322"/>
        <v>0</v>
      </c>
      <c r="D323" s="115"/>
      <c r="E323" s="116">
        <f t="shared" si="323"/>
        <v>0</v>
      </c>
      <c r="F323" s="115"/>
      <c r="G323" s="116">
        <f t="shared" si="324"/>
        <v>0</v>
      </c>
      <c r="H323" s="115"/>
      <c r="I323" s="116">
        <f t="shared" si="325"/>
        <v>0</v>
      </c>
      <c r="J323" s="115"/>
      <c r="K323" s="116">
        <f t="shared" si="326"/>
        <v>0</v>
      </c>
      <c r="L323" s="115"/>
      <c r="M323" s="116">
        <f t="shared" si="327"/>
        <v>0</v>
      </c>
      <c r="N323" s="115"/>
      <c r="O323" s="116">
        <f t="shared" si="328"/>
        <v>0</v>
      </c>
      <c r="P323" s="115"/>
      <c r="Q323" s="116">
        <f t="shared" si="329"/>
        <v>0</v>
      </c>
      <c r="R323" s="115"/>
      <c r="S323" s="116">
        <f t="shared" si="330"/>
        <v>0</v>
      </c>
      <c r="T323" s="115"/>
      <c r="U323" s="116">
        <f t="shared" si="331"/>
        <v>0</v>
      </c>
      <c r="V323" s="115"/>
      <c r="W323" s="116">
        <f t="shared" si="332"/>
        <v>0</v>
      </c>
      <c r="X323" s="115"/>
      <c r="Y323" s="116">
        <f t="shared" si="333"/>
        <v>0</v>
      </c>
      <c r="Z323" s="115"/>
      <c r="AA323" s="93">
        <f t="shared" si="334"/>
        <v>0</v>
      </c>
      <c r="AB323" s="93">
        <f t="shared" si="334"/>
        <v>0</v>
      </c>
      <c r="AC323" s="93">
        <f t="shared" si="334"/>
        <v>0</v>
      </c>
      <c r="AD323" s="93">
        <f t="shared" si="334"/>
        <v>0</v>
      </c>
      <c r="AE323" s="93">
        <f t="shared" si="334"/>
        <v>0</v>
      </c>
      <c r="AF323" s="93">
        <f t="shared" si="334"/>
        <v>0</v>
      </c>
      <c r="AG323" s="93">
        <f t="shared" si="334"/>
        <v>0</v>
      </c>
      <c r="AH323" s="93">
        <f t="shared" si="334"/>
        <v>0</v>
      </c>
      <c r="AI323" s="93"/>
      <c r="AJ323" s="93">
        <f t="shared" si="335"/>
        <v>0</v>
      </c>
      <c r="AK323" s="93">
        <f t="shared" si="335"/>
        <v>0</v>
      </c>
      <c r="AL323" s="93">
        <f t="shared" si="335"/>
        <v>0</v>
      </c>
      <c r="AM323" s="93">
        <f t="shared" si="335"/>
        <v>0</v>
      </c>
      <c r="AN323" s="93">
        <f t="shared" si="335"/>
        <v>0</v>
      </c>
      <c r="AO323" s="128">
        <f t="shared" si="336"/>
        <v>0</v>
      </c>
      <c r="AP323" s="93">
        <f t="shared" si="337"/>
        <v>0</v>
      </c>
      <c r="AQ323" s="93">
        <f t="shared" si="337"/>
        <v>0</v>
      </c>
      <c r="AR323" s="93">
        <f t="shared" si="337"/>
        <v>0</v>
      </c>
      <c r="AS323" s="93">
        <f t="shared" si="337"/>
        <v>0</v>
      </c>
      <c r="AT323" s="93">
        <f t="shared" si="337"/>
        <v>0</v>
      </c>
      <c r="AU323" s="93">
        <f t="shared" si="337"/>
        <v>0</v>
      </c>
      <c r="AV323" s="93">
        <f t="shared" si="337"/>
        <v>0</v>
      </c>
      <c r="AW323" s="93">
        <f t="shared" si="337"/>
        <v>0</v>
      </c>
      <c r="AX323" s="93">
        <f t="shared" si="337"/>
        <v>0</v>
      </c>
      <c r="AY323" s="93">
        <f t="shared" si="337"/>
        <v>0</v>
      </c>
      <c r="AZ323" s="93">
        <f t="shared" si="337"/>
        <v>0</v>
      </c>
      <c r="BA323" s="93">
        <f t="shared" si="337"/>
        <v>0</v>
      </c>
      <c r="BB323" s="127">
        <f t="shared" si="338"/>
        <v>0</v>
      </c>
      <c r="BC323" s="93"/>
    </row>
    <row r="324" spans="1:55" x14ac:dyDescent="0.3">
      <c r="A324" s="125">
        <v>0.42130000000000001</v>
      </c>
      <c r="B324" s="138" t="s">
        <v>603</v>
      </c>
      <c r="C324" s="116">
        <f t="shared" si="322"/>
        <v>0</v>
      </c>
      <c r="D324" s="115"/>
      <c r="E324" s="116">
        <f t="shared" si="323"/>
        <v>0</v>
      </c>
      <c r="F324" s="115"/>
      <c r="G324" s="116">
        <f t="shared" si="324"/>
        <v>0</v>
      </c>
      <c r="H324" s="115"/>
      <c r="I324" s="116">
        <f t="shared" si="325"/>
        <v>0</v>
      </c>
      <c r="J324" s="115"/>
      <c r="K324" s="116">
        <f t="shared" si="326"/>
        <v>0</v>
      </c>
      <c r="L324" s="115"/>
      <c r="M324" s="116">
        <f t="shared" si="327"/>
        <v>0</v>
      </c>
      <c r="N324" s="115"/>
      <c r="O324" s="116">
        <f t="shared" si="328"/>
        <v>0</v>
      </c>
      <c r="P324" s="115"/>
      <c r="Q324" s="116">
        <f t="shared" si="329"/>
        <v>0</v>
      </c>
      <c r="R324" s="115"/>
      <c r="S324" s="116">
        <f t="shared" si="330"/>
        <v>0</v>
      </c>
      <c r="T324" s="115"/>
      <c r="U324" s="116">
        <f t="shared" si="331"/>
        <v>0</v>
      </c>
      <c r="V324" s="115"/>
      <c r="W324" s="116">
        <f t="shared" si="332"/>
        <v>0</v>
      </c>
      <c r="X324" s="115"/>
      <c r="Y324" s="116">
        <f t="shared" si="333"/>
        <v>0</v>
      </c>
      <c r="Z324" s="115"/>
      <c r="AA324" s="93">
        <f t="shared" si="334"/>
        <v>0</v>
      </c>
      <c r="AB324" s="93">
        <f t="shared" si="334"/>
        <v>0</v>
      </c>
      <c r="AC324" s="93">
        <f t="shared" si="334"/>
        <v>0</v>
      </c>
      <c r="AD324" s="93">
        <f t="shared" si="334"/>
        <v>0</v>
      </c>
      <c r="AE324" s="93">
        <f t="shared" si="334"/>
        <v>0</v>
      </c>
      <c r="AF324" s="93">
        <f t="shared" si="334"/>
        <v>0</v>
      </c>
      <c r="AG324" s="93">
        <f t="shared" si="334"/>
        <v>0</v>
      </c>
      <c r="AH324" s="93">
        <f t="shared" si="334"/>
        <v>0</v>
      </c>
      <c r="AI324" s="93"/>
      <c r="AJ324" s="93">
        <f t="shared" si="335"/>
        <v>0</v>
      </c>
      <c r="AK324" s="93">
        <f t="shared" si="335"/>
        <v>0</v>
      </c>
      <c r="AL324" s="93">
        <f t="shared" si="335"/>
        <v>0</v>
      </c>
      <c r="AM324" s="93">
        <f t="shared" si="335"/>
        <v>0</v>
      </c>
      <c r="AN324" s="93">
        <f t="shared" si="335"/>
        <v>0</v>
      </c>
      <c r="AO324" s="128">
        <f t="shared" si="336"/>
        <v>0</v>
      </c>
      <c r="AP324" s="93">
        <f t="shared" si="337"/>
        <v>0</v>
      </c>
      <c r="AQ324" s="93">
        <f t="shared" si="337"/>
        <v>0</v>
      </c>
      <c r="AR324" s="93">
        <f t="shared" si="337"/>
        <v>0</v>
      </c>
      <c r="AS324" s="93">
        <f t="shared" si="337"/>
        <v>0</v>
      </c>
      <c r="AT324" s="93">
        <f t="shared" si="337"/>
        <v>0</v>
      </c>
      <c r="AU324" s="93">
        <f t="shared" si="337"/>
        <v>0</v>
      </c>
      <c r="AV324" s="93">
        <f t="shared" si="337"/>
        <v>0</v>
      </c>
      <c r="AW324" s="93">
        <f t="shared" si="337"/>
        <v>0</v>
      </c>
      <c r="AX324" s="93">
        <f t="shared" si="337"/>
        <v>0</v>
      </c>
      <c r="AY324" s="93">
        <f t="shared" si="337"/>
        <v>0</v>
      </c>
      <c r="AZ324" s="93">
        <f t="shared" si="337"/>
        <v>0</v>
      </c>
      <c r="BA324" s="93">
        <f t="shared" si="337"/>
        <v>0</v>
      </c>
      <c r="BB324" s="127">
        <f t="shared" si="338"/>
        <v>0</v>
      </c>
      <c r="BC324" s="93"/>
    </row>
    <row r="325" spans="1:55" x14ac:dyDescent="0.3">
      <c r="A325" s="125">
        <v>8.0000000000000004E-4</v>
      </c>
      <c r="B325" s="138" t="s">
        <v>604</v>
      </c>
      <c r="C325" s="116">
        <f t="shared" si="322"/>
        <v>0</v>
      </c>
      <c r="D325" s="115"/>
      <c r="E325" s="116">
        <f t="shared" si="323"/>
        <v>0</v>
      </c>
      <c r="F325" s="115"/>
      <c r="G325" s="116">
        <f t="shared" si="324"/>
        <v>0</v>
      </c>
      <c r="H325" s="115"/>
      <c r="I325" s="116">
        <f t="shared" si="325"/>
        <v>0</v>
      </c>
      <c r="J325" s="115"/>
      <c r="K325" s="116">
        <f t="shared" si="326"/>
        <v>0</v>
      </c>
      <c r="L325" s="115"/>
      <c r="M325" s="116">
        <f t="shared" si="327"/>
        <v>0</v>
      </c>
      <c r="N325" s="115"/>
      <c r="O325" s="116">
        <f t="shared" si="328"/>
        <v>0</v>
      </c>
      <c r="P325" s="115"/>
      <c r="Q325" s="116">
        <f t="shared" si="329"/>
        <v>0</v>
      </c>
      <c r="R325" s="115"/>
      <c r="S325" s="116">
        <f t="shared" si="330"/>
        <v>0</v>
      </c>
      <c r="T325" s="115"/>
      <c r="U325" s="116">
        <f t="shared" si="331"/>
        <v>0</v>
      </c>
      <c r="V325" s="115"/>
      <c r="W325" s="116">
        <f t="shared" si="332"/>
        <v>0</v>
      </c>
      <c r="X325" s="115"/>
      <c r="Y325" s="116">
        <f t="shared" si="333"/>
        <v>0</v>
      </c>
      <c r="Z325" s="115"/>
      <c r="AA325" s="93">
        <f t="shared" si="334"/>
        <v>0</v>
      </c>
      <c r="AB325" s="93">
        <f t="shared" si="334"/>
        <v>0</v>
      </c>
      <c r="AC325" s="93">
        <f t="shared" si="334"/>
        <v>0</v>
      </c>
      <c r="AD325" s="93">
        <f t="shared" si="334"/>
        <v>0</v>
      </c>
      <c r="AE325" s="93">
        <f t="shared" si="334"/>
        <v>0</v>
      </c>
      <c r="AF325" s="93">
        <f t="shared" si="334"/>
        <v>0</v>
      </c>
      <c r="AG325" s="93">
        <f t="shared" si="334"/>
        <v>0</v>
      </c>
      <c r="AH325" s="93">
        <f t="shared" si="334"/>
        <v>0</v>
      </c>
      <c r="AI325" s="93"/>
      <c r="AJ325" s="93">
        <f t="shared" si="335"/>
        <v>0</v>
      </c>
      <c r="AK325" s="93">
        <f t="shared" si="335"/>
        <v>0</v>
      </c>
      <c r="AL325" s="93">
        <f t="shared" si="335"/>
        <v>0</v>
      </c>
      <c r="AM325" s="93">
        <f t="shared" si="335"/>
        <v>0</v>
      </c>
      <c r="AN325" s="93">
        <f t="shared" si="335"/>
        <v>0</v>
      </c>
      <c r="AO325" s="128">
        <f t="shared" si="336"/>
        <v>0</v>
      </c>
      <c r="AP325" s="93">
        <f t="shared" si="337"/>
        <v>0</v>
      </c>
      <c r="AQ325" s="93">
        <f t="shared" si="337"/>
        <v>0</v>
      </c>
      <c r="AR325" s="93">
        <f t="shared" si="337"/>
        <v>0</v>
      </c>
      <c r="AS325" s="93">
        <f t="shared" si="337"/>
        <v>0</v>
      </c>
      <c r="AT325" s="93">
        <f t="shared" si="337"/>
        <v>0</v>
      </c>
      <c r="AU325" s="93">
        <f t="shared" si="337"/>
        <v>0</v>
      </c>
      <c r="AV325" s="93">
        <f t="shared" si="337"/>
        <v>0</v>
      </c>
      <c r="AW325" s="93">
        <f t="shared" si="337"/>
        <v>0</v>
      </c>
      <c r="AX325" s="93">
        <f t="shared" si="337"/>
        <v>0</v>
      </c>
      <c r="AY325" s="93">
        <f t="shared" si="337"/>
        <v>0</v>
      </c>
      <c r="AZ325" s="93">
        <f t="shared" si="337"/>
        <v>0</v>
      </c>
      <c r="BA325" s="93">
        <f t="shared" si="337"/>
        <v>0</v>
      </c>
      <c r="BB325" s="127">
        <f t="shared" si="338"/>
        <v>0</v>
      </c>
      <c r="BC325" s="93"/>
    </row>
    <row r="326" spans="1:55" x14ac:dyDescent="0.3">
      <c r="A326" s="125">
        <v>0.1003</v>
      </c>
      <c r="B326" s="138" t="s">
        <v>605</v>
      </c>
      <c r="C326" s="116">
        <f t="shared" si="322"/>
        <v>0</v>
      </c>
      <c r="D326" s="115"/>
      <c r="E326" s="116">
        <f t="shared" si="323"/>
        <v>0</v>
      </c>
      <c r="F326" s="115"/>
      <c r="G326" s="116">
        <f t="shared" si="324"/>
        <v>0</v>
      </c>
      <c r="H326" s="115"/>
      <c r="I326" s="116">
        <f t="shared" si="325"/>
        <v>0</v>
      </c>
      <c r="J326" s="115"/>
      <c r="K326" s="116">
        <f t="shared" si="326"/>
        <v>0</v>
      </c>
      <c r="L326" s="115"/>
      <c r="M326" s="116">
        <f t="shared" si="327"/>
        <v>0</v>
      </c>
      <c r="N326" s="115"/>
      <c r="O326" s="116">
        <f t="shared" si="328"/>
        <v>0</v>
      </c>
      <c r="P326" s="115"/>
      <c r="Q326" s="116">
        <f t="shared" si="329"/>
        <v>0</v>
      </c>
      <c r="R326" s="115"/>
      <c r="S326" s="116">
        <f t="shared" si="330"/>
        <v>0</v>
      </c>
      <c r="T326" s="115"/>
      <c r="U326" s="116">
        <f t="shared" si="331"/>
        <v>0</v>
      </c>
      <c r="V326" s="115"/>
      <c r="W326" s="116">
        <f t="shared" si="332"/>
        <v>0</v>
      </c>
      <c r="X326" s="115"/>
      <c r="Y326" s="116">
        <f t="shared" si="333"/>
        <v>0</v>
      </c>
      <c r="Z326" s="115"/>
      <c r="AA326" s="93">
        <f t="shared" si="334"/>
        <v>0</v>
      </c>
      <c r="AB326" s="93">
        <f t="shared" si="334"/>
        <v>0</v>
      </c>
      <c r="AC326" s="93">
        <f t="shared" si="334"/>
        <v>0</v>
      </c>
      <c r="AD326" s="93">
        <f t="shared" si="334"/>
        <v>0</v>
      </c>
      <c r="AE326" s="93">
        <f t="shared" si="334"/>
        <v>0</v>
      </c>
      <c r="AF326" s="93">
        <f t="shared" si="334"/>
        <v>0</v>
      </c>
      <c r="AG326" s="93">
        <f t="shared" si="334"/>
        <v>0</v>
      </c>
      <c r="AH326" s="93">
        <f t="shared" si="334"/>
        <v>0</v>
      </c>
      <c r="AI326" s="93"/>
      <c r="AJ326" s="93">
        <f t="shared" si="335"/>
        <v>0</v>
      </c>
      <c r="AK326" s="93">
        <f t="shared" si="335"/>
        <v>0</v>
      </c>
      <c r="AL326" s="93">
        <f t="shared" si="335"/>
        <v>0</v>
      </c>
      <c r="AM326" s="93">
        <f t="shared" si="335"/>
        <v>0</v>
      </c>
      <c r="AN326" s="93">
        <f t="shared" si="335"/>
        <v>0</v>
      </c>
      <c r="AO326" s="128">
        <f t="shared" si="336"/>
        <v>0</v>
      </c>
      <c r="AP326" s="93">
        <f t="shared" si="337"/>
        <v>0</v>
      </c>
      <c r="AQ326" s="93">
        <f t="shared" si="337"/>
        <v>0</v>
      </c>
      <c r="AR326" s="93">
        <f t="shared" si="337"/>
        <v>0</v>
      </c>
      <c r="AS326" s="93">
        <f t="shared" si="337"/>
        <v>0</v>
      </c>
      <c r="AT326" s="93">
        <f t="shared" si="337"/>
        <v>0</v>
      </c>
      <c r="AU326" s="93">
        <f t="shared" si="337"/>
        <v>0</v>
      </c>
      <c r="AV326" s="93">
        <f t="shared" si="337"/>
        <v>0</v>
      </c>
      <c r="AW326" s="93">
        <f t="shared" si="337"/>
        <v>0</v>
      </c>
      <c r="AX326" s="93">
        <f t="shared" si="337"/>
        <v>0</v>
      </c>
      <c r="AY326" s="93">
        <f t="shared" si="337"/>
        <v>0</v>
      </c>
      <c r="AZ326" s="93">
        <f t="shared" si="337"/>
        <v>0</v>
      </c>
      <c r="BA326" s="93">
        <f t="shared" si="337"/>
        <v>0</v>
      </c>
      <c r="BB326" s="127">
        <f t="shared" si="338"/>
        <v>0</v>
      </c>
      <c r="BC326" s="93"/>
    </row>
    <row r="327" spans="1:55" x14ac:dyDescent="0.3">
      <c r="A327" s="125">
        <v>4.0000000000000001E-3</v>
      </c>
      <c r="B327" s="138" t="s">
        <v>606</v>
      </c>
      <c r="C327" s="116">
        <f t="shared" si="322"/>
        <v>0</v>
      </c>
      <c r="D327" s="115"/>
      <c r="E327" s="116">
        <f t="shared" si="323"/>
        <v>0</v>
      </c>
      <c r="F327" s="115"/>
      <c r="G327" s="116">
        <f t="shared" si="324"/>
        <v>0</v>
      </c>
      <c r="H327" s="115"/>
      <c r="I327" s="116">
        <f t="shared" si="325"/>
        <v>0</v>
      </c>
      <c r="J327" s="115"/>
      <c r="K327" s="116">
        <f t="shared" si="326"/>
        <v>0</v>
      </c>
      <c r="L327" s="115"/>
      <c r="M327" s="116">
        <f t="shared" si="327"/>
        <v>0</v>
      </c>
      <c r="N327" s="115"/>
      <c r="O327" s="116">
        <f t="shared" si="328"/>
        <v>0</v>
      </c>
      <c r="P327" s="115"/>
      <c r="Q327" s="116">
        <f t="shared" si="329"/>
        <v>0</v>
      </c>
      <c r="R327" s="115"/>
      <c r="S327" s="116">
        <f t="shared" si="330"/>
        <v>0</v>
      </c>
      <c r="T327" s="115"/>
      <c r="U327" s="116">
        <f t="shared" si="331"/>
        <v>0</v>
      </c>
      <c r="V327" s="115"/>
      <c r="W327" s="116">
        <f t="shared" si="332"/>
        <v>0</v>
      </c>
      <c r="X327" s="115"/>
      <c r="Y327" s="116">
        <f t="shared" si="333"/>
        <v>0</v>
      </c>
      <c r="Z327" s="115"/>
      <c r="AA327" s="93">
        <f t="shared" si="334"/>
        <v>0</v>
      </c>
      <c r="AB327" s="93">
        <f t="shared" si="334"/>
        <v>0</v>
      </c>
      <c r="AC327" s="93">
        <f t="shared" si="334"/>
        <v>0</v>
      </c>
      <c r="AD327" s="93">
        <f t="shared" si="334"/>
        <v>0</v>
      </c>
      <c r="AE327" s="93">
        <f t="shared" si="334"/>
        <v>0</v>
      </c>
      <c r="AF327" s="93">
        <f t="shared" si="334"/>
        <v>0</v>
      </c>
      <c r="AG327" s="93">
        <f t="shared" si="334"/>
        <v>0</v>
      </c>
      <c r="AH327" s="93">
        <f t="shared" si="334"/>
        <v>0</v>
      </c>
      <c r="AI327" s="93"/>
      <c r="AJ327" s="93">
        <f t="shared" si="335"/>
        <v>0</v>
      </c>
      <c r="AK327" s="93">
        <f t="shared" si="335"/>
        <v>0</v>
      </c>
      <c r="AL327" s="93">
        <f t="shared" si="335"/>
        <v>0</v>
      </c>
      <c r="AM327" s="93">
        <f t="shared" si="335"/>
        <v>0</v>
      </c>
      <c r="AN327" s="93">
        <f t="shared" si="335"/>
        <v>0</v>
      </c>
      <c r="AO327" s="128">
        <f t="shared" si="336"/>
        <v>0</v>
      </c>
      <c r="AP327" s="93">
        <f t="shared" si="337"/>
        <v>0</v>
      </c>
      <c r="AQ327" s="93">
        <f t="shared" si="337"/>
        <v>0</v>
      </c>
      <c r="AR327" s="93">
        <f t="shared" si="337"/>
        <v>0</v>
      </c>
      <c r="AS327" s="93">
        <f t="shared" si="337"/>
        <v>0</v>
      </c>
      <c r="AT327" s="93">
        <f t="shared" si="337"/>
        <v>0</v>
      </c>
      <c r="AU327" s="93">
        <f t="shared" si="337"/>
        <v>0</v>
      </c>
      <c r="AV327" s="93">
        <f t="shared" si="337"/>
        <v>0</v>
      </c>
      <c r="AW327" s="93">
        <f t="shared" si="337"/>
        <v>0</v>
      </c>
      <c r="AX327" s="93">
        <f t="shared" si="337"/>
        <v>0</v>
      </c>
      <c r="AY327" s="93">
        <f t="shared" si="337"/>
        <v>0</v>
      </c>
      <c r="AZ327" s="93">
        <f t="shared" si="337"/>
        <v>0</v>
      </c>
      <c r="BA327" s="93">
        <f t="shared" si="337"/>
        <v>0</v>
      </c>
      <c r="BB327" s="127">
        <f t="shared" si="338"/>
        <v>0</v>
      </c>
      <c r="BC327" s="93"/>
    </row>
    <row r="328" spans="1:55" x14ac:dyDescent="0.3">
      <c r="A328" s="125">
        <v>0</v>
      </c>
      <c r="B328" s="138" t="s">
        <v>607</v>
      </c>
      <c r="C328" s="116">
        <f t="shared" si="322"/>
        <v>0</v>
      </c>
      <c r="D328" s="115"/>
      <c r="E328" s="116">
        <f t="shared" si="323"/>
        <v>0</v>
      </c>
      <c r="F328" s="115"/>
      <c r="G328" s="116">
        <f t="shared" si="324"/>
        <v>0</v>
      </c>
      <c r="H328" s="115"/>
      <c r="I328" s="116">
        <f t="shared" si="325"/>
        <v>0</v>
      </c>
      <c r="J328" s="115"/>
      <c r="K328" s="116">
        <f t="shared" si="326"/>
        <v>0</v>
      </c>
      <c r="L328" s="115"/>
      <c r="M328" s="116">
        <f t="shared" si="327"/>
        <v>0</v>
      </c>
      <c r="N328" s="115"/>
      <c r="O328" s="116">
        <f t="shared" si="328"/>
        <v>0</v>
      </c>
      <c r="P328" s="115"/>
      <c r="Q328" s="116">
        <f t="shared" si="329"/>
        <v>0</v>
      </c>
      <c r="R328" s="115"/>
      <c r="S328" s="116">
        <f t="shared" si="330"/>
        <v>0</v>
      </c>
      <c r="T328" s="115"/>
      <c r="U328" s="116">
        <f t="shared" si="331"/>
        <v>0</v>
      </c>
      <c r="V328" s="115"/>
      <c r="W328" s="116">
        <f t="shared" si="332"/>
        <v>0</v>
      </c>
      <c r="X328" s="115"/>
      <c r="Y328" s="116">
        <f t="shared" si="333"/>
        <v>0</v>
      </c>
      <c r="Z328" s="115"/>
      <c r="AA328" s="93">
        <f t="shared" si="334"/>
        <v>0</v>
      </c>
      <c r="AB328" s="93">
        <f t="shared" si="334"/>
        <v>0</v>
      </c>
      <c r="AC328" s="93">
        <f t="shared" si="334"/>
        <v>0</v>
      </c>
      <c r="AD328" s="93">
        <f t="shared" si="334"/>
        <v>0</v>
      </c>
      <c r="AE328" s="93">
        <f t="shared" si="334"/>
        <v>0</v>
      </c>
      <c r="AF328" s="93">
        <f t="shared" si="334"/>
        <v>0</v>
      </c>
      <c r="AG328" s="93">
        <f t="shared" si="334"/>
        <v>0</v>
      </c>
      <c r="AH328" s="93">
        <f t="shared" si="334"/>
        <v>0</v>
      </c>
      <c r="AI328" s="93"/>
      <c r="AJ328" s="93">
        <f t="shared" si="335"/>
        <v>0</v>
      </c>
      <c r="AK328" s="93">
        <f t="shared" si="335"/>
        <v>0</v>
      </c>
      <c r="AL328" s="93">
        <f t="shared" si="335"/>
        <v>0</v>
      </c>
      <c r="AM328" s="93">
        <f t="shared" si="335"/>
        <v>0</v>
      </c>
      <c r="AN328" s="93">
        <f t="shared" si="335"/>
        <v>0</v>
      </c>
      <c r="AO328" s="128">
        <f t="shared" si="336"/>
        <v>0</v>
      </c>
      <c r="AP328" s="93">
        <f t="shared" si="337"/>
        <v>0</v>
      </c>
      <c r="AQ328" s="93">
        <f t="shared" si="337"/>
        <v>0</v>
      </c>
      <c r="AR328" s="93">
        <f t="shared" si="337"/>
        <v>0</v>
      </c>
      <c r="AS328" s="93">
        <f t="shared" si="337"/>
        <v>0</v>
      </c>
      <c r="AT328" s="93">
        <f t="shared" si="337"/>
        <v>0</v>
      </c>
      <c r="AU328" s="93">
        <f t="shared" si="337"/>
        <v>0</v>
      </c>
      <c r="AV328" s="93">
        <f t="shared" si="337"/>
        <v>0</v>
      </c>
      <c r="AW328" s="93">
        <f t="shared" si="337"/>
        <v>0</v>
      </c>
      <c r="AX328" s="93">
        <f t="shared" si="337"/>
        <v>0</v>
      </c>
      <c r="AY328" s="93">
        <f t="shared" si="337"/>
        <v>0</v>
      </c>
      <c r="AZ328" s="93">
        <f t="shared" si="337"/>
        <v>0</v>
      </c>
      <c r="BA328" s="93">
        <f t="shared" si="337"/>
        <v>0</v>
      </c>
      <c r="BB328" s="127">
        <f t="shared" si="338"/>
        <v>0</v>
      </c>
      <c r="BC328" s="93"/>
    </row>
    <row r="329" spans="1:55" x14ac:dyDescent="0.3">
      <c r="A329" s="108"/>
      <c r="B329" s="137" t="s">
        <v>608</v>
      </c>
      <c r="C329" s="136"/>
      <c r="D329" s="135"/>
      <c r="E329" s="136"/>
      <c r="F329" s="135"/>
      <c r="G329" s="136"/>
      <c r="H329" s="135"/>
      <c r="I329" s="136"/>
      <c r="J329" s="135"/>
      <c r="K329" s="136"/>
      <c r="L329" s="135"/>
      <c r="M329" s="136"/>
      <c r="N329" s="135"/>
      <c r="O329" s="136"/>
      <c r="P329" s="135"/>
      <c r="Q329" s="136"/>
      <c r="R329" s="135"/>
      <c r="S329" s="136"/>
      <c r="T329" s="135"/>
      <c r="U329" s="136"/>
      <c r="V329" s="135"/>
      <c r="W329" s="136"/>
      <c r="X329" s="135"/>
      <c r="Y329" s="136"/>
      <c r="Z329" s="135"/>
      <c r="AA329" s="132"/>
      <c r="AB329" s="132"/>
      <c r="AC329" s="132"/>
      <c r="AD329" s="132"/>
      <c r="AE329" s="132"/>
      <c r="AF329" s="132"/>
      <c r="AG329" s="132"/>
      <c r="AH329" s="132"/>
      <c r="AI329" s="132"/>
      <c r="AJ329" s="132"/>
      <c r="AK329" s="132"/>
      <c r="AL329" s="132"/>
      <c r="AM329" s="132"/>
      <c r="AN329" s="132"/>
      <c r="AO329" s="134"/>
      <c r="AP329" s="132"/>
      <c r="AQ329" s="132"/>
      <c r="AR329" s="132"/>
      <c r="AS329" s="132"/>
      <c r="AT329" s="132"/>
      <c r="AU329" s="132"/>
      <c r="AV329" s="132"/>
      <c r="AW329" s="132"/>
      <c r="AX329" s="132"/>
      <c r="AY329" s="132"/>
      <c r="AZ329" s="132"/>
      <c r="BA329" s="132"/>
      <c r="BB329" s="133"/>
      <c r="BC329" s="132"/>
    </row>
    <row r="330" spans="1:55" x14ac:dyDescent="0.3">
      <c r="A330" s="125">
        <v>0</v>
      </c>
      <c r="B330" s="131" t="s">
        <v>609</v>
      </c>
      <c r="C330" s="130">
        <f>C$320*$A330</f>
        <v>0</v>
      </c>
      <c r="D330" s="129"/>
      <c r="E330" s="130">
        <f>E$320*$A330</f>
        <v>0</v>
      </c>
      <c r="F330" s="129"/>
      <c r="G330" s="130">
        <f>G$320*$A330</f>
        <v>0</v>
      </c>
      <c r="H330" s="129"/>
      <c r="I330" s="130">
        <f>I$320*$A330</f>
        <v>0</v>
      </c>
      <c r="J330" s="129"/>
      <c r="K330" s="130">
        <f>K$320*$A330</f>
        <v>0</v>
      </c>
      <c r="L330" s="129"/>
      <c r="M330" s="130">
        <f>M$320*$A330</f>
        <v>0</v>
      </c>
      <c r="N330" s="129"/>
      <c r="O330" s="130">
        <f>O$320*$A330</f>
        <v>0</v>
      </c>
      <c r="P330" s="129"/>
      <c r="Q330" s="130">
        <f>Q$320*$A330</f>
        <v>0</v>
      </c>
      <c r="R330" s="129"/>
      <c r="S330" s="130">
        <f>S$320*$A330</f>
        <v>0</v>
      </c>
      <c r="T330" s="129"/>
      <c r="U330" s="130">
        <f>U$320*$A330</f>
        <v>0</v>
      </c>
      <c r="V330" s="129"/>
      <c r="W330" s="130">
        <f>W$320*$A330</f>
        <v>0</v>
      </c>
      <c r="X330" s="129"/>
      <c r="Y330" s="130">
        <f>Y$320*$A330</f>
        <v>0</v>
      </c>
      <c r="Z330" s="129"/>
      <c r="AA330" s="126">
        <f t="shared" ref="AA330:AH331" si="339">AA$320*$A330</f>
        <v>0</v>
      </c>
      <c r="AB330" s="126">
        <f t="shared" si="339"/>
        <v>0</v>
      </c>
      <c r="AC330" s="126">
        <f t="shared" si="339"/>
        <v>0</v>
      </c>
      <c r="AD330" s="126">
        <f t="shared" si="339"/>
        <v>0</v>
      </c>
      <c r="AE330" s="126">
        <f t="shared" si="339"/>
        <v>0</v>
      </c>
      <c r="AF330" s="126">
        <f t="shared" si="339"/>
        <v>0</v>
      </c>
      <c r="AG330" s="126">
        <f t="shared" si="339"/>
        <v>0</v>
      </c>
      <c r="AH330" s="126">
        <f t="shared" si="339"/>
        <v>0</v>
      </c>
      <c r="AI330" s="126"/>
      <c r="AJ330" s="126">
        <f t="shared" ref="AJ330:AN331" si="340">AJ$320*$A330</f>
        <v>0</v>
      </c>
      <c r="AK330" s="126">
        <f t="shared" si="340"/>
        <v>0</v>
      </c>
      <c r="AL330" s="126">
        <f t="shared" si="340"/>
        <v>0</v>
      </c>
      <c r="AM330" s="126">
        <f t="shared" si="340"/>
        <v>0</v>
      </c>
      <c r="AN330" s="126">
        <f t="shared" si="340"/>
        <v>0</v>
      </c>
      <c r="AO330" s="128">
        <f>SUM(AB330:AN330)</f>
        <v>0</v>
      </c>
      <c r="AP330" s="126">
        <f t="shared" ref="AP330:BA331" si="341">AP$320*$A330</f>
        <v>0</v>
      </c>
      <c r="AQ330" s="126">
        <f t="shared" si="341"/>
        <v>0</v>
      </c>
      <c r="AR330" s="126">
        <f t="shared" si="341"/>
        <v>0</v>
      </c>
      <c r="AS330" s="126">
        <f t="shared" si="341"/>
        <v>0</v>
      </c>
      <c r="AT330" s="126">
        <f t="shared" si="341"/>
        <v>0</v>
      </c>
      <c r="AU330" s="126">
        <f t="shared" si="341"/>
        <v>0</v>
      </c>
      <c r="AV330" s="126">
        <f t="shared" si="341"/>
        <v>0</v>
      </c>
      <c r="AW330" s="126">
        <f t="shared" si="341"/>
        <v>0</v>
      </c>
      <c r="AX330" s="126">
        <f t="shared" si="341"/>
        <v>0</v>
      </c>
      <c r="AY330" s="126">
        <f t="shared" si="341"/>
        <v>0</v>
      </c>
      <c r="AZ330" s="126">
        <f t="shared" si="341"/>
        <v>0</v>
      </c>
      <c r="BA330" s="126">
        <f t="shared" si="341"/>
        <v>0</v>
      </c>
      <c r="BB330" s="127">
        <f>SUM(AP330:BA330)</f>
        <v>0</v>
      </c>
      <c r="BC330" s="126"/>
    </row>
    <row r="331" spans="1:55" x14ac:dyDescent="0.3">
      <c r="A331" s="125">
        <v>0.1</v>
      </c>
      <c r="B331" s="124" t="s">
        <v>610</v>
      </c>
      <c r="C331" s="112">
        <f>C$320*$A331</f>
        <v>0</v>
      </c>
      <c r="D331" s="111"/>
      <c r="E331" s="112">
        <f>E$320*$A331</f>
        <v>0</v>
      </c>
      <c r="F331" s="111"/>
      <c r="G331" s="112">
        <f>G$320*$A331</f>
        <v>0</v>
      </c>
      <c r="H331" s="111"/>
      <c r="I331" s="112">
        <f>I$320*$A331</f>
        <v>0</v>
      </c>
      <c r="J331" s="111"/>
      <c r="K331" s="112">
        <f>K$320*$A331</f>
        <v>0</v>
      </c>
      <c r="L331" s="111"/>
      <c r="M331" s="112">
        <f>M$320*$A331</f>
        <v>0</v>
      </c>
      <c r="N331" s="111"/>
      <c r="O331" s="112">
        <f>O$320*$A331</f>
        <v>0</v>
      </c>
      <c r="P331" s="111"/>
      <c r="Q331" s="112">
        <f>Q$320*$A331</f>
        <v>0</v>
      </c>
      <c r="R331" s="111"/>
      <c r="S331" s="112">
        <f>S$320*$A331</f>
        <v>0</v>
      </c>
      <c r="T331" s="111"/>
      <c r="U331" s="112">
        <f>U$320*$A331</f>
        <v>0</v>
      </c>
      <c r="V331" s="111"/>
      <c r="W331" s="112">
        <f>W$320*$A331</f>
        <v>0</v>
      </c>
      <c r="X331" s="111"/>
      <c r="Y331" s="112">
        <f>Y$320*$A331</f>
        <v>0</v>
      </c>
      <c r="Z331" s="111"/>
      <c r="AA331" s="109">
        <f t="shared" si="339"/>
        <v>0</v>
      </c>
      <c r="AB331" s="109">
        <f t="shared" si="339"/>
        <v>0</v>
      </c>
      <c r="AC331" s="109">
        <f t="shared" si="339"/>
        <v>0</v>
      </c>
      <c r="AD331" s="109">
        <f t="shared" si="339"/>
        <v>0</v>
      </c>
      <c r="AE331" s="109">
        <f t="shared" si="339"/>
        <v>0</v>
      </c>
      <c r="AF331" s="109">
        <f t="shared" si="339"/>
        <v>0</v>
      </c>
      <c r="AG331" s="109">
        <f t="shared" si="339"/>
        <v>0</v>
      </c>
      <c r="AH331" s="109">
        <f t="shared" si="339"/>
        <v>0</v>
      </c>
      <c r="AI331" s="109"/>
      <c r="AJ331" s="109">
        <f t="shared" si="340"/>
        <v>0</v>
      </c>
      <c r="AK331" s="109">
        <f t="shared" si="340"/>
        <v>0</v>
      </c>
      <c r="AL331" s="109">
        <f t="shared" si="340"/>
        <v>0</v>
      </c>
      <c r="AM331" s="109">
        <f t="shared" si="340"/>
        <v>0</v>
      </c>
      <c r="AN331" s="109">
        <f t="shared" si="340"/>
        <v>0</v>
      </c>
      <c r="AO331" s="110">
        <f>SUM(AB331:AN331)</f>
        <v>0</v>
      </c>
      <c r="AP331" s="109">
        <f t="shared" si="341"/>
        <v>0</v>
      </c>
      <c r="AQ331" s="109">
        <f t="shared" si="341"/>
        <v>0</v>
      </c>
      <c r="AR331" s="109">
        <f t="shared" si="341"/>
        <v>0</v>
      </c>
      <c r="AS331" s="109">
        <f t="shared" si="341"/>
        <v>0</v>
      </c>
      <c r="AT331" s="109">
        <f t="shared" si="341"/>
        <v>0</v>
      </c>
      <c r="AU331" s="109">
        <f t="shared" si="341"/>
        <v>0</v>
      </c>
      <c r="AV331" s="109">
        <f t="shared" si="341"/>
        <v>0</v>
      </c>
      <c r="AW331" s="109">
        <f t="shared" si="341"/>
        <v>0</v>
      </c>
      <c r="AX331" s="109">
        <f t="shared" si="341"/>
        <v>0</v>
      </c>
      <c r="AY331" s="109">
        <f t="shared" si="341"/>
        <v>0</v>
      </c>
      <c r="AZ331" s="109">
        <f t="shared" si="341"/>
        <v>0</v>
      </c>
      <c r="BA331" s="109">
        <f t="shared" si="341"/>
        <v>0</v>
      </c>
      <c r="BB331" s="110">
        <f>SUM(AP331:BA331)</f>
        <v>0</v>
      </c>
      <c r="BC331" s="109"/>
    </row>
    <row r="332" spans="1:55" x14ac:dyDescent="0.3">
      <c r="B332" s="380" t="s">
        <v>611</v>
      </c>
      <c r="C332" s="123">
        <f>SUM(C330:C331)</f>
        <v>0</v>
      </c>
      <c r="D332" s="388"/>
      <c r="E332" s="123">
        <f>SUM(E330:E331)</f>
        <v>0</v>
      </c>
      <c r="F332" s="388"/>
      <c r="G332" s="123">
        <f>SUM(G330:G331)</f>
        <v>0</v>
      </c>
      <c r="H332" s="388"/>
      <c r="I332" s="123">
        <f>SUM(I330:I331)</f>
        <v>0</v>
      </c>
      <c r="J332" s="388"/>
      <c r="K332" s="123">
        <f>SUM(K330:K331)</f>
        <v>0</v>
      </c>
      <c r="L332" s="388"/>
      <c r="M332" s="123">
        <f>SUM(M330:M331)</f>
        <v>0</v>
      </c>
      <c r="N332" s="388"/>
      <c r="O332" s="123">
        <f>SUM(O330:O331)</f>
        <v>0</v>
      </c>
      <c r="P332" s="388"/>
      <c r="Q332" s="123">
        <f>SUM(Q330:Q331)</f>
        <v>0</v>
      </c>
      <c r="R332" s="388"/>
      <c r="S332" s="123">
        <f>SUM(S330:S331)</f>
        <v>0</v>
      </c>
      <c r="T332" s="388"/>
      <c r="U332" s="123">
        <f>SUM(U330:U331)</f>
        <v>0</v>
      </c>
      <c r="V332" s="388"/>
      <c r="W332" s="123">
        <f>SUM(W330:W331)</f>
        <v>0</v>
      </c>
      <c r="X332" s="388"/>
      <c r="Y332" s="123">
        <f>SUM(Y330:Y331)</f>
        <v>0</v>
      </c>
      <c r="Z332" s="388"/>
      <c r="AA332" s="389">
        <f t="shared" ref="AA332:AH332" si="342">SUM(AA330:AA331)</f>
        <v>0</v>
      </c>
      <c r="AB332" s="389">
        <f t="shared" si="342"/>
        <v>0</v>
      </c>
      <c r="AC332" s="389">
        <f t="shared" si="342"/>
        <v>0</v>
      </c>
      <c r="AD332" s="389">
        <f t="shared" si="342"/>
        <v>0</v>
      </c>
      <c r="AE332" s="389">
        <f t="shared" si="342"/>
        <v>0</v>
      </c>
      <c r="AF332" s="389">
        <f t="shared" si="342"/>
        <v>0</v>
      </c>
      <c r="AG332" s="389">
        <f t="shared" si="342"/>
        <v>0</v>
      </c>
      <c r="AH332" s="389">
        <f t="shared" si="342"/>
        <v>0</v>
      </c>
      <c r="AI332" s="389"/>
      <c r="AJ332" s="389">
        <f>SUM(AJ330:AJ331)</f>
        <v>0</v>
      </c>
      <c r="AK332" s="389">
        <f>SUM(AK330:AK331)</f>
        <v>0</v>
      </c>
      <c r="AL332" s="389">
        <f>SUM(AL330:AL331)</f>
        <v>0</v>
      </c>
      <c r="AM332" s="389">
        <f>SUM(AM330:AM331)</f>
        <v>0</v>
      </c>
      <c r="AN332" s="389">
        <f>SUM(AN330:AN331)</f>
        <v>0</v>
      </c>
      <c r="AO332" s="390">
        <f>SUM(AB332:AN332)</f>
        <v>0</v>
      </c>
      <c r="AP332" s="389">
        <f t="shared" ref="AP332:BA332" si="343">SUM(AP330:AP331)</f>
        <v>0</v>
      </c>
      <c r="AQ332" s="389">
        <f t="shared" si="343"/>
        <v>0</v>
      </c>
      <c r="AR332" s="389">
        <f t="shared" si="343"/>
        <v>0</v>
      </c>
      <c r="AS332" s="389">
        <f t="shared" si="343"/>
        <v>0</v>
      </c>
      <c r="AT332" s="389">
        <f t="shared" si="343"/>
        <v>0</v>
      </c>
      <c r="AU332" s="389">
        <f t="shared" si="343"/>
        <v>0</v>
      </c>
      <c r="AV332" s="389">
        <f t="shared" si="343"/>
        <v>0</v>
      </c>
      <c r="AW332" s="389">
        <f t="shared" si="343"/>
        <v>0</v>
      </c>
      <c r="AX332" s="389">
        <f t="shared" si="343"/>
        <v>0</v>
      </c>
      <c r="AY332" s="389">
        <f t="shared" si="343"/>
        <v>0</v>
      </c>
      <c r="AZ332" s="389">
        <f t="shared" si="343"/>
        <v>0</v>
      </c>
      <c r="BA332" s="389">
        <f t="shared" si="343"/>
        <v>0</v>
      </c>
      <c r="BB332" s="390">
        <f>SUM(AP332:BA332)</f>
        <v>0</v>
      </c>
      <c r="BC332" s="389"/>
    </row>
    <row r="333" spans="1:55" x14ac:dyDescent="0.3">
      <c r="C333" s="83"/>
      <c r="D333" s="82"/>
      <c r="E333" s="83"/>
      <c r="F333" s="82"/>
      <c r="G333" s="83"/>
      <c r="H333" s="82"/>
      <c r="I333" s="83"/>
      <c r="J333" s="82"/>
      <c r="K333" s="83"/>
      <c r="L333" s="82"/>
      <c r="M333" s="83"/>
      <c r="N333" s="82"/>
      <c r="O333" s="83"/>
      <c r="P333" s="82"/>
      <c r="Q333" s="83"/>
      <c r="R333" s="82"/>
      <c r="S333" s="83"/>
      <c r="T333" s="82"/>
      <c r="U333" s="83"/>
      <c r="V333" s="82"/>
      <c r="W333" s="83"/>
      <c r="X333" s="82"/>
      <c r="Y333" s="83"/>
      <c r="Z333" s="82"/>
    </row>
    <row r="334" spans="1:55" ht="18.600000000000001" thickBot="1" x14ac:dyDescent="0.4">
      <c r="C334" s="151" t="s">
        <v>627</v>
      </c>
      <c r="D334" s="150"/>
      <c r="E334" s="151"/>
      <c r="F334" s="150"/>
      <c r="G334" s="151"/>
      <c r="H334" s="150"/>
      <c r="I334" s="151"/>
      <c r="J334" s="150"/>
      <c r="K334" s="83"/>
      <c r="L334" s="82"/>
      <c r="M334" s="83"/>
      <c r="N334" s="82"/>
      <c r="O334" s="83"/>
      <c r="P334" s="82"/>
      <c r="Q334" s="83"/>
      <c r="R334" s="82"/>
      <c r="S334" s="83"/>
      <c r="T334" s="82"/>
      <c r="U334" s="83"/>
      <c r="V334" s="82"/>
      <c r="W334" s="83"/>
      <c r="X334" s="82"/>
      <c r="Y334" s="83"/>
      <c r="Z334" s="82"/>
    </row>
    <row r="335" spans="1:55" ht="15" thickTop="1" x14ac:dyDescent="0.3">
      <c r="B335" s="381"/>
      <c r="C335" s="149">
        <v>45292</v>
      </c>
      <c r="D335" s="148">
        <v>45292</v>
      </c>
      <c r="E335" s="149">
        <v>45323</v>
      </c>
      <c r="F335" s="148">
        <v>45323</v>
      </c>
      <c r="G335" s="149">
        <v>45352</v>
      </c>
      <c r="H335" s="148">
        <v>45352</v>
      </c>
      <c r="I335" s="149">
        <v>45383</v>
      </c>
      <c r="J335" s="148">
        <v>45383</v>
      </c>
      <c r="K335" s="149">
        <v>45413</v>
      </c>
      <c r="L335" s="148">
        <v>45413</v>
      </c>
      <c r="M335" s="149">
        <v>45444</v>
      </c>
      <c r="N335" s="148">
        <v>45444</v>
      </c>
      <c r="O335" s="149">
        <v>45474</v>
      </c>
      <c r="P335" s="148">
        <v>45474</v>
      </c>
      <c r="Q335" s="149">
        <v>45505</v>
      </c>
      <c r="R335" s="148">
        <v>45505</v>
      </c>
      <c r="S335" s="149">
        <v>45536</v>
      </c>
      <c r="T335" s="148">
        <v>45536</v>
      </c>
      <c r="U335" s="149">
        <v>45566</v>
      </c>
      <c r="V335" s="148">
        <v>45566</v>
      </c>
      <c r="W335" s="149">
        <v>45597</v>
      </c>
      <c r="X335" s="148">
        <v>45597</v>
      </c>
      <c r="Y335" s="149">
        <v>45627</v>
      </c>
      <c r="Z335" s="148">
        <v>45627</v>
      </c>
      <c r="AA335" s="382">
        <f t="shared" ref="AA335:AH335" si="344">AA313</f>
        <v>44927</v>
      </c>
      <c r="AB335" s="382">
        <f t="shared" si="344"/>
        <v>44958</v>
      </c>
      <c r="AC335" s="382">
        <f t="shared" si="344"/>
        <v>44986</v>
      </c>
      <c r="AD335" s="382">
        <f t="shared" si="344"/>
        <v>45017</v>
      </c>
      <c r="AE335" s="382">
        <f t="shared" si="344"/>
        <v>45047</v>
      </c>
      <c r="AF335" s="382">
        <f t="shared" si="344"/>
        <v>45078</v>
      </c>
      <c r="AG335" s="382">
        <f t="shared" si="344"/>
        <v>45108</v>
      </c>
      <c r="AH335" s="382">
        <f t="shared" si="344"/>
        <v>45139</v>
      </c>
      <c r="AI335" s="381"/>
      <c r="AJ335" s="381" t="s">
        <v>579</v>
      </c>
      <c r="AK335" s="381" t="s">
        <v>580</v>
      </c>
      <c r="AL335" s="381" t="s">
        <v>581</v>
      </c>
      <c r="AM335" s="381" t="s">
        <v>582</v>
      </c>
      <c r="AN335" s="381" t="s">
        <v>583</v>
      </c>
      <c r="AO335" s="383" t="s">
        <v>584</v>
      </c>
      <c r="AP335" s="381" t="s">
        <v>585</v>
      </c>
      <c r="AQ335" s="381" t="s">
        <v>586</v>
      </c>
      <c r="AR335" s="381" t="s">
        <v>587</v>
      </c>
      <c r="AS335" s="381" t="s">
        <v>588</v>
      </c>
      <c r="AT335" s="381" t="s">
        <v>589</v>
      </c>
      <c r="AU335" s="381" t="s">
        <v>590</v>
      </c>
      <c r="AV335" s="381" t="s">
        <v>591</v>
      </c>
      <c r="AW335" s="381" t="s">
        <v>592</v>
      </c>
      <c r="AX335" s="381" t="s">
        <v>593</v>
      </c>
      <c r="AY335" s="381" t="s">
        <v>594</v>
      </c>
      <c r="AZ335" s="381" t="s">
        <v>595</v>
      </c>
      <c r="BA335" s="381" t="s">
        <v>596</v>
      </c>
      <c r="BB335" s="383" t="s">
        <v>597</v>
      </c>
      <c r="BC335" s="382"/>
    </row>
    <row r="336" spans="1:55" x14ac:dyDescent="0.3">
      <c r="B336" s="113" t="str">
        <f t="shared" ref="B336:B341" si="345">B314</f>
        <v>Salvadorcard/SSA</v>
      </c>
      <c r="C336" s="146">
        <v>0</v>
      </c>
      <c r="D336" s="145"/>
      <c r="E336" s="146">
        <v>0</v>
      </c>
      <c r="F336" s="145"/>
      <c r="G336" s="146">
        <v>0</v>
      </c>
      <c r="H336" s="145"/>
      <c r="I336" s="146">
        <v>0</v>
      </c>
      <c r="J336" s="145"/>
      <c r="K336" s="146">
        <v>0</v>
      </c>
      <c r="L336" s="145"/>
      <c r="M336" s="146">
        <v>0</v>
      </c>
      <c r="N336" s="145"/>
      <c r="O336" s="146">
        <v>0</v>
      </c>
      <c r="P336" s="145"/>
      <c r="Q336" s="146">
        <v>0</v>
      </c>
      <c r="R336" s="145"/>
      <c r="S336" s="146">
        <v>0</v>
      </c>
      <c r="T336" s="145"/>
      <c r="U336" s="146">
        <v>0</v>
      </c>
      <c r="V336" s="145"/>
      <c r="W336" s="146">
        <v>0</v>
      </c>
      <c r="X336" s="145"/>
      <c r="Y336" s="146">
        <v>0</v>
      </c>
      <c r="Z336" s="145"/>
      <c r="AA336" s="144">
        <v>0</v>
      </c>
      <c r="AB336" s="144">
        <v>0</v>
      </c>
      <c r="AC336" s="144">
        <v>0</v>
      </c>
      <c r="AD336" s="144">
        <v>0</v>
      </c>
      <c r="AE336" s="144">
        <v>0</v>
      </c>
      <c r="AF336" s="144">
        <v>0</v>
      </c>
      <c r="AG336" s="144">
        <v>0</v>
      </c>
      <c r="AH336" s="144">
        <v>0</v>
      </c>
      <c r="AI336" s="144"/>
      <c r="AJ336" s="144">
        <v>0</v>
      </c>
      <c r="AK336" s="144">
        <v>0</v>
      </c>
      <c r="AL336" s="144">
        <v>0</v>
      </c>
      <c r="AM336" s="144">
        <v>0</v>
      </c>
      <c r="AN336" s="144">
        <v>0</v>
      </c>
      <c r="AO336" s="391">
        <f t="shared" ref="AO336:AO342" si="346">SUM(AB336:AN336)</f>
        <v>0</v>
      </c>
      <c r="AP336" s="144">
        <v>0</v>
      </c>
      <c r="AQ336" s="144">
        <v>0</v>
      </c>
      <c r="AR336" s="144">
        <v>0</v>
      </c>
      <c r="AS336" s="144">
        <v>0</v>
      </c>
      <c r="AT336" s="144">
        <v>0</v>
      </c>
      <c r="AU336" s="144">
        <v>0</v>
      </c>
      <c r="AV336" s="144">
        <v>0</v>
      </c>
      <c r="AW336" s="144">
        <v>0</v>
      </c>
      <c r="AX336" s="144">
        <v>0</v>
      </c>
      <c r="AY336" s="144">
        <v>0</v>
      </c>
      <c r="AZ336" s="144">
        <v>0</v>
      </c>
      <c r="BA336" s="144">
        <v>0</v>
      </c>
      <c r="BB336" s="391">
        <f t="shared" ref="BB336:BB342" si="347">SUM(AP336:BA336)</f>
        <v>0</v>
      </c>
      <c r="BC336" s="144"/>
    </row>
    <row r="337" spans="1:55" x14ac:dyDescent="0.3">
      <c r="B337" s="91" t="str">
        <f t="shared" si="345"/>
        <v>Metropasse/SSA</v>
      </c>
      <c r="C337" s="90">
        <v>0</v>
      </c>
      <c r="D337" s="89"/>
      <c r="E337" s="90">
        <v>0</v>
      </c>
      <c r="F337" s="89"/>
      <c r="G337" s="90">
        <v>0</v>
      </c>
      <c r="H337" s="89"/>
      <c r="I337" s="90">
        <v>0</v>
      </c>
      <c r="J337" s="89"/>
      <c r="K337" s="90">
        <v>0</v>
      </c>
      <c r="L337" s="89"/>
      <c r="M337" s="90">
        <v>0</v>
      </c>
      <c r="N337" s="89"/>
      <c r="O337" s="90">
        <v>0</v>
      </c>
      <c r="P337" s="89"/>
      <c r="Q337" s="90">
        <v>0</v>
      </c>
      <c r="R337" s="89"/>
      <c r="S337" s="90">
        <v>0</v>
      </c>
      <c r="T337" s="89"/>
      <c r="U337" s="90">
        <v>0</v>
      </c>
      <c r="V337" s="89"/>
      <c r="W337" s="90">
        <v>0</v>
      </c>
      <c r="X337" s="89"/>
      <c r="Y337" s="90">
        <v>0</v>
      </c>
      <c r="Z337" s="89"/>
      <c r="AA337" s="96">
        <v>0</v>
      </c>
      <c r="AB337" s="96">
        <v>0</v>
      </c>
      <c r="AC337" s="96">
        <v>0</v>
      </c>
      <c r="AD337" s="96">
        <v>0</v>
      </c>
      <c r="AE337" s="96">
        <v>0</v>
      </c>
      <c r="AF337" s="96">
        <v>0</v>
      </c>
      <c r="AG337" s="96">
        <v>0</v>
      </c>
      <c r="AH337" s="96">
        <v>0</v>
      </c>
      <c r="AI337" s="96"/>
      <c r="AJ337" s="96" t="e">
        <v>#REF!</v>
      </c>
      <c r="AK337" s="96" t="e">
        <v>#REF!</v>
      </c>
      <c r="AL337" s="96" t="e">
        <v>#REF!</v>
      </c>
      <c r="AM337" s="96" t="e">
        <v>#REF!</v>
      </c>
      <c r="AN337" s="96" t="e">
        <v>#REF!</v>
      </c>
      <c r="AO337" s="147" t="e">
        <f t="shared" si="346"/>
        <v>#REF!</v>
      </c>
      <c r="AP337" s="96" t="e">
        <v>#REF!</v>
      </c>
      <c r="AQ337" s="96" t="e">
        <v>#REF!</v>
      </c>
      <c r="AR337" s="96" t="e">
        <v>#REF!</v>
      </c>
      <c r="AS337" s="96" t="e">
        <v>#REF!</v>
      </c>
      <c r="AT337" s="96" t="e">
        <v>#REF!</v>
      </c>
      <c r="AU337" s="96" t="e">
        <v>#REF!</v>
      </c>
      <c r="AV337" s="96" t="e">
        <v>#REF!</v>
      </c>
      <c r="AW337" s="96" t="e">
        <v>#REF!</v>
      </c>
      <c r="AX337" s="96" t="e">
        <v>#REF!</v>
      </c>
      <c r="AY337" s="96" t="e">
        <v>#REF!</v>
      </c>
      <c r="AZ337" s="96" t="e">
        <v>#REF!</v>
      </c>
      <c r="BA337" s="96" t="e">
        <v>#REF!</v>
      </c>
      <c r="BB337" s="147" t="e">
        <f t="shared" si="347"/>
        <v>#REF!</v>
      </c>
      <c r="BC337" s="96"/>
    </row>
    <row r="338" spans="1:55" x14ac:dyDescent="0.3">
      <c r="B338" s="91" t="str">
        <f t="shared" si="345"/>
        <v>GVBus/VIX</v>
      </c>
      <c r="C338" s="90">
        <v>0</v>
      </c>
      <c r="D338" s="89"/>
      <c r="E338" s="90">
        <v>0</v>
      </c>
      <c r="F338" s="89"/>
      <c r="G338" s="90">
        <v>0</v>
      </c>
      <c r="H338" s="89"/>
      <c r="I338" s="90">
        <v>0</v>
      </c>
      <c r="J338" s="89"/>
      <c r="K338" s="90">
        <v>0</v>
      </c>
      <c r="L338" s="89"/>
      <c r="M338" s="90">
        <v>0</v>
      </c>
      <c r="N338" s="89"/>
      <c r="O338" s="90">
        <v>0</v>
      </c>
      <c r="P338" s="89"/>
      <c r="Q338" s="90">
        <v>0</v>
      </c>
      <c r="R338" s="89"/>
      <c r="S338" s="90">
        <v>0</v>
      </c>
      <c r="T338" s="89"/>
      <c r="U338" s="90">
        <v>0</v>
      </c>
      <c r="V338" s="89"/>
      <c r="W338" s="90">
        <v>0</v>
      </c>
      <c r="X338" s="89"/>
      <c r="Y338" s="90">
        <v>0</v>
      </c>
      <c r="Z338" s="89"/>
      <c r="AA338" s="96">
        <v>0</v>
      </c>
      <c r="AB338" s="96">
        <v>0</v>
      </c>
      <c r="AC338" s="96">
        <v>0</v>
      </c>
      <c r="AD338" s="96">
        <v>0</v>
      </c>
      <c r="AE338" s="96">
        <v>0</v>
      </c>
      <c r="AF338" s="96">
        <v>0</v>
      </c>
      <c r="AG338" s="96">
        <v>0</v>
      </c>
      <c r="AH338" s="96">
        <v>0</v>
      </c>
      <c r="AI338" s="96"/>
      <c r="AJ338" s="96">
        <v>0</v>
      </c>
      <c r="AK338" s="96">
        <v>0</v>
      </c>
      <c r="AL338" s="96">
        <v>0</v>
      </c>
      <c r="AM338" s="96">
        <v>0</v>
      </c>
      <c r="AN338" s="96">
        <v>0</v>
      </c>
      <c r="AO338" s="147">
        <f t="shared" si="346"/>
        <v>0</v>
      </c>
      <c r="AP338" s="96">
        <v>0</v>
      </c>
      <c r="AQ338" s="96">
        <v>0</v>
      </c>
      <c r="AR338" s="96">
        <v>0</v>
      </c>
      <c r="AS338" s="96">
        <v>0</v>
      </c>
      <c r="AT338" s="96">
        <v>0</v>
      </c>
      <c r="AU338" s="96">
        <v>0</v>
      </c>
      <c r="AV338" s="96">
        <v>0</v>
      </c>
      <c r="AW338" s="96">
        <v>0</v>
      </c>
      <c r="AX338" s="96">
        <v>0</v>
      </c>
      <c r="AY338" s="96">
        <v>0</v>
      </c>
      <c r="AZ338" s="96">
        <v>0</v>
      </c>
      <c r="BA338" s="96">
        <v>0</v>
      </c>
      <c r="BB338" s="147">
        <f t="shared" si="347"/>
        <v>0</v>
      </c>
      <c r="BC338" s="96"/>
    </row>
    <row r="339" spans="1:55" x14ac:dyDescent="0.3">
      <c r="B339" s="91" t="str">
        <f t="shared" si="345"/>
        <v>Teu/POA</v>
      </c>
      <c r="C339" s="90">
        <v>0</v>
      </c>
      <c r="D339" s="89"/>
      <c r="E339" s="90">
        <v>0</v>
      </c>
      <c r="F339" s="89"/>
      <c r="G339" s="90">
        <v>0</v>
      </c>
      <c r="H339" s="89"/>
      <c r="I339" s="90">
        <v>0</v>
      </c>
      <c r="J339" s="89"/>
      <c r="K339" s="90">
        <v>0</v>
      </c>
      <c r="L339" s="89"/>
      <c r="M339" s="90">
        <v>0</v>
      </c>
      <c r="N339" s="89"/>
      <c r="O339" s="90">
        <v>0</v>
      </c>
      <c r="P339" s="89"/>
      <c r="Q339" s="90">
        <v>0</v>
      </c>
      <c r="R339" s="89"/>
      <c r="S339" s="90">
        <v>0</v>
      </c>
      <c r="T339" s="89"/>
      <c r="U339" s="90">
        <v>0</v>
      </c>
      <c r="V339" s="89"/>
      <c r="W339" s="90">
        <v>0</v>
      </c>
      <c r="X339" s="89"/>
      <c r="Y339" s="90">
        <v>0</v>
      </c>
      <c r="Z339" s="89"/>
      <c r="AA339" s="96">
        <v>0</v>
      </c>
      <c r="AB339" s="96">
        <v>0</v>
      </c>
      <c r="AC339" s="96">
        <v>0</v>
      </c>
      <c r="AD339" s="96">
        <v>0</v>
      </c>
      <c r="AE339" s="96">
        <v>0</v>
      </c>
      <c r="AF339" s="96">
        <v>0</v>
      </c>
      <c r="AG339" s="96">
        <v>0</v>
      </c>
      <c r="AH339" s="96">
        <v>0</v>
      </c>
      <c r="AI339" s="96"/>
      <c r="AJ339" s="96">
        <v>0</v>
      </c>
      <c r="AK339" s="96">
        <v>0</v>
      </c>
      <c r="AL339" s="96">
        <v>0</v>
      </c>
      <c r="AM339" s="96">
        <v>0</v>
      </c>
      <c r="AN339" s="96">
        <v>0</v>
      </c>
      <c r="AO339" s="147">
        <f t="shared" si="346"/>
        <v>0</v>
      </c>
      <c r="AP339" s="96">
        <v>0</v>
      </c>
      <c r="AQ339" s="96">
        <v>0</v>
      </c>
      <c r="AR339" s="96">
        <v>0</v>
      </c>
      <c r="AS339" s="96">
        <v>0</v>
      </c>
      <c r="AT339" s="96">
        <v>0</v>
      </c>
      <c r="AU339" s="96">
        <v>0</v>
      </c>
      <c r="AV339" s="96">
        <v>0</v>
      </c>
      <c r="AW339" s="96">
        <v>0</v>
      </c>
      <c r="AX339" s="96">
        <v>0</v>
      </c>
      <c r="AY339" s="96">
        <v>0</v>
      </c>
      <c r="AZ339" s="96">
        <v>0</v>
      </c>
      <c r="BA339" s="96">
        <v>0</v>
      </c>
      <c r="BB339" s="147">
        <f t="shared" si="347"/>
        <v>0</v>
      </c>
      <c r="BC339" s="96"/>
    </row>
    <row r="340" spans="1:55" x14ac:dyDescent="0.3">
      <c r="B340" s="91" t="str">
        <f t="shared" si="345"/>
        <v>Transfácil/BHZ</v>
      </c>
      <c r="C340" s="90">
        <v>0</v>
      </c>
      <c r="D340" s="89"/>
      <c r="E340" s="90">
        <v>0</v>
      </c>
      <c r="F340" s="89"/>
      <c r="G340" s="90">
        <v>0</v>
      </c>
      <c r="H340" s="89"/>
      <c r="I340" s="90">
        <v>0</v>
      </c>
      <c r="J340" s="89"/>
      <c r="K340" s="90">
        <v>0</v>
      </c>
      <c r="L340" s="89"/>
      <c r="M340" s="90">
        <v>0</v>
      </c>
      <c r="N340" s="89"/>
      <c r="O340" s="90">
        <v>0</v>
      </c>
      <c r="P340" s="89"/>
      <c r="Q340" s="90">
        <v>0</v>
      </c>
      <c r="R340" s="89"/>
      <c r="S340" s="90">
        <v>0</v>
      </c>
      <c r="T340" s="89"/>
      <c r="U340" s="90">
        <v>0</v>
      </c>
      <c r="V340" s="89"/>
      <c r="W340" s="90">
        <v>0</v>
      </c>
      <c r="X340" s="89"/>
      <c r="Y340" s="90">
        <v>0</v>
      </c>
      <c r="Z340" s="89"/>
      <c r="AA340" s="96">
        <v>0</v>
      </c>
      <c r="AB340" s="96">
        <v>0</v>
      </c>
      <c r="AC340" s="96">
        <v>0</v>
      </c>
      <c r="AD340" s="96">
        <v>0</v>
      </c>
      <c r="AE340" s="96">
        <v>0</v>
      </c>
      <c r="AF340" s="96">
        <v>0</v>
      </c>
      <c r="AG340" s="96">
        <v>0</v>
      </c>
      <c r="AH340" s="96">
        <v>0</v>
      </c>
      <c r="AI340" s="96"/>
      <c r="AJ340" s="96">
        <v>0</v>
      </c>
      <c r="AK340" s="96">
        <v>0</v>
      </c>
      <c r="AL340" s="96">
        <v>0</v>
      </c>
      <c r="AM340" s="96">
        <v>0</v>
      </c>
      <c r="AN340" s="96">
        <v>0</v>
      </c>
      <c r="AO340" s="147">
        <f t="shared" si="346"/>
        <v>0</v>
      </c>
      <c r="AP340" s="96">
        <v>0</v>
      </c>
      <c r="AQ340" s="96">
        <v>0</v>
      </c>
      <c r="AR340" s="96">
        <v>0</v>
      </c>
      <c r="AS340" s="96">
        <v>0</v>
      </c>
      <c r="AT340" s="96">
        <v>0</v>
      </c>
      <c r="AU340" s="96">
        <v>0</v>
      </c>
      <c r="AV340" s="96">
        <v>0</v>
      </c>
      <c r="AW340" s="96">
        <v>0</v>
      </c>
      <c r="AX340" s="96">
        <v>0</v>
      </c>
      <c r="AY340" s="96">
        <v>0</v>
      </c>
      <c r="AZ340" s="96">
        <v>0</v>
      </c>
      <c r="BA340" s="96">
        <v>0</v>
      </c>
      <c r="BB340" s="147">
        <f t="shared" si="347"/>
        <v>0</v>
      </c>
      <c r="BC340" s="96"/>
    </row>
    <row r="341" spans="1:55" x14ac:dyDescent="0.3">
      <c r="B341" s="113" t="str">
        <f t="shared" si="345"/>
        <v>Biguaçú-Jotur-Santa Terezinha/Florianopolis</v>
      </c>
      <c r="C341" s="146">
        <v>0</v>
      </c>
      <c r="D341" s="145"/>
      <c r="E341" s="146">
        <v>0</v>
      </c>
      <c r="F341" s="145"/>
      <c r="G341" s="146">
        <v>0</v>
      </c>
      <c r="H341" s="145"/>
      <c r="I341" s="146">
        <v>0</v>
      </c>
      <c r="J341" s="145"/>
      <c r="K341" s="146">
        <v>0</v>
      </c>
      <c r="L341" s="145"/>
      <c r="M341" s="146">
        <v>0</v>
      </c>
      <c r="N341" s="145"/>
      <c r="O341" s="146">
        <v>0</v>
      </c>
      <c r="P341" s="145"/>
      <c r="Q341" s="146">
        <v>0</v>
      </c>
      <c r="R341" s="145"/>
      <c r="S341" s="146">
        <v>0</v>
      </c>
      <c r="T341" s="145"/>
      <c r="U341" s="146">
        <v>0</v>
      </c>
      <c r="V341" s="145"/>
      <c r="W341" s="146">
        <v>0</v>
      </c>
      <c r="X341" s="145"/>
      <c r="Y341" s="146">
        <v>0</v>
      </c>
      <c r="Z341" s="145"/>
      <c r="AA341" s="144">
        <v>0</v>
      </c>
      <c r="AB341" s="144">
        <v>0</v>
      </c>
      <c r="AC341" s="144">
        <v>0</v>
      </c>
      <c r="AD341" s="144">
        <v>0</v>
      </c>
      <c r="AE341" s="144">
        <v>0</v>
      </c>
      <c r="AF341" s="144">
        <v>0</v>
      </c>
      <c r="AG341" s="144">
        <v>0</v>
      </c>
      <c r="AH341" s="144">
        <v>0</v>
      </c>
      <c r="AI341" s="144"/>
      <c r="AJ341" s="144">
        <v>0</v>
      </c>
      <c r="AK341" s="144">
        <v>0</v>
      </c>
      <c r="AL341" s="144">
        <v>0</v>
      </c>
      <c r="AM341" s="144">
        <v>0</v>
      </c>
      <c r="AN341" s="144">
        <v>0</v>
      </c>
      <c r="AO341" s="206">
        <f t="shared" si="346"/>
        <v>0</v>
      </c>
      <c r="AP341" s="144">
        <v>0</v>
      </c>
      <c r="AQ341" s="144">
        <v>0</v>
      </c>
      <c r="AR341" s="144">
        <v>0</v>
      </c>
      <c r="AS341" s="144">
        <v>0</v>
      </c>
      <c r="AT341" s="144">
        <v>0</v>
      </c>
      <c r="AU341" s="144">
        <v>0</v>
      </c>
      <c r="AV341" s="144">
        <v>0</v>
      </c>
      <c r="AW341" s="144">
        <v>0</v>
      </c>
      <c r="AX341" s="144">
        <v>0</v>
      </c>
      <c r="AY341" s="144">
        <v>0</v>
      </c>
      <c r="AZ341" s="144">
        <v>0</v>
      </c>
      <c r="BA341" s="144">
        <v>0</v>
      </c>
      <c r="BB341" s="206">
        <f t="shared" si="347"/>
        <v>0</v>
      </c>
      <c r="BC341" s="144"/>
    </row>
    <row r="342" spans="1:55" x14ac:dyDescent="0.3">
      <c r="B342" s="380" t="s">
        <v>599</v>
      </c>
      <c r="C342" s="143">
        <f>SUM(C336:C341)</f>
        <v>0</v>
      </c>
      <c r="D342" s="385"/>
      <c r="E342" s="143">
        <f>SUM(E336:E341)</f>
        <v>0</v>
      </c>
      <c r="F342" s="385"/>
      <c r="G342" s="143">
        <f>SUM(G336:G341)</f>
        <v>0</v>
      </c>
      <c r="H342" s="385"/>
      <c r="I342" s="143">
        <f>SUM(I336:I341)</f>
        <v>0</v>
      </c>
      <c r="J342" s="385"/>
      <c r="K342" s="143">
        <f>SUM(K336:K341)</f>
        <v>0</v>
      </c>
      <c r="L342" s="385"/>
      <c r="M342" s="143">
        <f>SUM(M336:M341)</f>
        <v>0</v>
      </c>
      <c r="N342" s="385"/>
      <c r="O342" s="143">
        <f>SUM(O336:O341)</f>
        <v>0</v>
      </c>
      <c r="P342" s="385"/>
      <c r="Q342" s="143">
        <f>SUM(Q336:Q341)</f>
        <v>0</v>
      </c>
      <c r="R342" s="385"/>
      <c r="S342" s="143">
        <f>SUM(S336:S341)</f>
        <v>0</v>
      </c>
      <c r="T342" s="385"/>
      <c r="U342" s="143">
        <f>SUM(U336:U341)</f>
        <v>0</v>
      </c>
      <c r="V342" s="385"/>
      <c r="W342" s="143">
        <f>SUM(W336:W341)</f>
        <v>0</v>
      </c>
      <c r="X342" s="385"/>
      <c r="Y342" s="143">
        <f>SUM(Y336:Y341)</f>
        <v>0</v>
      </c>
      <c r="Z342" s="385"/>
      <c r="AA342" s="387">
        <f t="shared" ref="AA342:AH342" si="348">SUM(AA336:AA341)</f>
        <v>0</v>
      </c>
      <c r="AB342" s="387">
        <f t="shared" si="348"/>
        <v>0</v>
      </c>
      <c r="AC342" s="387">
        <f t="shared" si="348"/>
        <v>0</v>
      </c>
      <c r="AD342" s="387">
        <f t="shared" si="348"/>
        <v>0</v>
      </c>
      <c r="AE342" s="387">
        <f t="shared" si="348"/>
        <v>0</v>
      </c>
      <c r="AF342" s="387">
        <f t="shared" si="348"/>
        <v>0</v>
      </c>
      <c r="AG342" s="387">
        <f t="shared" si="348"/>
        <v>0</v>
      </c>
      <c r="AH342" s="387">
        <f t="shared" si="348"/>
        <v>0</v>
      </c>
      <c r="AI342" s="387"/>
      <c r="AJ342" s="387" t="e">
        <f>SUM(AJ336:AJ341)</f>
        <v>#REF!</v>
      </c>
      <c r="AK342" s="387" t="e">
        <f>SUM(AK336:AK341)</f>
        <v>#REF!</v>
      </c>
      <c r="AL342" s="387" t="e">
        <f>SUM(AL336:AL341)</f>
        <v>#REF!</v>
      </c>
      <c r="AM342" s="387" t="e">
        <f>SUM(AM336:AM341)</f>
        <v>#REF!</v>
      </c>
      <c r="AN342" s="387" t="e">
        <f>SUM(AN336:AN341)</f>
        <v>#REF!</v>
      </c>
      <c r="AO342" s="386" t="e">
        <f t="shared" si="346"/>
        <v>#REF!</v>
      </c>
      <c r="AP342" s="387" t="e">
        <f t="shared" ref="AP342:BA342" si="349">SUM(AP336:AP341)</f>
        <v>#REF!</v>
      </c>
      <c r="AQ342" s="387" t="e">
        <f t="shared" si="349"/>
        <v>#REF!</v>
      </c>
      <c r="AR342" s="387" t="e">
        <f t="shared" si="349"/>
        <v>#REF!</v>
      </c>
      <c r="AS342" s="387" t="e">
        <f t="shared" si="349"/>
        <v>#REF!</v>
      </c>
      <c r="AT342" s="387" t="e">
        <f t="shared" si="349"/>
        <v>#REF!</v>
      </c>
      <c r="AU342" s="387" t="e">
        <f t="shared" si="349"/>
        <v>#REF!</v>
      </c>
      <c r="AV342" s="387" t="e">
        <f t="shared" si="349"/>
        <v>#REF!</v>
      </c>
      <c r="AW342" s="387" t="e">
        <f t="shared" si="349"/>
        <v>#REF!</v>
      </c>
      <c r="AX342" s="387" t="e">
        <f t="shared" si="349"/>
        <v>#REF!</v>
      </c>
      <c r="AY342" s="387" t="e">
        <f t="shared" si="349"/>
        <v>#REF!</v>
      </c>
      <c r="AZ342" s="387" t="e">
        <f t="shared" si="349"/>
        <v>#REF!</v>
      </c>
      <c r="BA342" s="387" t="e">
        <f t="shared" si="349"/>
        <v>#REF!</v>
      </c>
      <c r="BB342" s="386" t="e">
        <f t="shared" si="347"/>
        <v>#REF!</v>
      </c>
      <c r="BC342" s="387"/>
    </row>
    <row r="343" spans="1:55" x14ac:dyDescent="0.3">
      <c r="A343" s="108"/>
      <c r="B343" s="142" t="s">
        <v>600</v>
      </c>
      <c r="C343" s="141"/>
      <c r="D343" s="140"/>
      <c r="E343" s="141"/>
      <c r="F343" s="140"/>
      <c r="G343" s="141"/>
      <c r="H343" s="140"/>
      <c r="I343" s="141"/>
      <c r="J343" s="140"/>
      <c r="K343" s="141"/>
      <c r="L343" s="140"/>
      <c r="M343" s="141"/>
      <c r="N343" s="140"/>
      <c r="O343" s="141"/>
      <c r="P343" s="140"/>
      <c r="Q343" s="141"/>
      <c r="R343" s="140"/>
      <c r="S343" s="141"/>
      <c r="T343" s="140"/>
      <c r="U343" s="141"/>
      <c r="V343" s="140"/>
      <c r="W343" s="141"/>
      <c r="X343" s="140"/>
      <c r="Y343" s="141"/>
      <c r="Z343" s="140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  <c r="AN343" s="108"/>
      <c r="AO343" s="139"/>
      <c r="AP343" s="108"/>
      <c r="AQ343" s="108"/>
      <c r="AR343" s="108"/>
      <c r="AS343" s="108"/>
      <c r="AT343" s="108"/>
      <c r="AU343" s="108"/>
      <c r="AV343" s="108"/>
      <c r="AW343" s="108"/>
      <c r="AX343" s="108"/>
      <c r="AY343" s="108"/>
      <c r="AZ343" s="108"/>
      <c r="BA343" s="108"/>
      <c r="BB343" s="139"/>
      <c r="BC343" s="108"/>
    </row>
    <row r="344" spans="1:55" x14ac:dyDescent="0.3">
      <c r="A344" s="125">
        <v>0.47270000000000001</v>
      </c>
      <c r="B344" s="138" t="s">
        <v>601</v>
      </c>
      <c r="C344" s="116">
        <f t="shared" ref="C344:C350" si="350">C$342*$A344</f>
        <v>0</v>
      </c>
      <c r="D344" s="115"/>
      <c r="E344" s="116">
        <f t="shared" ref="E344:E350" si="351">E$342*$A344</f>
        <v>0</v>
      </c>
      <c r="F344" s="115"/>
      <c r="G344" s="116">
        <f t="shared" ref="G344:G350" si="352">G$342*$A344</f>
        <v>0</v>
      </c>
      <c r="H344" s="115"/>
      <c r="I344" s="116">
        <f t="shared" ref="I344:I350" si="353">I$342*$A344</f>
        <v>0</v>
      </c>
      <c r="J344" s="115"/>
      <c r="K344" s="116">
        <f t="shared" ref="K344:K350" si="354">K$342*$A344</f>
        <v>0</v>
      </c>
      <c r="L344" s="115"/>
      <c r="M344" s="116">
        <f t="shared" ref="M344:M350" si="355">M$342*$A344</f>
        <v>0</v>
      </c>
      <c r="N344" s="115"/>
      <c r="O344" s="116">
        <f t="shared" ref="O344:O350" si="356">O$342*$A344</f>
        <v>0</v>
      </c>
      <c r="P344" s="115"/>
      <c r="Q344" s="116">
        <f t="shared" ref="Q344:Q350" si="357">Q$342*$A344</f>
        <v>0</v>
      </c>
      <c r="R344" s="115"/>
      <c r="S344" s="116">
        <f t="shared" ref="S344:S350" si="358">S$342*$A344</f>
        <v>0</v>
      </c>
      <c r="T344" s="115"/>
      <c r="U344" s="116">
        <f t="shared" ref="U344:U350" si="359">U$342*$A344</f>
        <v>0</v>
      </c>
      <c r="V344" s="115"/>
      <c r="W344" s="116">
        <f t="shared" ref="W344:W350" si="360">W$342*$A344</f>
        <v>0</v>
      </c>
      <c r="X344" s="115"/>
      <c r="Y344" s="116">
        <f t="shared" ref="Y344:Y350" si="361">Y$342*$A344</f>
        <v>0</v>
      </c>
      <c r="Z344" s="115"/>
      <c r="AA344" s="93">
        <f t="shared" ref="AA344:AH350" si="362">AA$342*$A344</f>
        <v>0</v>
      </c>
      <c r="AB344" s="93">
        <f t="shared" si="362"/>
        <v>0</v>
      </c>
      <c r="AC344" s="93">
        <f t="shared" si="362"/>
        <v>0</v>
      </c>
      <c r="AD344" s="93">
        <f t="shared" si="362"/>
        <v>0</v>
      </c>
      <c r="AE344" s="93">
        <f t="shared" si="362"/>
        <v>0</v>
      </c>
      <c r="AF344" s="93">
        <f t="shared" si="362"/>
        <v>0</v>
      </c>
      <c r="AG344" s="93">
        <f t="shared" si="362"/>
        <v>0</v>
      </c>
      <c r="AH344" s="93">
        <f t="shared" si="362"/>
        <v>0</v>
      </c>
      <c r="AI344" s="93"/>
      <c r="AJ344" s="93" t="e">
        <f t="shared" ref="AJ344:AN350" si="363">AJ$342*$A344</f>
        <v>#REF!</v>
      </c>
      <c r="AK344" s="93" t="e">
        <f t="shared" si="363"/>
        <v>#REF!</v>
      </c>
      <c r="AL344" s="93" t="e">
        <f t="shared" si="363"/>
        <v>#REF!</v>
      </c>
      <c r="AM344" s="93" t="e">
        <f t="shared" si="363"/>
        <v>#REF!</v>
      </c>
      <c r="AN344" s="93" t="e">
        <f t="shared" si="363"/>
        <v>#REF!</v>
      </c>
      <c r="AO344" s="128" t="e">
        <f t="shared" ref="AO344:AO350" si="364">SUM(AB344:AN344)</f>
        <v>#REF!</v>
      </c>
      <c r="AP344" s="93" t="e">
        <f t="shared" ref="AP344:BA350" si="365">AP$342*$A344</f>
        <v>#REF!</v>
      </c>
      <c r="AQ344" s="93" t="e">
        <f t="shared" si="365"/>
        <v>#REF!</v>
      </c>
      <c r="AR344" s="93" t="e">
        <f t="shared" si="365"/>
        <v>#REF!</v>
      </c>
      <c r="AS344" s="93" t="e">
        <f t="shared" si="365"/>
        <v>#REF!</v>
      </c>
      <c r="AT344" s="93" t="e">
        <f t="shared" si="365"/>
        <v>#REF!</v>
      </c>
      <c r="AU344" s="93" t="e">
        <f t="shared" si="365"/>
        <v>#REF!</v>
      </c>
      <c r="AV344" s="93" t="e">
        <f t="shared" si="365"/>
        <v>#REF!</v>
      </c>
      <c r="AW344" s="93" t="e">
        <f t="shared" si="365"/>
        <v>#REF!</v>
      </c>
      <c r="AX344" s="93" t="e">
        <f t="shared" si="365"/>
        <v>#REF!</v>
      </c>
      <c r="AY344" s="93" t="e">
        <f t="shared" si="365"/>
        <v>#REF!</v>
      </c>
      <c r="AZ344" s="93" t="e">
        <f t="shared" si="365"/>
        <v>#REF!</v>
      </c>
      <c r="BA344" s="93" t="e">
        <f t="shared" si="365"/>
        <v>#REF!</v>
      </c>
      <c r="BB344" s="127" t="e">
        <f t="shared" ref="BB344:BB350" si="366">SUM(AP344:BA344)</f>
        <v>#REF!</v>
      </c>
      <c r="BC344" s="93"/>
    </row>
    <row r="345" spans="1:55" x14ac:dyDescent="0.3">
      <c r="A345" s="125">
        <v>8.9999999999999998E-4</v>
      </c>
      <c r="B345" s="138" t="s">
        <v>602</v>
      </c>
      <c r="C345" s="116">
        <f t="shared" si="350"/>
        <v>0</v>
      </c>
      <c r="D345" s="115"/>
      <c r="E345" s="116">
        <f t="shared" si="351"/>
        <v>0</v>
      </c>
      <c r="F345" s="115"/>
      <c r="G345" s="116">
        <f t="shared" si="352"/>
        <v>0</v>
      </c>
      <c r="H345" s="115"/>
      <c r="I345" s="116">
        <f t="shared" si="353"/>
        <v>0</v>
      </c>
      <c r="J345" s="115"/>
      <c r="K345" s="116">
        <f t="shared" si="354"/>
        <v>0</v>
      </c>
      <c r="L345" s="115"/>
      <c r="M345" s="116">
        <f t="shared" si="355"/>
        <v>0</v>
      </c>
      <c r="N345" s="115"/>
      <c r="O345" s="116">
        <f t="shared" si="356"/>
        <v>0</v>
      </c>
      <c r="P345" s="115"/>
      <c r="Q345" s="116">
        <f t="shared" si="357"/>
        <v>0</v>
      </c>
      <c r="R345" s="115"/>
      <c r="S345" s="116">
        <f t="shared" si="358"/>
        <v>0</v>
      </c>
      <c r="T345" s="115"/>
      <c r="U345" s="116">
        <f t="shared" si="359"/>
        <v>0</v>
      </c>
      <c r="V345" s="115"/>
      <c r="W345" s="116">
        <f t="shared" si="360"/>
        <v>0</v>
      </c>
      <c r="X345" s="115"/>
      <c r="Y345" s="116">
        <f t="shared" si="361"/>
        <v>0</v>
      </c>
      <c r="Z345" s="115"/>
      <c r="AA345" s="93">
        <f t="shared" si="362"/>
        <v>0</v>
      </c>
      <c r="AB345" s="93">
        <f t="shared" si="362"/>
        <v>0</v>
      </c>
      <c r="AC345" s="93">
        <f t="shared" si="362"/>
        <v>0</v>
      </c>
      <c r="AD345" s="93">
        <f t="shared" si="362"/>
        <v>0</v>
      </c>
      <c r="AE345" s="93">
        <f t="shared" si="362"/>
        <v>0</v>
      </c>
      <c r="AF345" s="93">
        <f t="shared" si="362"/>
        <v>0</v>
      </c>
      <c r="AG345" s="93">
        <f t="shared" si="362"/>
        <v>0</v>
      </c>
      <c r="AH345" s="93">
        <f t="shared" si="362"/>
        <v>0</v>
      </c>
      <c r="AI345" s="93"/>
      <c r="AJ345" s="93" t="e">
        <f t="shared" si="363"/>
        <v>#REF!</v>
      </c>
      <c r="AK345" s="93" t="e">
        <f t="shared" si="363"/>
        <v>#REF!</v>
      </c>
      <c r="AL345" s="93" t="e">
        <f t="shared" si="363"/>
        <v>#REF!</v>
      </c>
      <c r="AM345" s="93" t="e">
        <f t="shared" si="363"/>
        <v>#REF!</v>
      </c>
      <c r="AN345" s="93" t="e">
        <f t="shared" si="363"/>
        <v>#REF!</v>
      </c>
      <c r="AO345" s="128" t="e">
        <f t="shared" si="364"/>
        <v>#REF!</v>
      </c>
      <c r="AP345" s="93" t="e">
        <f t="shared" si="365"/>
        <v>#REF!</v>
      </c>
      <c r="AQ345" s="93" t="e">
        <f t="shared" si="365"/>
        <v>#REF!</v>
      </c>
      <c r="AR345" s="93" t="e">
        <f t="shared" si="365"/>
        <v>#REF!</v>
      </c>
      <c r="AS345" s="93" t="e">
        <f t="shared" si="365"/>
        <v>#REF!</v>
      </c>
      <c r="AT345" s="93" t="e">
        <f t="shared" si="365"/>
        <v>#REF!</v>
      </c>
      <c r="AU345" s="93" t="e">
        <f t="shared" si="365"/>
        <v>#REF!</v>
      </c>
      <c r="AV345" s="93" t="e">
        <f t="shared" si="365"/>
        <v>#REF!</v>
      </c>
      <c r="AW345" s="93" t="e">
        <f t="shared" si="365"/>
        <v>#REF!</v>
      </c>
      <c r="AX345" s="93" t="e">
        <f t="shared" si="365"/>
        <v>#REF!</v>
      </c>
      <c r="AY345" s="93" t="e">
        <f t="shared" si="365"/>
        <v>#REF!</v>
      </c>
      <c r="AZ345" s="93" t="e">
        <f t="shared" si="365"/>
        <v>#REF!</v>
      </c>
      <c r="BA345" s="93" t="e">
        <f t="shared" si="365"/>
        <v>#REF!</v>
      </c>
      <c r="BB345" s="127" t="e">
        <f t="shared" si="366"/>
        <v>#REF!</v>
      </c>
      <c r="BC345" s="93"/>
    </row>
    <row r="346" spans="1:55" x14ac:dyDescent="0.3">
      <c r="A346" s="125">
        <v>0.42130000000000001</v>
      </c>
      <c r="B346" s="138" t="s">
        <v>603</v>
      </c>
      <c r="C346" s="116">
        <f t="shared" si="350"/>
        <v>0</v>
      </c>
      <c r="D346" s="115"/>
      <c r="E346" s="116">
        <f t="shared" si="351"/>
        <v>0</v>
      </c>
      <c r="F346" s="115"/>
      <c r="G346" s="116">
        <f t="shared" si="352"/>
        <v>0</v>
      </c>
      <c r="H346" s="115"/>
      <c r="I346" s="116">
        <f t="shared" si="353"/>
        <v>0</v>
      </c>
      <c r="J346" s="115"/>
      <c r="K346" s="116">
        <f t="shared" si="354"/>
        <v>0</v>
      </c>
      <c r="L346" s="115"/>
      <c r="M346" s="116">
        <f t="shared" si="355"/>
        <v>0</v>
      </c>
      <c r="N346" s="115"/>
      <c r="O346" s="116">
        <f t="shared" si="356"/>
        <v>0</v>
      </c>
      <c r="P346" s="115"/>
      <c r="Q346" s="116">
        <f t="shared" si="357"/>
        <v>0</v>
      </c>
      <c r="R346" s="115"/>
      <c r="S346" s="116">
        <f t="shared" si="358"/>
        <v>0</v>
      </c>
      <c r="T346" s="115"/>
      <c r="U346" s="116">
        <f t="shared" si="359"/>
        <v>0</v>
      </c>
      <c r="V346" s="115"/>
      <c r="W346" s="116">
        <f t="shared" si="360"/>
        <v>0</v>
      </c>
      <c r="X346" s="115"/>
      <c r="Y346" s="116">
        <f t="shared" si="361"/>
        <v>0</v>
      </c>
      <c r="Z346" s="115"/>
      <c r="AA346" s="93">
        <f t="shared" si="362"/>
        <v>0</v>
      </c>
      <c r="AB346" s="93">
        <f t="shared" si="362"/>
        <v>0</v>
      </c>
      <c r="AC346" s="93">
        <f t="shared" si="362"/>
        <v>0</v>
      </c>
      <c r="AD346" s="93">
        <f t="shared" si="362"/>
        <v>0</v>
      </c>
      <c r="AE346" s="93">
        <f t="shared" si="362"/>
        <v>0</v>
      </c>
      <c r="AF346" s="93">
        <f t="shared" si="362"/>
        <v>0</v>
      </c>
      <c r="AG346" s="93">
        <f t="shared" si="362"/>
        <v>0</v>
      </c>
      <c r="AH346" s="93">
        <f t="shared" si="362"/>
        <v>0</v>
      </c>
      <c r="AI346" s="93"/>
      <c r="AJ346" s="93" t="e">
        <f t="shared" si="363"/>
        <v>#REF!</v>
      </c>
      <c r="AK346" s="93" t="e">
        <f t="shared" si="363"/>
        <v>#REF!</v>
      </c>
      <c r="AL346" s="93" t="e">
        <f t="shared" si="363"/>
        <v>#REF!</v>
      </c>
      <c r="AM346" s="93" t="e">
        <f t="shared" si="363"/>
        <v>#REF!</v>
      </c>
      <c r="AN346" s="93" t="e">
        <f t="shared" si="363"/>
        <v>#REF!</v>
      </c>
      <c r="AO346" s="128" t="e">
        <f t="shared" si="364"/>
        <v>#REF!</v>
      </c>
      <c r="AP346" s="93" t="e">
        <f t="shared" si="365"/>
        <v>#REF!</v>
      </c>
      <c r="AQ346" s="93" t="e">
        <f t="shared" si="365"/>
        <v>#REF!</v>
      </c>
      <c r="AR346" s="93" t="e">
        <f t="shared" si="365"/>
        <v>#REF!</v>
      </c>
      <c r="AS346" s="93" t="e">
        <f t="shared" si="365"/>
        <v>#REF!</v>
      </c>
      <c r="AT346" s="93" t="e">
        <f t="shared" si="365"/>
        <v>#REF!</v>
      </c>
      <c r="AU346" s="93" t="e">
        <f t="shared" si="365"/>
        <v>#REF!</v>
      </c>
      <c r="AV346" s="93" t="e">
        <f t="shared" si="365"/>
        <v>#REF!</v>
      </c>
      <c r="AW346" s="93" t="e">
        <f t="shared" si="365"/>
        <v>#REF!</v>
      </c>
      <c r="AX346" s="93" t="e">
        <f t="shared" si="365"/>
        <v>#REF!</v>
      </c>
      <c r="AY346" s="93" t="e">
        <f t="shared" si="365"/>
        <v>#REF!</v>
      </c>
      <c r="AZ346" s="93" t="e">
        <f t="shared" si="365"/>
        <v>#REF!</v>
      </c>
      <c r="BA346" s="93" t="e">
        <f t="shared" si="365"/>
        <v>#REF!</v>
      </c>
      <c r="BB346" s="127" t="e">
        <f t="shared" si="366"/>
        <v>#REF!</v>
      </c>
      <c r="BC346" s="93"/>
    </row>
    <row r="347" spans="1:55" x14ac:dyDescent="0.3">
      <c r="A347" s="125">
        <v>8.0000000000000004E-4</v>
      </c>
      <c r="B347" s="138" t="s">
        <v>604</v>
      </c>
      <c r="C347" s="116">
        <f t="shared" si="350"/>
        <v>0</v>
      </c>
      <c r="D347" s="115"/>
      <c r="E347" s="116">
        <f t="shared" si="351"/>
        <v>0</v>
      </c>
      <c r="F347" s="115"/>
      <c r="G347" s="116">
        <f t="shared" si="352"/>
        <v>0</v>
      </c>
      <c r="H347" s="115"/>
      <c r="I347" s="116">
        <f t="shared" si="353"/>
        <v>0</v>
      </c>
      <c r="J347" s="115"/>
      <c r="K347" s="116">
        <f t="shared" si="354"/>
        <v>0</v>
      </c>
      <c r="L347" s="115"/>
      <c r="M347" s="116">
        <f t="shared" si="355"/>
        <v>0</v>
      </c>
      <c r="N347" s="115"/>
      <c r="O347" s="116">
        <f t="shared" si="356"/>
        <v>0</v>
      </c>
      <c r="P347" s="115"/>
      <c r="Q347" s="116">
        <f t="shared" si="357"/>
        <v>0</v>
      </c>
      <c r="R347" s="115"/>
      <c r="S347" s="116">
        <f t="shared" si="358"/>
        <v>0</v>
      </c>
      <c r="T347" s="115"/>
      <c r="U347" s="116">
        <f t="shared" si="359"/>
        <v>0</v>
      </c>
      <c r="V347" s="115"/>
      <c r="W347" s="116">
        <f t="shared" si="360"/>
        <v>0</v>
      </c>
      <c r="X347" s="115"/>
      <c r="Y347" s="116">
        <f t="shared" si="361"/>
        <v>0</v>
      </c>
      <c r="Z347" s="115"/>
      <c r="AA347" s="93">
        <f t="shared" si="362"/>
        <v>0</v>
      </c>
      <c r="AB347" s="93">
        <f t="shared" si="362"/>
        <v>0</v>
      </c>
      <c r="AC347" s="93">
        <f t="shared" si="362"/>
        <v>0</v>
      </c>
      <c r="AD347" s="93">
        <f t="shared" si="362"/>
        <v>0</v>
      </c>
      <c r="AE347" s="93">
        <f t="shared" si="362"/>
        <v>0</v>
      </c>
      <c r="AF347" s="93">
        <f t="shared" si="362"/>
        <v>0</v>
      </c>
      <c r="AG347" s="93">
        <f t="shared" si="362"/>
        <v>0</v>
      </c>
      <c r="AH347" s="93">
        <f t="shared" si="362"/>
        <v>0</v>
      </c>
      <c r="AI347" s="93"/>
      <c r="AJ347" s="93" t="e">
        <f t="shared" si="363"/>
        <v>#REF!</v>
      </c>
      <c r="AK347" s="93" t="e">
        <f t="shared" si="363"/>
        <v>#REF!</v>
      </c>
      <c r="AL347" s="93" t="e">
        <f t="shared" si="363"/>
        <v>#REF!</v>
      </c>
      <c r="AM347" s="93" t="e">
        <f t="shared" si="363"/>
        <v>#REF!</v>
      </c>
      <c r="AN347" s="93" t="e">
        <f t="shared" si="363"/>
        <v>#REF!</v>
      </c>
      <c r="AO347" s="128" t="e">
        <f t="shared" si="364"/>
        <v>#REF!</v>
      </c>
      <c r="AP347" s="93" t="e">
        <f t="shared" si="365"/>
        <v>#REF!</v>
      </c>
      <c r="AQ347" s="93" t="e">
        <f t="shared" si="365"/>
        <v>#REF!</v>
      </c>
      <c r="AR347" s="93" t="e">
        <f t="shared" si="365"/>
        <v>#REF!</v>
      </c>
      <c r="AS347" s="93" t="e">
        <f t="shared" si="365"/>
        <v>#REF!</v>
      </c>
      <c r="AT347" s="93" t="e">
        <f t="shared" si="365"/>
        <v>#REF!</v>
      </c>
      <c r="AU347" s="93" t="e">
        <f t="shared" si="365"/>
        <v>#REF!</v>
      </c>
      <c r="AV347" s="93" t="e">
        <f t="shared" si="365"/>
        <v>#REF!</v>
      </c>
      <c r="AW347" s="93" t="e">
        <f t="shared" si="365"/>
        <v>#REF!</v>
      </c>
      <c r="AX347" s="93" t="e">
        <f t="shared" si="365"/>
        <v>#REF!</v>
      </c>
      <c r="AY347" s="93" t="e">
        <f t="shared" si="365"/>
        <v>#REF!</v>
      </c>
      <c r="AZ347" s="93" t="e">
        <f t="shared" si="365"/>
        <v>#REF!</v>
      </c>
      <c r="BA347" s="93" t="e">
        <f t="shared" si="365"/>
        <v>#REF!</v>
      </c>
      <c r="BB347" s="127" t="e">
        <f t="shared" si="366"/>
        <v>#REF!</v>
      </c>
      <c r="BC347" s="93"/>
    </row>
    <row r="348" spans="1:55" x14ac:dyDescent="0.3">
      <c r="A348" s="125">
        <v>0.1003</v>
      </c>
      <c r="B348" s="138" t="s">
        <v>605</v>
      </c>
      <c r="C348" s="116">
        <f t="shared" si="350"/>
        <v>0</v>
      </c>
      <c r="D348" s="115"/>
      <c r="E348" s="116">
        <f t="shared" si="351"/>
        <v>0</v>
      </c>
      <c r="F348" s="115"/>
      <c r="G348" s="116">
        <f t="shared" si="352"/>
        <v>0</v>
      </c>
      <c r="H348" s="115"/>
      <c r="I348" s="116">
        <f t="shared" si="353"/>
        <v>0</v>
      </c>
      <c r="J348" s="115"/>
      <c r="K348" s="116">
        <f t="shared" si="354"/>
        <v>0</v>
      </c>
      <c r="L348" s="115"/>
      <c r="M348" s="116">
        <f t="shared" si="355"/>
        <v>0</v>
      </c>
      <c r="N348" s="115"/>
      <c r="O348" s="116">
        <f t="shared" si="356"/>
        <v>0</v>
      </c>
      <c r="P348" s="115"/>
      <c r="Q348" s="116">
        <f t="shared" si="357"/>
        <v>0</v>
      </c>
      <c r="R348" s="115"/>
      <c r="S348" s="116">
        <f t="shared" si="358"/>
        <v>0</v>
      </c>
      <c r="T348" s="115"/>
      <c r="U348" s="116">
        <f t="shared" si="359"/>
        <v>0</v>
      </c>
      <c r="V348" s="115"/>
      <c r="W348" s="116">
        <f t="shared" si="360"/>
        <v>0</v>
      </c>
      <c r="X348" s="115"/>
      <c r="Y348" s="116">
        <f t="shared" si="361"/>
        <v>0</v>
      </c>
      <c r="Z348" s="115"/>
      <c r="AA348" s="93">
        <f t="shared" si="362"/>
        <v>0</v>
      </c>
      <c r="AB348" s="93">
        <f t="shared" si="362"/>
        <v>0</v>
      </c>
      <c r="AC348" s="93">
        <f t="shared" si="362"/>
        <v>0</v>
      </c>
      <c r="AD348" s="93">
        <f t="shared" si="362"/>
        <v>0</v>
      </c>
      <c r="AE348" s="93">
        <f t="shared" si="362"/>
        <v>0</v>
      </c>
      <c r="AF348" s="93">
        <f t="shared" si="362"/>
        <v>0</v>
      </c>
      <c r="AG348" s="93">
        <f t="shared" si="362"/>
        <v>0</v>
      </c>
      <c r="AH348" s="93">
        <f t="shared" si="362"/>
        <v>0</v>
      </c>
      <c r="AI348" s="93"/>
      <c r="AJ348" s="93" t="e">
        <f t="shared" si="363"/>
        <v>#REF!</v>
      </c>
      <c r="AK348" s="93" t="e">
        <f t="shared" si="363"/>
        <v>#REF!</v>
      </c>
      <c r="AL348" s="93" t="e">
        <f t="shared" si="363"/>
        <v>#REF!</v>
      </c>
      <c r="AM348" s="93" t="e">
        <f t="shared" si="363"/>
        <v>#REF!</v>
      </c>
      <c r="AN348" s="93" t="e">
        <f t="shared" si="363"/>
        <v>#REF!</v>
      </c>
      <c r="AO348" s="128" t="e">
        <f t="shared" si="364"/>
        <v>#REF!</v>
      </c>
      <c r="AP348" s="93" t="e">
        <f t="shared" si="365"/>
        <v>#REF!</v>
      </c>
      <c r="AQ348" s="93" t="e">
        <f t="shared" si="365"/>
        <v>#REF!</v>
      </c>
      <c r="AR348" s="93" t="e">
        <f t="shared" si="365"/>
        <v>#REF!</v>
      </c>
      <c r="AS348" s="93" t="e">
        <f t="shared" si="365"/>
        <v>#REF!</v>
      </c>
      <c r="AT348" s="93" t="e">
        <f t="shared" si="365"/>
        <v>#REF!</v>
      </c>
      <c r="AU348" s="93" t="e">
        <f t="shared" si="365"/>
        <v>#REF!</v>
      </c>
      <c r="AV348" s="93" t="e">
        <f t="shared" si="365"/>
        <v>#REF!</v>
      </c>
      <c r="AW348" s="93" t="e">
        <f t="shared" si="365"/>
        <v>#REF!</v>
      </c>
      <c r="AX348" s="93" t="e">
        <f t="shared" si="365"/>
        <v>#REF!</v>
      </c>
      <c r="AY348" s="93" t="e">
        <f t="shared" si="365"/>
        <v>#REF!</v>
      </c>
      <c r="AZ348" s="93" t="e">
        <f t="shared" si="365"/>
        <v>#REF!</v>
      </c>
      <c r="BA348" s="93" t="e">
        <f t="shared" si="365"/>
        <v>#REF!</v>
      </c>
      <c r="BB348" s="127" t="e">
        <f t="shared" si="366"/>
        <v>#REF!</v>
      </c>
      <c r="BC348" s="93"/>
    </row>
    <row r="349" spans="1:55" x14ac:dyDescent="0.3">
      <c r="A349" s="125">
        <v>4.0000000000000001E-3</v>
      </c>
      <c r="B349" s="138" t="s">
        <v>606</v>
      </c>
      <c r="C349" s="116">
        <f t="shared" si="350"/>
        <v>0</v>
      </c>
      <c r="D349" s="115"/>
      <c r="E349" s="116">
        <f t="shared" si="351"/>
        <v>0</v>
      </c>
      <c r="F349" s="115"/>
      <c r="G349" s="116">
        <f t="shared" si="352"/>
        <v>0</v>
      </c>
      <c r="H349" s="115"/>
      <c r="I349" s="116">
        <f t="shared" si="353"/>
        <v>0</v>
      </c>
      <c r="J349" s="115"/>
      <c r="K349" s="116">
        <f t="shared" si="354"/>
        <v>0</v>
      </c>
      <c r="L349" s="115"/>
      <c r="M349" s="116">
        <f t="shared" si="355"/>
        <v>0</v>
      </c>
      <c r="N349" s="115"/>
      <c r="O349" s="116">
        <f t="shared" si="356"/>
        <v>0</v>
      </c>
      <c r="P349" s="115"/>
      <c r="Q349" s="116">
        <f t="shared" si="357"/>
        <v>0</v>
      </c>
      <c r="R349" s="115"/>
      <c r="S349" s="116">
        <f t="shared" si="358"/>
        <v>0</v>
      </c>
      <c r="T349" s="115"/>
      <c r="U349" s="116">
        <f t="shared" si="359"/>
        <v>0</v>
      </c>
      <c r="V349" s="115"/>
      <c r="W349" s="116">
        <f t="shared" si="360"/>
        <v>0</v>
      </c>
      <c r="X349" s="115"/>
      <c r="Y349" s="116">
        <f t="shared" si="361"/>
        <v>0</v>
      </c>
      <c r="Z349" s="115"/>
      <c r="AA349" s="93">
        <f t="shared" si="362"/>
        <v>0</v>
      </c>
      <c r="AB349" s="93">
        <f t="shared" si="362"/>
        <v>0</v>
      </c>
      <c r="AC349" s="93">
        <f t="shared" si="362"/>
        <v>0</v>
      </c>
      <c r="AD349" s="93">
        <f t="shared" si="362"/>
        <v>0</v>
      </c>
      <c r="AE349" s="93">
        <f t="shared" si="362"/>
        <v>0</v>
      </c>
      <c r="AF349" s="93">
        <f t="shared" si="362"/>
        <v>0</v>
      </c>
      <c r="AG349" s="93">
        <f t="shared" si="362"/>
        <v>0</v>
      </c>
      <c r="AH349" s="93">
        <f t="shared" si="362"/>
        <v>0</v>
      </c>
      <c r="AI349" s="93"/>
      <c r="AJ349" s="93" t="e">
        <f t="shared" si="363"/>
        <v>#REF!</v>
      </c>
      <c r="AK349" s="93" t="e">
        <f t="shared" si="363"/>
        <v>#REF!</v>
      </c>
      <c r="AL349" s="93" t="e">
        <f t="shared" si="363"/>
        <v>#REF!</v>
      </c>
      <c r="AM349" s="93" t="e">
        <f t="shared" si="363"/>
        <v>#REF!</v>
      </c>
      <c r="AN349" s="93" t="e">
        <f t="shared" si="363"/>
        <v>#REF!</v>
      </c>
      <c r="AO349" s="128" t="e">
        <f t="shared" si="364"/>
        <v>#REF!</v>
      </c>
      <c r="AP349" s="93" t="e">
        <f t="shared" si="365"/>
        <v>#REF!</v>
      </c>
      <c r="AQ349" s="93" t="e">
        <f t="shared" si="365"/>
        <v>#REF!</v>
      </c>
      <c r="AR349" s="93" t="e">
        <f t="shared" si="365"/>
        <v>#REF!</v>
      </c>
      <c r="AS349" s="93" t="e">
        <f t="shared" si="365"/>
        <v>#REF!</v>
      </c>
      <c r="AT349" s="93" t="e">
        <f t="shared" si="365"/>
        <v>#REF!</v>
      </c>
      <c r="AU349" s="93" t="e">
        <f t="shared" si="365"/>
        <v>#REF!</v>
      </c>
      <c r="AV349" s="93" t="e">
        <f t="shared" si="365"/>
        <v>#REF!</v>
      </c>
      <c r="AW349" s="93" t="e">
        <f t="shared" si="365"/>
        <v>#REF!</v>
      </c>
      <c r="AX349" s="93" t="e">
        <f t="shared" si="365"/>
        <v>#REF!</v>
      </c>
      <c r="AY349" s="93" t="e">
        <f t="shared" si="365"/>
        <v>#REF!</v>
      </c>
      <c r="AZ349" s="93" t="e">
        <f t="shared" si="365"/>
        <v>#REF!</v>
      </c>
      <c r="BA349" s="93" t="e">
        <f t="shared" si="365"/>
        <v>#REF!</v>
      </c>
      <c r="BB349" s="127" t="e">
        <f t="shared" si="366"/>
        <v>#REF!</v>
      </c>
      <c r="BC349" s="93"/>
    </row>
    <row r="350" spans="1:55" x14ac:dyDescent="0.3">
      <c r="A350" s="125">
        <v>0</v>
      </c>
      <c r="B350" s="138" t="s">
        <v>607</v>
      </c>
      <c r="C350" s="116">
        <f t="shared" si="350"/>
        <v>0</v>
      </c>
      <c r="D350" s="115"/>
      <c r="E350" s="116">
        <f t="shared" si="351"/>
        <v>0</v>
      </c>
      <c r="F350" s="115"/>
      <c r="G350" s="116">
        <f t="shared" si="352"/>
        <v>0</v>
      </c>
      <c r="H350" s="115"/>
      <c r="I350" s="116">
        <f t="shared" si="353"/>
        <v>0</v>
      </c>
      <c r="J350" s="115"/>
      <c r="K350" s="116">
        <f t="shared" si="354"/>
        <v>0</v>
      </c>
      <c r="L350" s="115"/>
      <c r="M350" s="116">
        <f t="shared" si="355"/>
        <v>0</v>
      </c>
      <c r="N350" s="115"/>
      <c r="O350" s="116">
        <f t="shared" si="356"/>
        <v>0</v>
      </c>
      <c r="P350" s="115"/>
      <c r="Q350" s="116">
        <f t="shared" si="357"/>
        <v>0</v>
      </c>
      <c r="R350" s="115"/>
      <c r="S350" s="116">
        <f t="shared" si="358"/>
        <v>0</v>
      </c>
      <c r="T350" s="115"/>
      <c r="U350" s="116">
        <f t="shared" si="359"/>
        <v>0</v>
      </c>
      <c r="V350" s="115"/>
      <c r="W350" s="116">
        <f t="shared" si="360"/>
        <v>0</v>
      </c>
      <c r="X350" s="115"/>
      <c r="Y350" s="116">
        <f t="shared" si="361"/>
        <v>0</v>
      </c>
      <c r="Z350" s="115"/>
      <c r="AA350" s="93">
        <f t="shared" si="362"/>
        <v>0</v>
      </c>
      <c r="AB350" s="93">
        <f t="shared" si="362"/>
        <v>0</v>
      </c>
      <c r="AC350" s="93">
        <f t="shared" si="362"/>
        <v>0</v>
      </c>
      <c r="AD350" s="93">
        <f t="shared" si="362"/>
        <v>0</v>
      </c>
      <c r="AE350" s="93">
        <f t="shared" si="362"/>
        <v>0</v>
      </c>
      <c r="AF350" s="93">
        <f t="shared" si="362"/>
        <v>0</v>
      </c>
      <c r="AG350" s="93">
        <f t="shared" si="362"/>
        <v>0</v>
      </c>
      <c r="AH350" s="93">
        <f t="shared" si="362"/>
        <v>0</v>
      </c>
      <c r="AI350" s="93"/>
      <c r="AJ350" s="93" t="e">
        <f t="shared" si="363"/>
        <v>#REF!</v>
      </c>
      <c r="AK350" s="93" t="e">
        <f t="shared" si="363"/>
        <v>#REF!</v>
      </c>
      <c r="AL350" s="93" t="e">
        <f t="shared" si="363"/>
        <v>#REF!</v>
      </c>
      <c r="AM350" s="93" t="e">
        <f t="shared" si="363"/>
        <v>#REF!</v>
      </c>
      <c r="AN350" s="93" t="e">
        <f t="shared" si="363"/>
        <v>#REF!</v>
      </c>
      <c r="AO350" s="128" t="e">
        <f t="shared" si="364"/>
        <v>#REF!</v>
      </c>
      <c r="AP350" s="93" t="e">
        <f t="shared" si="365"/>
        <v>#REF!</v>
      </c>
      <c r="AQ350" s="93" t="e">
        <f t="shared" si="365"/>
        <v>#REF!</v>
      </c>
      <c r="AR350" s="93" t="e">
        <f t="shared" si="365"/>
        <v>#REF!</v>
      </c>
      <c r="AS350" s="93" t="e">
        <f t="shared" si="365"/>
        <v>#REF!</v>
      </c>
      <c r="AT350" s="93" t="e">
        <f t="shared" si="365"/>
        <v>#REF!</v>
      </c>
      <c r="AU350" s="93" t="e">
        <f t="shared" si="365"/>
        <v>#REF!</v>
      </c>
      <c r="AV350" s="93" t="e">
        <f t="shared" si="365"/>
        <v>#REF!</v>
      </c>
      <c r="AW350" s="93" t="e">
        <f t="shared" si="365"/>
        <v>#REF!</v>
      </c>
      <c r="AX350" s="93" t="e">
        <f t="shared" si="365"/>
        <v>#REF!</v>
      </c>
      <c r="AY350" s="93" t="e">
        <f t="shared" si="365"/>
        <v>#REF!</v>
      </c>
      <c r="AZ350" s="93" t="e">
        <f t="shared" si="365"/>
        <v>#REF!</v>
      </c>
      <c r="BA350" s="93" t="e">
        <f t="shared" si="365"/>
        <v>#REF!</v>
      </c>
      <c r="BB350" s="127" t="e">
        <f t="shared" si="366"/>
        <v>#REF!</v>
      </c>
      <c r="BC350" s="93"/>
    </row>
    <row r="351" spans="1:55" x14ac:dyDescent="0.3">
      <c r="A351" s="108"/>
      <c r="B351" s="137" t="s">
        <v>608</v>
      </c>
      <c r="C351" s="136"/>
      <c r="D351" s="135"/>
      <c r="E351" s="136"/>
      <c r="F351" s="135"/>
      <c r="G351" s="136"/>
      <c r="H351" s="135"/>
      <c r="I351" s="136"/>
      <c r="J351" s="135"/>
      <c r="K351" s="136"/>
      <c r="L351" s="135"/>
      <c r="M351" s="136"/>
      <c r="N351" s="135"/>
      <c r="O351" s="136"/>
      <c r="P351" s="135"/>
      <c r="Q351" s="136"/>
      <c r="R351" s="135"/>
      <c r="S351" s="136"/>
      <c r="T351" s="135"/>
      <c r="U351" s="136"/>
      <c r="V351" s="135"/>
      <c r="W351" s="136"/>
      <c r="X351" s="135"/>
      <c r="Y351" s="136"/>
      <c r="Z351" s="135"/>
      <c r="AA351" s="132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132"/>
      <c r="AL351" s="132"/>
      <c r="AM351" s="132"/>
      <c r="AN351" s="132"/>
      <c r="AO351" s="134"/>
      <c r="AP351" s="132"/>
      <c r="AQ351" s="132"/>
      <c r="AR351" s="132"/>
      <c r="AS351" s="132"/>
      <c r="AT351" s="132"/>
      <c r="AU351" s="132"/>
      <c r="AV351" s="132"/>
      <c r="AW351" s="132"/>
      <c r="AX351" s="132"/>
      <c r="AY351" s="132"/>
      <c r="AZ351" s="132"/>
      <c r="BA351" s="132"/>
      <c r="BB351" s="133"/>
      <c r="BC351" s="132"/>
    </row>
    <row r="352" spans="1:55" x14ac:dyDescent="0.3">
      <c r="A352" s="125">
        <v>0</v>
      </c>
      <c r="B352" s="131" t="s">
        <v>609</v>
      </c>
      <c r="C352" s="130">
        <f>C$342*$A352</f>
        <v>0</v>
      </c>
      <c r="D352" s="129"/>
      <c r="E352" s="130">
        <f>E$342*$A352</f>
        <v>0</v>
      </c>
      <c r="F352" s="129"/>
      <c r="G352" s="130">
        <f>G$342*$A352</f>
        <v>0</v>
      </c>
      <c r="H352" s="129"/>
      <c r="I352" s="130">
        <f>I$342*$A352</f>
        <v>0</v>
      </c>
      <c r="J352" s="129"/>
      <c r="K352" s="130">
        <f>K$342*$A352</f>
        <v>0</v>
      </c>
      <c r="L352" s="129"/>
      <c r="M352" s="130">
        <f>M$342*$A352</f>
        <v>0</v>
      </c>
      <c r="N352" s="129"/>
      <c r="O352" s="130">
        <f>O$342*$A352</f>
        <v>0</v>
      </c>
      <c r="P352" s="129"/>
      <c r="Q352" s="130">
        <f>Q$342*$A352</f>
        <v>0</v>
      </c>
      <c r="R352" s="129"/>
      <c r="S352" s="130">
        <f>S$342*$A352</f>
        <v>0</v>
      </c>
      <c r="T352" s="129"/>
      <c r="U352" s="130">
        <f>U$342*$A352</f>
        <v>0</v>
      </c>
      <c r="V352" s="129"/>
      <c r="W352" s="130">
        <f>W$342*$A352</f>
        <v>0</v>
      </c>
      <c r="X352" s="129"/>
      <c r="Y352" s="130">
        <f>Y$342*$A352</f>
        <v>0</v>
      </c>
      <c r="Z352" s="129"/>
      <c r="AA352" s="126">
        <f t="shared" ref="AA352:AH353" si="367">AA$342*$A352</f>
        <v>0</v>
      </c>
      <c r="AB352" s="126">
        <f t="shared" si="367"/>
        <v>0</v>
      </c>
      <c r="AC352" s="126">
        <f t="shared" si="367"/>
        <v>0</v>
      </c>
      <c r="AD352" s="126">
        <f t="shared" si="367"/>
        <v>0</v>
      </c>
      <c r="AE352" s="126">
        <f t="shared" si="367"/>
        <v>0</v>
      </c>
      <c r="AF352" s="126">
        <f t="shared" si="367"/>
        <v>0</v>
      </c>
      <c r="AG352" s="126">
        <f t="shared" si="367"/>
        <v>0</v>
      </c>
      <c r="AH352" s="126">
        <f t="shared" si="367"/>
        <v>0</v>
      </c>
      <c r="AI352" s="126"/>
      <c r="AJ352" s="126" t="e">
        <f t="shared" ref="AJ352:AN353" si="368">AJ$342*$A352</f>
        <v>#REF!</v>
      </c>
      <c r="AK352" s="126" t="e">
        <f t="shared" si="368"/>
        <v>#REF!</v>
      </c>
      <c r="AL352" s="126" t="e">
        <f t="shared" si="368"/>
        <v>#REF!</v>
      </c>
      <c r="AM352" s="126" t="e">
        <f t="shared" si="368"/>
        <v>#REF!</v>
      </c>
      <c r="AN352" s="126" t="e">
        <f t="shared" si="368"/>
        <v>#REF!</v>
      </c>
      <c r="AO352" s="128" t="e">
        <f>SUM(AB352:AN352)</f>
        <v>#REF!</v>
      </c>
      <c r="AP352" s="126" t="e">
        <f t="shared" ref="AP352:BA353" si="369">AP$342*$A352</f>
        <v>#REF!</v>
      </c>
      <c r="AQ352" s="126" t="e">
        <f t="shared" si="369"/>
        <v>#REF!</v>
      </c>
      <c r="AR352" s="126" t="e">
        <f t="shared" si="369"/>
        <v>#REF!</v>
      </c>
      <c r="AS352" s="126" t="e">
        <f t="shared" si="369"/>
        <v>#REF!</v>
      </c>
      <c r="AT352" s="126" t="e">
        <f t="shared" si="369"/>
        <v>#REF!</v>
      </c>
      <c r="AU352" s="126" t="e">
        <f t="shared" si="369"/>
        <v>#REF!</v>
      </c>
      <c r="AV352" s="126" t="e">
        <f t="shared" si="369"/>
        <v>#REF!</v>
      </c>
      <c r="AW352" s="126" t="e">
        <f t="shared" si="369"/>
        <v>#REF!</v>
      </c>
      <c r="AX352" s="126" t="e">
        <f t="shared" si="369"/>
        <v>#REF!</v>
      </c>
      <c r="AY352" s="126" t="e">
        <f t="shared" si="369"/>
        <v>#REF!</v>
      </c>
      <c r="AZ352" s="126" t="e">
        <f t="shared" si="369"/>
        <v>#REF!</v>
      </c>
      <c r="BA352" s="126" t="e">
        <f t="shared" si="369"/>
        <v>#REF!</v>
      </c>
      <c r="BB352" s="127" t="e">
        <f>SUM(AP352:BA352)</f>
        <v>#REF!</v>
      </c>
      <c r="BC352" s="126"/>
    </row>
    <row r="353" spans="1:55" x14ac:dyDescent="0.3">
      <c r="A353" s="125">
        <v>0.1</v>
      </c>
      <c r="B353" s="124" t="s">
        <v>610</v>
      </c>
      <c r="C353" s="112">
        <f>C$342*$A353</f>
        <v>0</v>
      </c>
      <c r="D353" s="111"/>
      <c r="E353" s="112">
        <f>E$342*$A353</f>
        <v>0</v>
      </c>
      <c r="F353" s="111"/>
      <c r="G353" s="112">
        <f>G$342*$A353</f>
        <v>0</v>
      </c>
      <c r="H353" s="111"/>
      <c r="I353" s="112">
        <f>I$342*$A353</f>
        <v>0</v>
      </c>
      <c r="J353" s="111"/>
      <c r="K353" s="112">
        <f>K$342*$A353</f>
        <v>0</v>
      </c>
      <c r="L353" s="111"/>
      <c r="M353" s="112">
        <f>M$342*$A353</f>
        <v>0</v>
      </c>
      <c r="N353" s="111"/>
      <c r="O353" s="112">
        <f>O$342*$A353</f>
        <v>0</v>
      </c>
      <c r="P353" s="111"/>
      <c r="Q353" s="112">
        <f>Q$342*$A353</f>
        <v>0</v>
      </c>
      <c r="R353" s="111"/>
      <c r="S353" s="112">
        <f>S$342*$A353</f>
        <v>0</v>
      </c>
      <c r="T353" s="111"/>
      <c r="U353" s="112">
        <f>U$342*$A353</f>
        <v>0</v>
      </c>
      <c r="V353" s="111"/>
      <c r="W353" s="112">
        <f>W$342*$A353</f>
        <v>0</v>
      </c>
      <c r="X353" s="111"/>
      <c r="Y353" s="112">
        <f>Y$342*$A353</f>
        <v>0</v>
      </c>
      <c r="Z353" s="111"/>
      <c r="AA353" s="109">
        <f t="shared" si="367"/>
        <v>0</v>
      </c>
      <c r="AB353" s="109">
        <f t="shared" si="367"/>
        <v>0</v>
      </c>
      <c r="AC353" s="109">
        <f t="shared" si="367"/>
        <v>0</v>
      </c>
      <c r="AD353" s="109">
        <f t="shared" si="367"/>
        <v>0</v>
      </c>
      <c r="AE353" s="109">
        <f t="shared" si="367"/>
        <v>0</v>
      </c>
      <c r="AF353" s="109">
        <f t="shared" si="367"/>
        <v>0</v>
      </c>
      <c r="AG353" s="109">
        <f t="shared" si="367"/>
        <v>0</v>
      </c>
      <c r="AH353" s="109">
        <f t="shared" si="367"/>
        <v>0</v>
      </c>
      <c r="AI353" s="109"/>
      <c r="AJ353" s="109" t="e">
        <f t="shared" si="368"/>
        <v>#REF!</v>
      </c>
      <c r="AK353" s="109" t="e">
        <f t="shared" si="368"/>
        <v>#REF!</v>
      </c>
      <c r="AL353" s="109" t="e">
        <f t="shared" si="368"/>
        <v>#REF!</v>
      </c>
      <c r="AM353" s="109" t="e">
        <f t="shared" si="368"/>
        <v>#REF!</v>
      </c>
      <c r="AN353" s="109" t="e">
        <f t="shared" si="368"/>
        <v>#REF!</v>
      </c>
      <c r="AO353" s="110" t="e">
        <f>SUM(AB353:AN353)</f>
        <v>#REF!</v>
      </c>
      <c r="AP353" s="109" t="e">
        <f t="shared" si="369"/>
        <v>#REF!</v>
      </c>
      <c r="AQ353" s="109" t="e">
        <f t="shared" si="369"/>
        <v>#REF!</v>
      </c>
      <c r="AR353" s="109" t="e">
        <f t="shared" si="369"/>
        <v>#REF!</v>
      </c>
      <c r="AS353" s="109" t="e">
        <f t="shared" si="369"/>
        <v>#REF!</v>
      </c>
      <c r="AT353" s="109" t="e">
        <f t="shared" si="369"/>
        <v>#REF!</v>
      </c>
      <c r="AU353" s="109" t="e">
        <f t="shared" si="369"/>
        <v>#REF!</v>
      </c>
      <c r="AV353" s="109" t="e">
        <f t="shared" si="369"/>
        <v>#REF!</v>
      </c>
      <c r="AW353" s="109" t="e">
        <f t="shared" si="369"/>
        <v>#REF!</v>
      </c>
      <c r="AX353" s="109" t="e">
        <f t="shared" si="369"/>
        <v>#REF!</v>
      </c>
      <c r="AY353" s="109" t="e">
        <f t="shared" si="369"/>
        <v>#REF!</v>
      </c>
      <c r="AZ353" s="109" t="e">
        <f t="shared" si="369"/>
        <v>#REF!</v>
      </c>
      <c r="BA353" s="109" t="e">
        <f t="shared" si="369"/>
        <v>#REF!</v>
      </c>
      <c r="BB353" s="110" t="e">
        <f>SUM(AP353:BA353)</f>
        <v>#REF!</v>
      </c>
      <c r="BC353" s="109"/>
    </row>
    <row r="354" spans="1:55" x14ac:dyDescent="0.3">
      <c r="B354" s="380" t="s">
        <v>611</v>
      </c>
      <c r="C354" s="123">
        <f>SUM(C352:C353)</f>
        <v>0</v>
      </c>
      <c r="D354" s="388"/>
      <c r="E354" s="123">
        <f>SUM(E352:E353)</f>
        <v>0</v>
      </c>
      <c r="F354" s="388"/>
      <c r="G354" s="123">
        <f>SUM(G352:G353)</f>
        <v>0</v>
      </c>
      <c r="H354" s="388"/>
      <c r="I354" s="123">
        <f>SUM(I352:I353)</f>
        <v>0</v>
      </c>
      <c r="J354" s="388"/>
      <c r="K354" s="123">
        <f>SUM(K352:K353)</f>
        <v>0</v>
      </c>
      <c r="L354" s="388"/>
      <c r="M354" s="123">
        <f>SUM(M352:M353)</f>
        <v>0</v>
      </c>
      <c r="N354" s="388"/>
      <c r="O354" s="123">
        <f>SUM(O352:O353)</f>
        <v>0</v>
      </c>
      <c r="P354" s="388"/>
      <c r="Q354" s="123">
        <f>SUM(Q352:Q353)</f>
        <v>0</v>
      </c>
      <c r="R354" s="388"/>
      <c r="S354" s="123">
        <f>SUM(S352:S353)</f>
        <v>0</v>
      </c>
      <c r="T354" s="388"/>
      <c r="U354" s="123">
        <f>SUM(U352:U353)</f>
        <v>0</v>
      </c>
      <c r="V354" s="388"/>
      <c r="W354" s="123">
        <f>SUM(W352:W353)</f>
        <v>0</v>
      </c>
      <c r="X354" s="388"/>
      <c r="Y354" s="123">
        <f>SUM(Y352:Y353)</f>
        <v>0</v>
      </c>
      <c r="Z354" s="388"/>
      <c r="AA354" s="389">
        <f t="shared" ref="AA354:AH354" si="370">SUM(AA352:AA353)</f>
        <v>0</v>
      </c>
      <c r="AB354" s="389">
        <f t="shared" si="370"/>
        <v>0</v>
      </c>
      <c r="AC354" s="389">
        <f t="shared" si="370"/>
        <v>0</v>
      </c>
      <c r="AD354" s="389">
        <f t="shared" si="370"/>
        <v>0</v>
      </c>
      <c r="AE354" s="389">
        <f t="shared" si="370"/>
        <v>0</v>
      </c>
      <c r="AF354" s="389">
        <f t="shared" si="370"/>
        <v>0</v>
      </c>
      <c r="AG354" s="389">
        <f t="shared" si="370"/>
        <v>0</v>
      </c>
      <c r="AH354" s="389">
        <f t="shared" si="370"/>
        <v>0</v>
      </c>
      <c r="AI354" s="389"/>
      <c r="AJ354" s="389" t="e">
        <f>SUM(AJ352:AJ353)</f>
        <v>#REF!</v>
      </c>
      <c r="AK354" s="389" t="e">
        <f>SUM(AK352:AK353)</f>
        <v>#REF!</v>
      </c>
      <c r="AL354" s="389" t="e">
        <f>SUM(AL352:AL353)</f>
        <v>#REF!</v>
      </c>
      <c r="AM354" s="389" t="e">
        <f>SUM(AM352:AM353)</f>
        <v>#REF!</v>
      </c>
      <c r="AN354" s="389" t="e">
        <f>SUM(AN352:AN353)</f>
        <v>#REF!</v>
      </c>
      <c r="AO354" s="390" t="e">
        <f>SUM(AB354:AN354)</f>
        <v>#REF!</v>
      </c>
      <c r="AP354" s="389" t="e">
        <f t="shared" ref="AP354:BA354" si="371">SUM(AP352:AP353)</f>
        <v>#REF!</v>
      </c>
      <c r="AQ354" s="389" t="e">
        <f t="shared" si="371"/>
        <v>#REF!</v>
      </c>
      <c r="AR354" s="389" t="e">
        <f t="shared" si="371"/>
        <v>#REF!</v>
      </c>
      <c r="AS354" s="389" t="e">
        <f t="shared" si="371"/>
        <v>#REF!</v>
      </c>
      <c r="AT354" s="389" t="e">
        <f t="shared" si="371"/>
        <v>#REF!</v>
      </c>
      <c r="AU354" s="389" t="e">
        <f t="shared" si="371"/>
        <v>#REF!</v>
      </c>
      <c r="AV354" s="389" t="e">
        <f t="shared" si="371"/>
        <v>#REF!</v>
      </c>
      <c r="AW354" s="389" t="e">
        <f t="shared" si="371"/>
        <v>#REF!</v>
      </c>
      <c r="AX354" s="389" t="e">
        <f t="shared" si="371"/>
        <v>#REF!</v>
      </c>
      <c r="AY354" s="389" t="e">
        <f t="shared" si="371"/>
        <v>#REF!</v>
      </c>
      <c r="AZ354" s="389" t="e">
        <f t="shared" si="371"/>
        <v>#REF!</v>
      </c>
      <c r="BA354" s="389" t="e">
        <f t="shared" si="371"/>
        <v>#REF!</v>
      </c>
      <c r="BB354" s="390" t="e">
        <f>SUM(AP354:BA354)</f>
        <v>#REF!</v>
      </c>
      <c r="BC354" s="389"/>
    </row>
    <row r="355" spans="1:55" x14ac:dyDescent="0.3">
      <c r="C355" s="83"/>
      <c r="D355" s="82"/>
      <c r="E355" s="83"/>
      <c r="F355" s="82"/>
      <c r="G355" s="83"/>
      <c r="H355" s="82"/>
      <c r="I355" s="83"/>
      <c r="J355" s="82"/>
      <c r="K355" s="83"/>
      <c r="L355" s="82"/>
      <c r="M355" s="83"/>
      <c r="N355" s="82"/>
      <c r="O355" s="83"/>
      <c r="P355" s="82"/>
      <c r="Q355" s="83"/>
      <c r="R355" s="82"/>
      <c r="S355" s="83"/>
      <c r="T355" s="82"/>
      <c r="U355" s="83"/>
      <c r="V355" s="82"/>
      <c r="W355" s="83"/>
      <c r="X355" s="82"/>
      <c r="Y355" s="83"/>
      <c r="Z355" s="82"/>
    </row>
    <row r="356" spans="1:55" ht="18.600000000000001" thickBot="1" x14ac:dyDescent="0.4">
      <c r="C356" s="151" t="s">
        <v>628</v>
      </c>
      <c r="D356" s="150"/>
      <c r="E356" s="151"/>
      <c r="F356" s="150"/>
      <c r="G356" s="151"/>
      <c r="H356" s="150"/>
      <c r="I356" s="151"/>
      <c r="J356" s="150"/>
      <c r="K356" s="83"/>
      <c r="L356" s="82"/>
      <c r="M356" s="83"/>
      <c r="N356" s="82"/>
      <c r="O356" s="83"/>
      <c r="P356" s="82"/>
      <c r="Q356" s="83"/>
      <c r="R356" s="82"/>
      <c r="S356" s="83"/>
      <c r="T356" s="82"/>
      <c r="U356" s="83"/>
      <c r="V356" s="82"/>
      <c r="W356" s="83"/>
      <c r="X356" s="82"/>
      <c r="Y356" s="83"/>
      <c r="Z356" s="82"/>
    </row>
    <row r="357" spans="1:55" ht="15" thickTop="1" x14ac:dyDescent="0.3">
      <c r="B357" s="381"/>
      <c r="C357" s="149">
        <v>45292</v>
      </c>
      <c r="D357" s="148">
        <v>45292</v>
      </c>
      <c r="E357" s="149">
        <v>45323</v>
      </c>
      <c r="F357" s="148">
        <v>45323</v>
      </c>
      <c r="G357" s="149">
        <v>45352</v>
      </c>
      <c r="H357" s="148">
        <v>45352</v>
      </c>
      <c r="I357" s="149">
        <v>45383</v>
      </c>
      <c r="J357" s="148">
        <v>45383</v>
      </c>
      <c r="K357" s="149">
        <v>45413</v>
      </c>
      <c r="L357" s="148">
        <v>45413</v>
      </c>
      <c r="M357" s="149">
        <v>45444</v>
      </c>
      <c r="N357" s="148">
        <v>45444</v>
      </c>
      <c r="O357" s="149">
        <v>45474</v>
      </c>
      <c r="P357" s="148">
        <v>45474</v>
      </c>
      <c r="Q357" s="149">
        <v>45505</v>
      </c>
      <c r="R357" s="148">
        <v>45505</v>
      </c>
      <c r="S357" s="149">
        <v>45536</v>
      </c>
      <c r="T357" s="148">
        <v>45536</v>
      </c>
      <c r="U357" s="149">
        <v>45566</v>
      </c>
      <c r="V357" s="148">
        <v>45566</v>
      </c>
      <c r="W357" s="149">
        <v>45597</v>
      </c>
      <c r="X357" s="148">
        <v>45597</v>
      </c>
      <c r="Y357" s="149">
        <v>45627</v>
      </c>
      <c r="Z357" s="148">
        <v>45627</v>
      </c>
      <c r="AA357" s="382">
        <f t="shared" ref="AA357:AH357" si="372">AA335</f>
        <v>44927</v>
      </c>
      <c r="AB357" s="382">
        <f t="shared" si="372"/>
        <v>44958</v>
      </c>
      <c r="AC357" s="382">
        <f t="shared" si="372"/>
        <v>44986</v>
      </c>
      <c r="AD357" s="382">
        <f t="shared" si="372"/>
        <v>45017</v>
      </c>
      <c r="AE357" s="382">
        <f t="shared" si="372"/>
        <v>45047</v>
      </c>
      <c r="AF357" s="382">
        <f t="shared" si="372"/>
        <v>45078</v>
      </c>
      <c r="AG357" s="382">
        <f t="shared" si="372"/>
        <v>45108</v>
      </c>
      <c r="AH357" s="382">
        <f t="shared" si="372"/>
        <v>45139</v>
      </c>
      <c r="AI357" s="381"/>
      <c r="AJ357" s="381" t="s">
        <v>579</v>
      </c>
      <c r="AK357" s="381" t="s">
        <v>580</v>
      </c>
      <c r="AL357" s="381" t="s">
        <v>581</v>
      </c>
      <c r="AM357" s="381" t="s">
        <v>582</v>
      </c>
      <c r="AN357" s="381" t="s">
        <v>583</v>
      </c>
      <c r="AO357" s="383" t="s">
        <v>584</v>
      </c>
      <c r="AP357" s="381" t="s">
        <v>585</v>
      </c>
      <c r="AQ357" s="381" t="s">
        <v>586</v>
      </c>
      <c r="AR357" s="381" t="s">
        <v>587</v>
      </c>
      <c r="AS357" s="381" t="s">
        <v>588</v>
      </c>
      <c r="AT357" s="381" t="s">
        <v>589</v>
      </c>
      <c r="AU357" s="381" t="s">
        <v>590</v>
      </c>
      <c r="AV357" s="381" t="s">
        <v>591</v>
      </c>
      <c r="AW357" s="381" t="s">
        <v>592</v>
      </c>
      <c r="AX357" s="381" t="s">
        <v>593</v>
      </c>
      <c r="AY357" s="381" t="s">
        <v>594</v>
      </c>
      <c r="AZ357" s="381" t="s">
        <v>595</v>
      </c>
      <c r="BA357" s="381" t="s">
        <v>596</v>
      </c>
      <c r="BB357" s="383" t="s">
        <v>597</v>
      </c>
      <c r="BC357" s="382"/>
    </row>
    <row r="358" spans="1:55" x14ac:dyDescent="0.3">
      <c r="B358" s="113" t="str">
        <f t="shared" ref="B358:B363" si="373">B336</f>
        <v>Salvadorcard/SSA</v>
      </c>
      <c r="C358" s="146">
        <v>0</v>
      </c>
      <c r="D358" s="145"/>
      <c r="E358" s="146">
        <v>0</v>
      </c>
      <c r="F358" s="145"/>
      <c r="G358" s="146">
        <v>0</v>
      </c>
      <c r="H358" s="145"/>
      <c r="I358" s="146">
        <v>0</v>
      </c>
      <c r="J358" s="145"/>
      <c r="K358" s="146">
        <v>0</v>
      </c>
      <c r="L358" s="145"/>
      <c r="M358" s="146">
        <v>0</v>
      </c>
      <c r="N358" s="145"/>
      <c r="O358" s="146">
        <v>0</v>
      </c>
      <c r="P358" s="145"/>
      <c r="Q358" s="146">
        <v>0</v>
      </c>
      <c r="R358" s="145"/>
      <c r="S358" s="146">
        <v>0</v>
      </c>
      <c r="T358" s="145"/>
      <c r="U358" s="146">
        <v>0</v>
      </c>
      <c r="V358" s="145"/>
      <c r="W358" s="146">
        <v>0</v>
      </c>
      <c r="X358" s="145"/>
      <c r="Y358" s="146">
        <v>0</v>
      </c>
      <c r="Z358" s="145"/>
      <c r="AA358" s="144">
        <v>0</v>
      </c>
      <c r="AB358" s="144">
        <v>0</v>
      </c>
      <c r="AC358" s="144">
        <v>0</v>
      </c>
      <c r="AD358" s="144">
        <v>0</v>
      </c>
      <c r="AE358" s="144">
        <v>0</v>
      </c>
      <c r="AF358" s="144">
        <v>0</v>
      </c>
      <c r="AG358" s="144">
        <v>0</v>
      </c>
      <c r="AH358" s="144">
        <v>0</v>
      </c>
      <c r="AI358" s="144"/>
      <c r="AJ358" s="144">
        <v>0</v>
      </c>
      <c r="AK358" s="144">
        <v>0</v>
      </c>
      <c r="AL358" s="144">
        <v>0</v>
      </c>
      <c r="AM358" s="144">
        <v>0</v>
      </c>
      <c r="AN358" s="144">
        <v>0</v>
      </c>
      <c r="AO358" s="391">
        <f t="shared" ref="AO358:AO364" si="374">SUM(AB358:AN358)</f>
        <v>0</v>
      </c>
      <c r="AP358" s="144">
        <v>0</v>
      </c>
      <c r="AQ358" s="144">
        <v>0</v>
      </c>
      <c r="AR358" s="144">
        <v>0</v>
      </c>
      <c r="AS358" s="144">
        <v>0</v>
      </c>
      <c r="AT358" s="144">
        <v>0</v>
      </c>
      <c r="AU358" s="144">
        <v>0</v>
      </c>
      <c r="AV358" s="144">
        <v>0</v>
      </c>
      <c r="AW358" s="144">
        <v>0</v>
      </c>
      <c r="AX358" s="144">
        <v>0</v>
      </c>
      <c r="AY358" s="144">
        <v>0</v>
      </c>
      <c r="AZ358" s="144">
        <v>0</v>
      </c>
      <c r="BA358" s="144">
        <v>0</v>
      </c>
      <c r="BB358" s="391">
        <f t="shared" ref="BB358:BB364" si="375">SUM(AP358:BA358)</f>
        <v>0</v>
      </c>
      <c r="BC358" s="144"/>
    </row>
    <row r="359" spans="1:55" x14ac:dyDescent="0.3">
      <c r="B359" s="91" t="str">
        <f t="shared" si="373"/>
        <v>Metropasse/SSA</v>
      </c>
      <c r="C359" s="90">
        <v>0</v>
      </c>
      <c r="D359" s="89"/>
      <c r="E359" s="90">
        <v>0</v>
      </c>
      <c r="F359" s="89"/>
      <c r="G359" s="90">
        <v>0</v>
      </c>
      <c r="H359" s="89"/>
      <c r="I359" s="90">
        <v>0</v>
      </c>
      <c r="J359" s="89"/>
      <c r="K359" s="90">
        <v>0</v>
      </c>
      <c r="L359" s="89"/>
      <c r="M359" s="90">
        <v>0</v>
      </c>
      <c r="N359" s="89"/>
      <c r="O359" s="90">
        <v>0</v>
      </c>
      <c r="P359" s="89"/>
      <c r="Q359" s="90">
        <v>0</v>
      </c>
      <c r="R359" s="89"/>
      <c r="S359" s="90">
        <v>0</v>
      </c>
      <c r="T359" s="89"/>
      <c r="U359" s="90">
        <v>0</v>
      </c>
      <c r="V359" s="89"/>
      <c r="W359" s="90">
        <v>0</v>
      </c>
      <c r="X359" s="89"/>
      <c r="Y359" s="90">
        <v>0</v>
      </c>
      <c r="Z359" s="89"/>
      <c r="AA359" s="96">
        <v>0</v>
      </c>
      <c r="AB359" s="96">
        <v>0</v>
      </c>
      <c r="AC359" s="96">
        <v>0</v>
      </c>
      <c r="AD359" s="96">
        <v>0</v>
      </c>
      <c r="AE359" s="96">
        <v>0</v>
      </c>
      <c r="AF359" s="96">
        <v>0</v>
      </c>
      <c r="AG359" s="96">
        <v>0</v>
      </c>
      <c r="AH359" s="96">
        <v>0</v>
      </c>
      <c r="AI359" s="96"/>
      <c r="AJ359" s="96" t="e">
        <v>#REF!</v>
      </c>
      <c r="AK359" s="96" t="e">
        <v>#REF!</v>
      </c>
      <c r="AL359" s="96" t="e">
        <v>#REF!</v>
      </c>
      <c r="AM359" s="96" t="e">
        <v>#REF!</v>
      </c>
      <c r="AN359" s="96" t="e">
        <v>#REF!</v>
      </c>
      <c r="AO359" s="147" t="e">
        <f t="shared" si="374"/>
        <v>#REF!</v>
      </c>
      <c r="AP359" s="96" t="e">
        <v>#REF!</v>
      </c>
      <c r="AQ359" s="96" t="e">
        <v>#REF!</v>
      </c>
      <c r="AR359" s="96" t="e">
        <v>#REF!</v>
      </c>
      <c r="AS359" s="96" t="e">
        <v>#REF!</v>
      </c>
      <c r="AT359" s="96" t="e">
        <v>#REF!</v>
      </c>
      <c r="AU359" s="96" t="e">
        <v>#REF!</v>
      </c>
      <c r="AV359" s="96" t="e">
        <v>#REF!</v>
      </c>
      <c r="AW359" s="96" t="e">
        <v>#REF!</v>
      </c>
      <c r="AX359" s="96" t="e">
        <v>#REF!</v>
      </c>
      <c r="AY359" s="96" t="e">
        <v>#REF!</v>
      </c>
      <c r="AZ359" s="96" t="e">
        <v>#REF!</v>
      </c>
      <c r="BA359" s="96" t="e">
        <v>#REF!</v>
      </c>
      <c r="BB359" s="147" t="e">
        <f t="shared" si="375"/>
        <v>#REF!</v>
      </c>
      <c r="BC359" s="96"/>
    </row>
    <row r="360" spans="1:55" x14ac:dyDescent="0.3">
      <c r="B360" s="91" t="str">
        <f t="shared" si="373"/>
        <v>GVBus/VIX</v>
      </c>
      <c r="C360" s="90">
        <v>0</v>
      </c>
      <c r="D360" s="89"/>
      <c r="E360" s="90">
        <v>0</v>
      </c>
      <c r="F360" s="89"/>
      <c r="G360" s="90">
        <v>0</v>
      </c>
      <c r="H360" s="89"/>
      <c r="I360" s="90">
        <v>0</v>
      </c>
      <c r="J360" s="89"/>
      <c r="K360" s="90">
        <v>0</v>
      </c>
      <c r="L360" s="89"/>
      <c r="M360" s="90">
        <v>0</v>
      </c>
      <c r="N360" s="89"/>
      <c r="O360" s="90">
        <v>0</v>
      </c>
      <c r="P360" s="89"/>
      <c r="Q360" s="90">
        <v>0</v>
      </c>
      <c r="R360" s="89"/>
      <c r="S360" s="90">
        <v>0</v>
      </c>
      <c r="T360" s="89"/>
      <c r="U360" s="90">
        <v>0</v>
      </c>
      <c r="V360" s="89"/>
      <c r="W360" s="90">
        <v>0</v>
      </c>
      <c r="X360" s="89"/>
      <c r="Y360" s="90">
        <v>0</v>
      </c>
      <c r="Z360" s="89"/>
      <c r="AA360" s="96">
        <v>0</v>
      </c>
      <c r="AB360" s="96">
        <v>0</v>
      </c>
      <c r="AC360" s="96">
        <v>0</v>
      </c>
      <c r="AD360" s="96">
        <v>0</v>
      </c>
      <c r="AE360" s="96">
        <v>0</v>
      </c>
      <c r="AF360" s="96">
        <v>0</v>
      </c>
      <c r="AG360" s="96">
        <v>0</v>
      </c>
      <c r="AH360" s="96">
        <v>0</v>
      </c>
      <c r="AI360" s="96"/>
      <c r="AJ360" s="96">
        <v>0</v>
      </c>
      <c r="AK360" s="96">
        <v>0</v>
      </c>
      <c r="AL360" s="96">
        <v>0</v>
      </c>
      <c r="AM360" s="96">
        <v>0</v>
      </c>
      <c r="AN360" s="96">
        <v>0</v>
      </c>
      <c r="AO360" s="147">
        <f t="shared" si="374"/>
        <v>0</v>
      </c>
      <c r="AP360" s="96">
        <v>0</v>
      </c>
      <c r="AQ360" s="96">
        <v>0</v>
      </c>
      <c r="AR360" s="96">
        <v>0</v>
      </c>
      <c r="AS360" s="96">
        <v>0</v>
      </c>
      <c r="AT360" s="96">
        <v>0</v>
      </c>
      <c r="AU360" s="96">
        <v>0</v>
      </c>
      <c r="AV360" s="96">
        <v>0</v>
      </c>
      <c r="AW360" s="96">
        <v>0</v>
      </c>
      <c r="AX360" s="96">
        <v>0</v>
      </c>
      <c r="AY360" s="96">
        <v>0</v>
      </c>
      <c r="AZ360" s="96">
        <v>0</v>
      </c>
      <c r="BA360" s="96">
        <v>0</v>
      </c>
      <c r="BB360" s="147">
        <f t="shared" si="375"/>
        <v>0</v>
      </c>
      <c r="BC360" s="96"/>
    </row>
    <row r="361" spans="1:55" x14ac:dyDescent="0.3">
      <c r="B361" s="91" t="str">
        <f t="shared" si="373"/>
        <v>Teu/POA</v>
      </c>
      <c r="C361" s="90">
        <v>0</v>
      </c>
      <c r="D361" s="89"/>
      <c r="E361" s="90">
        <v>0</v>
      </c>
      <c r="F361" s="89"/>
      <c r="G361" s="90">
        <v>0</v>
      </c>
      <c r="H361" s="89"/>
      <c r="I361" s="90">
        <v>0</v>
      </c>
      <c r="J361" s="89"/>
      <c r="K361" s="90">
        <v>0</v>
      </c>
      <c r="L361" s="89"/>
      <c r="M361" s="90">
        <v>0</v>
      </c>
      <c r="N361" s="89"/>
      <c r="O361" s="90">
        <v>0</v>
      </c>
      <c r="P361" s="89"/>
      <c r="Q361" s="90">
        <v>0</v>
      </c>
      <c r="R361" s="89"/>
      <c r="S361" s="90">
        <v>0</v>
      </c>
      <c r="T361" s="89"/>
      <c r="U361" s="90">
        <v>0</v>
      </c>
      <c r="V361" s="89"/>
      <c r="W361" s="90">
        <v>0</v>
      </c>
      <c r="X361" s="89"/>
      <c r="Y361" s="90">
        <v>0</v>
      </c>
      <c r="Z361" s="89"/>
      <c r="AA361" s="96">
        <v>0</v>
      </c>
      <c r="AB361" s="96">
        <v>0</v>
      </c>
      <c r="AC361" s="96">
        <v>0</v>
      </c>
      <c r="AD361" s="96">
        <v>0</v>
      </c>
      <c r="AE361" s="96">
        <v>0</v>
      </c>
      <c r="AF361" s="96">
        <v>0</v>
      </c>
      <c r="AG361" s="96">
        <v>0</v>
      </c>
      <c r="AH361" s="96">
        <v>0</v>
      </c>
      <c r="AI361" s="96"/>
      <c r="AJ361" s="96">
        <v>0</v>
      </c>
      <c r="AK361" s="96">
        <v>0</v>
      </c>
      <c r="AL361" s="96">
        <v>0</v>
      </c>
      <c r="AM361" s="96">
        <v>0</v>
      </c>
      <c r="AN361" s="96">
        <v>0</v>
      </c>
      <c r="AO361" s="147">
        <f t="shared" si="374"/>
        <v>0</v>
      </c>
      <c r="AP361" s="96">
        <v>0</v>
      </c>
      <c r="AQ361" s="96">
        <v>0</v>
      </c>
      <c r="AR361" s="96">
        <v>0</v>
      </c>
      <c r="AS361" s="96">
        <v>0</v>
      </c>
      <c r="AT361" s="96">
        <v>0</v>
      </c>
      <c r="AU361" s="96">
        <v>0</v>
      </c>
      <c r="AV361" s="96">
        <v>0</v>
      </c>
      <c r="AW361" s="96">
        <v>0</v>
      </c>
      <c r="AX361" s="96">
        <v>0</v>
      </c>
      <c r="AY361" s="96">
        <v>0</v>
      </c>
      <c r="AZ361" s="96">
        <v>0</v>
      </c>
      <c r="BA361" s="96">
        <v>0</v>
      </c>
      <c r="BB361" s="147">
        <f t="shared" si="375"/>
        <v>0</v>
      </c>
      <c r="BC361" s="96"/>
    </row>
    <row r="362" spans="1:55" x14ac:dyDescent="0.3">
      <c r="B362" s="91" t="str">
        <f t="shared" si="373"/>
        <v>Transfácil/BHZ</v>
      </c>
      <c r="C362" s="90">
        <v>0</v>
      </c>
      <c r="D362" s="89"/>
      <c r="E362" s="90">
        <v>0</v>
      </c>
      <c r="F362" s="89"/>
      <c r="G362" s="90">
        <v>0</v>
      </c>
      <c r="H362" s="89"/>
      <c r="I362" s="90">
        <v>0</v>
      </c>
      <c r="J362" s="89"/>
      <c r="K362" s="90">
        <v>0</v>
      </c>
      <c r="L362" s="89"/>
      <c r="M362" s="90">
        <v>0</v>
      </c>
      <c r="N362" s="89"/>
      <c r="O362" s="90">
        <v>0</v>
      </c>
      <c r="P362" s="89"/>
      <c r="Q362" s="90">
        <v>0</v>
      </c>
      <c r="R362" s="89"/>
      <c r="S362" s="90">
        <v>0</v>
      </c>
      <c r="T362" s="89"/>
      <c r="U362" s="90">
        <v>0</v>
      </c>
      <c r="V362" s="89"/>
      <c r="W362" s="90">
        <v>0</v>
      </c>
      <c r="X362" s="89"/>
      <c r="Y362" s="90">
        <v>0</v>
      </c>
      <c r="Z362" s="89"/>
      <c r="AA362" s="96">
        <v>0</v>
      </c>
      <c r="AB362" s="96">
        <v>0</v>
      </c>
      <c r="AC362" s="96">
        <v>0</v>
      </c>
      <c r="AD362" s="96">
        <v>0</v>
      </c>
      <c r="AE362" s="96">
        <v>0</v>
      </c>
      <c r="AF362" s="96">
        <v>0</v>
      </c>
      <c r="AG362" s="96">
        <v>0</v>
      </c>
      <c r="AH362" s="96">
        <v>0</v>
      </c>
      <c r="AI362" s="96"/>
      <c r="AJ362" s="96">
        <v>0</v>
      </c>
      <c r="AK362" s="96">
        <v>0</v>
      </c>
      <c r="AL362" s="96">
        <v>0</v>
      </c>
      <c r="AM362" s="96">
        <v>0</v>
      </c>
      <c r="AN362" s="96">
        <v>0</v>
      </c>
      <c r="AO362" s="147">
        <f t="shared" si="374"/>
        <v>0</v>
      </c>
      <c r="AP362" s="96">
        <v>0</v>
      </c>
      <c r="AQ362" s="96">
        <v>0</v>
      </c>
      <c r="AR362" s="96">
        <v>0</v>
      </c>
      <c r="AS362" s="96">
        <v>0</v>
      </c>
      <c r="AT362" s="96">
        <v>0</v>
      </c>
      <c r="AU362" s="96">
        <v>0</v>
      </c>
      <c r="AV362" s="96">
        <v>0</v>
      </c>
      <c r="AW362" s="96">
        <v>0</v>
      </c>
      <c r="AX362" s="96">
        <v>0</v>
      </c>
      <c r="AY362" s="96">
        <v>0</v>
      </c>
      <c r="AZ362" s="96">
        <v>0</v>
      </c>
      <c r="BA362" s="96">
        <v>0</v>
      </c>
      <c r="BB362" s="147">
        <f t="shared" si="375"/>
        <v>0</v>
      </c>
      <c r="BC362" s="96"/>
    </row>
    <row r="363" spans="1:55" x14ac:dyDescent="0.3">
      <c r="B363" s="113" t="str">
        <f t="shared" si="373"/>
        <v>Biguaçú-Jotur-Santa Terezinha/Florianopolis</v>
      </c>
      <c r="C363" s="146">
        <v>0</v>
      </c>
      <c r="D363" s="145"/>
      <c r="E363" s="146">
        <v>0</v>
      </c>
      <c r="F363" s="145"/>
      <c r="G363" s="146">
        <v>0</v>
      </c>
      <c r="H363" s="145"/>
      <c r="I363" s="146">
        <v>0</v>
      </c>
      <c r="J363" s="145"/>
      <c r="K363" s="146">
        <v>0</v>
      </c>
      <c r="L363" s="145"/>
      <c r="M363" s="146">
        <v>0</v>
      </c>
      <c r="N363" s="145"/>
      <c r="O363" s="146">
        <v>0</v>
      </c>
      <c r="P363" s="145"/>
      <c r="Q363" s="146">
        <v>0</v>
      </c>
      <c r="R363" s="145"/>
      <c r="S363" s="146">
        <v>0</v>
      </c>
      <c r="T363" s="145"/>
      <c r="U363" s="146">
        <v>0</v>
      </c>
      <c r="V363" s="145"/>
      <c r="W363" s="146">
        <v>0</v>
      </c>
      <c r="X363" s="145"/>
      <c r="Y363" s="146">
        <v>0</v>
      </c>
      <c r="Z363" s="145"/>
      <c r="AA363" s="144">
        <v>0</v>
      </c>
      <c r="AB363" s="144">
        <v>0</v>
      </c>
      <c r="AC363" s="144">
        <v>0</v>
      </c>
      <c r="AD363" s="144">
        <v>0</v>
      </c>
      <c r="AE363" s="144">
        <v>0</v>
      </c>
      <c r="AF363" s="144">
        <v>0</v>
      </c>
      <c r="AG363" s="144">
        <v>0</v>
      </c>
      <c r="AH363" s="144">
        <v>0</v>
      </c>
      <c r="AI363" s="144"/>
      <c r="AJ363" s="144">
        <v>0</v>
      </c>
      <c r="AK363" s="144">
        <v>0</v>
      </c>
      <c r="AL363" s="144">
        <v>0</v>
      </c>
      <c r="AM363" s="144">
        <v>0</v>
      </c>
      <c r="AN363" s="144">
        <v>0</v>
      </c>
      <c r="AO363" s="206">
        <f t="shared" si="374"/>
        <v>0</v>
      </c>
      <c r="AP363" s="144">
        <v>0</v>
      </c>
      <c r="AQ363" s="144">
        <v>0</v>
      </c>
      <c r="AR363" s="144">
        <v>0</v>
      </c>
      <c r="AS363" s="144">
        <v>0</v>
      </c>
      <c r="AT363" s="144">
        <v>0</v>
      </c>
      <c r="AU363" s="144">
        <v>0</v>
      </c>
      <c r="AV363" s="144">
        <v>0</v>
      </c>
      <c r="AW363" s="144">
        <v>0</v>
      </c>
      <c r="AX363" s="144">
        <v>0</v>
      </c>
      <c r="AY363" s="144">
        <v>0</v>
      </c>
      <c r="AZ363" s="144">
        <v>0</v>
      </c>
      <c r="BA363" s="144">
        <v>0</v>
      </c>
      <c r="BB363" s="206">
        <f t="shared" si="375"/>
        <v>0</v>
      </c>
      <c r="BC363" s="144"/>
    </row>
    <row r="364" spans="1:55" x14ac:dyDescent="0.3">
      <c r="B364" s="380" t="s">
        <v>599</v>
      </c>
      <c r="C364" s="143">
        <f>SUM(C358:C363)</f>
        <v>0</v>
      </c>
      <c r="D364" s="385"/>
      <c r="E364" s="143">
        <f>SUM(E358:E363)</f>
        <v>0</v>
      </c>
      <c r="F364" s="385"/>
      <c r="G364" s="143">
        <f>SUM(G358:G363)</f>
        <v>0</v>
      </c>
      <c r="H364" s="385"/>
      <c r="I364" s="143">
        <f>SUM(I358:I363)</f>
        <v>0</v>
      </c>
      <c r="J364" s="385"/>
      <c r="K364" s="143">
        <f>SUM(K358:K363)</f>
        <v>0</v>
      </c>
      <c r="L364" s="385"/>
      <c r="M364" s="143">
        <f>SUM(M358:M363)</f>
        <v>0</v>
      </c>
      <c r="N364" s="385"/>
      <c r="O364" s="143">
        <f>SUM(O358:O363)</f>
        <v>0</v>
      </c>
      <c r="P364" s="385"/>
      <c r="Q364" s="143">
        <f>SUM(Q358:Q363)</f>
        <v>0</v>
      </c>
      <c r="R364" s="385"/>
      <c r="S364" s="143">
        <f>SUM(S358:S363)</f>
        <v>0</v>
      </c>
      <c r="T364" s="385"/>
      <c r="U364" s="143">
        <f>SUM(U358:U363)</f>
        <v>0</v>
      </c>
      <c r="V364" s="385"/>
      <c r="W364" s="143">
        <f>SUM(W358:W363)</f>
        <v>0</v>
      </c>
      <c r="X364" s="385"/>
      <c r="Y364" s="143">
        <f>SUM(Y358:Y363)</f>
        <v>0</v>
      </c>
      <c r="Z364" s="385"/>
      <c r="AA364" s="387">
        <f t="shared" ref="AA364:AH364" si="376">SUM(AA358:AA363)</f>
        <v>0</v>
      </c>
      <c r="AB364" s="387">
        <f t="shared" si="376"/>
        <v>0</v>
      </c>
      <c r="AC364" s="387">
        <f t="shared" si="376"/>
        <v>0</v>
      </c>
      <c r="AD364" s="387">
        <f t="shared" si="376"/>
        <v>0</v>
      </c>
      <c r="AE364" s="387">
        <f t="shared" si="376"/>
        <v>0</v>
      </c>
      <c r="AF364" s="387">
        <f t="shared" si="376"/>
        <v>0</v>
      </c>
      <c r="AG364" s="387">
        <f t="shared" si="376"/>
        <v>0</v>
      </c>
      <c r="AH364" s="387">
        <f t="shared" si="376"/>
        <v>0</v>
      </c>
      <c r="AI364" s="387"/>
      <c r="AJ364" s="387" t="e">
        <f>SUM(AJ358:AJ363)</f>
        <v>#REF!</v>
      </c>
      <c r="AK364" s="387" t="e">
        <f>SUM(AK358:AK363)</f>
        <v>#REF!</v>
      </c>
      <c r="AL364" s="387" t="e">
        <f>SUM(AL358:AL363)</f>
        <v>#REF!</v>
      </c>
      <c r="AM364" s="387" t="e">
        <f>SUM(AM358:AM363)</f>
        <v>#REF!</v>
      </c>
      <c r="AN364" s="387" t="e">
        <f>SUM(AN358:AN363)</f>
        <v>#REF!</v>
      </c>
      <c r="AO364" s="386" t="e">
        <f t="shared" si="374"/>
        <v>#REF!</v>
      </c>
      <c r="AP364" s="387" t="e">
        <f t="shared" ref="AP364:BA364" si="377">SUM(AP358:AP363)</f>
        <v>#REF!</v>
      </c>
      <c r="AQ364" s="387" t="e">
        <f t="shared" si="377"/>
        <v>#REF!</v>
      </c>
      <c r="AR364" s="387" t="e">
        <f t="shared" si="377"/>
        <v>#REF!</v>
      </c>
      <c r="AS364" s="387" t="e">
        <f t="shared" si="377"/>
        <v>#REF!</v>
      </c>
      <c r="AT364" s="387" t="e">
        <f t="shared" si="377"/>
        <v>#REF!</v>
      </c>
      <c r="AU364" s="387" t="e">
        <f t="shared" si="377"/>
        <v>#REF!</v>
      </c>
      <c r="AV364" s="387" t="e">
        <f t="shared" si="377"/>
        <v>#REF!</v>
      </c>
      <c r="AW364" s="387" t="e">
        <f t="shared" si="377"/>
        <v>#REF!</v>
      </c>
      <c r="AX364" s="387" t="e">
        <f t="shared" si="377"/>
        <v>#REF!</v>
      </c>
      <c r="AY364" s="387" t="e">
        <f t="shared" si="377"/>
        <v>#REF!</v>
      </c>
      <c r="AZ364" s="387" t="e">
        <f t="shared" si="377"/>
        <v>#REF!</v>
      </c>
      <c r="BA364" s="387" t="e">
        <f t="shared" si="377"/>
        <v>#REF!</v>
      </c>
      <c r="BB364" s="386" t="e">
        <f t="shared" si="375"/>
        <v>#REF!</v>
      </c>
      <c r="BC364" s="387"/>
    </row>
    <row r="365" spans="1:55" x14ac:dyDescent="0.3">
      <c r="A365" s="108"/>
      <c r="B365" s="142" t="s">
        <v>600</v>
      </c>
      <c r="C365" s="141"/>
      <c r="D365" s="140"/>
      <c r="E365" s="141"/>
      <c r="F365" s="140"/>
      <c r="G365" s="141"/>
      <c r="H365" s="140"/>
      <c r="I365" s="141"/>
      <c r="J365" s="140"/>
      <c r="K365" s="141"/>
      <c r="L365" s="140"/>
      <c r="M365" s="141"/>
      <c r="N365" s="140"/>
      <c r="O365" s="141"/>
      <c r="P365" s="140"/>
      <c r="Q365" s="141"/>
      <c r="R365" s="140"/>
      <c r="S365" s="141"/>
      <c r="T365" s="140"/>
      <c r="U365" s="141"/>
      <c r="V365" s="140"/>
      <c r="W365" s="141"/>
      <c r="X365" s="140"/>
      <c r="Y365" s="141"/>
      <c r="Z365" s="140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/>
      <c r="AN365" s="108"/>
      <c r="AO365" s="139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/>
      <c r="BB365" s="139"/>
      <c r="BC365" s="108"/>
    </row>
    <row r="366" spans="1:55" x14ac:dyDescent="0.3">
      <c r="A366" s="125">
        <v>0.47270000000000001</v>
      </c>
      <c r="B366" s="138" t="s">
        <v>601</v>
      </c>
      <c r="C366" s="116">
        <f t="shared" ref="C366:C372" si="378">C$364*$A366</f>
        <v>0</v>
      </c>
      <c r="D366" s="115"/>
      <c r="E366" s="116">
        <f t="shared" ref="E366:E372" si="379">E$364*$A366</f>
        <v>0</v>
      </c>
      <c r="F366" s="115"/>
      <c r="G366" s="116">
        <f t="shared" ref="G366:G372" si="380">G$364*$A366</f>
        <v>0</v>
      </c>
      <c r="H366" s="115"/>
      <c r="I366" s="116">
        <f t="shared" ref="I366:I372" si="381">I$364*$A366</f>
        <v>0</v>
      </c>
      <c r="J366" s="115"/>
      <c r="K366" s="116">
        <f t="shared" ref="K366:K372" si="382">K$364*$A366</f>
        <v>0</v>
      </c>
      <c r="L366" s="115"/>
      <c r="M366" s="116">
        <f t="shared" ref="M366:M372" si="383">M$364*$A366</f>
        <v>0</v>
      </c>
      <c r="N366" s="115"/>
      <c r="O366" s="116">
        <f t="shared" ref="O366:O372" si="384">O$364*$A366</f>
        <v>0</v>
      </c>
      <c r="P366" s="115"/>
      <c r="Q366" s="116">
        <f t="shared" ref="Q366:Q372" si="385">Q$364*$A366</f>
        <v>0</v>
      </c>
      <c r="R366" s="115"/>
      <c r="S366" s="116">
        <f t="shared" ref="S366:S372" si="386">S$364*$A366</f>
        <v>0</v>
      </c>
      <c r="T366" s="115"/>
      <c r="U366" s="116">
        <f t="shared" ref="U366:U372" si="387">U$364*$A366</f>
        <v>0</v>
      </c>
      <c r="V366" s="115"/>
      <c r="W366" s="116">
        <f t="shared" ref="W366:W372" si="388">W$364*$A366</f>
        <v>0</v>
      </c>
      <c r="X366" s="115"/>
      <c r="Y366" s="116">
        <f t="shared" ref="Y366:Y372" si="389">Y$364*$A366</f>
        <v>0</v>
      </c>
      <c r="Z366" s="115"/>
      <c r="AA366" s="93">
        <f t="shared" ref="AA366:AH372" si="390">AA$364*$A366</f>
        <v>0</v>
      </c>
      <c r="AB366" s="93">
        <f t="shared" si="390"/>
        <v>0</v>
      </c>
      <c r="AC366" s="93">
        <f t="shared" si="390"/>
        <v>0</v>
      </c>
      <c r="AD366" s="93">
        <f t="shared" si="390"/>
        <v>0</v>
      </c>
      <c r="AE366" s="93">
        <f t="shared" si="390"/>
        <v>0</v>
      </c>
      <c r="AF366" s="93">
        <f t="shared" si="390"/>
        <v>0</v>
      </c>
      <c r="AG366" s="93">
        <f t="shared" si="390"/>
        <v>0</v>
      </c>
      <c r="AH366" s="93">
        <f t="shared" si="390"/>
        <v>0</v>
      </c>
      <c r="AI366" s="93"/>
      <c r="AJ366" s="93" t="e">
        <f t="shared" ref="AJ366:AN372" si="391">AJ$364*$A366</f>
        <v>#REF!</v>
      </c>
      <c r="AK366" s="93" t="e">
        <f t="shared" si="391"/>
        <v>#REF!</v>
      </c>
      <c r="AL366" s="93" t="e">
        <f t="shared" si="391"/>
        <v>#REF!</v>
      </c>
      <c r="AM366" s="93" t="e">
        <f t="shared" si="391"/>
        <v>#REF!</v>
      </c>
      <c r="AN366" s="93" t="e">
        <f t="shared" si="391"/>
        <v>#REF!</v>
      </c>
      <c r="AO366" s="128" t="e">
        <f t="shared" ref="AO366:AO372" si="392">SUM(AB366:AN366)</f>
        <v>#REF!</v>
      </c>
      <c r="AP366" s="93" t="e">
        <f t="shared" ref="AP366:BA372" si="393">AP$364*$A366</f>
        <v>#REF!</v>
      </c>
      <c r="AQ366" s="93" t="e">
        <f t="shared" si="393"/>
        <v>#REF!</v>
      </c>
      <c r="AR366" s="93" t="e">
        <f t="shared" si="393"/>
        <v>#REF!</v>
      </c>
      <c r="AS366" s="93" t="e">
        <f t="shared" si="393"/>
        <v>#REF!</v>
      </c>
      <c r="AT366" s="93" t="e">
        <f t="shared" si="393"/>
        <v>#REF!</v>
      </c>
      <c r="AU366" s="93" t="e">
        <f t="shared" si="393"/>
        <v>#REF!</v>
      </c>
      <c r="AV366" s="93" t="e">
        <f t="shared" si="393"/>
        <v>#REF!</v>
      </c>
      <c r="AW366" s="93" t="e">
        <f t="shared" si="393"/>
        <v>#REF!</v>
      </c>
      <c r="AX366" s="93" t="e">
        <f t="shared" si="393"/>
        <v>#REF!</v>
      </c>
      <c r="AY366" s="93" t="e">
        <f t="shared" si="393"/>
        <v>#REF!</v>
      </c>
      <c r="AZ366" s="93" t="e">
        <f t="shared" si="393"/>
        <v>#REF!</v>
      </c>
      <c r="BA366" s="93" t="e">
        <f t="shared" si="393"/>
        <v>#REF!</v>
      </c>
      <c r="BB366" s="127" t="e">
        <f t="shared" ref="BB366:BB372" si="394">SUM(AP366:BA366)</f>
        <v>#REF!</v>
      </c>
      <c r="BC366" s="93"/>
    </row>
    <row r="367" spans="1:55" x14ac:dyDescent="0.3">
      <c r="A367" s="125">
        <v>8.9999999999999998E-4</v>
      </c>
      <c r="B367" s="138" t="s">
        <v>602</v>
      </c>
      <c r="C367" s="116">
        <f t="shared" si="378"/>
        <v>0</v>
      </c>
      <c r="D367" s="115"/>
      <c r="E367" s="116">
        <f t="shared" si="379"/>
        <v>0</v>
      </c>
      <c r="F367" s="115"/>
      <c r="G367" s="116">
        <f t="shared" si="380"/>
        <v>0</v>
      </c>
      <c r="H367" s="115"/>
      <c r="I367" s="116">
        <f t="shared" si="381"/>
        <v>0</v>
      </c>
      <c r="J367" s="115"/>
      <c r="K367" s="116">
        <f t="shared" si="382"/>
        <v>0</v>
      </c>
      <c r="L367" s="115"/>
      <c r="M367" s="116">
        <f t="shared" si="383"/>
        <v>0</v>
      </c>
      <c r="N367" s="115"/>
      <c r="O367" s="116">
        <f t="shared" si="384"/>
        <v>0</v>
      </c>
      <c r="P367" s="115"/>
      <c r="Q367" s="116">
        <f t="shared" si="385"/>
        <v>0</v>
      </c>
      <c r="R367" s="115"/>
      <c r="S367" s="116">
        <f t="shared" si="386"/>
        <v>0</v>
      </c>
      <c r="T367" s="115"/>
      <c r="U367" s="116">
        <f t="shared" si="387"/>
        <v>0</v>
      </c>
      <c r="V367" s="115"/>
      <c r="W367" s="116">
        <f t="shared" si="388"/>
        <v>0</v>
      </c>
      <c r="X367" s="115"/>
      <c r="Y367" s="116">
        <f t="shared" si="389"/>
        <v>0</v>
      </c>
      <c r="Z367" s="115"/>
      <c r="AA367" s="93">
        <f t="shared" si="390"/>
        <v>0</v>
      </c>
      <c r="AB367" s="93">
        <f t="shared" si="390"/>
        <v>0</v>
      </c>
      <c r="AC367" s="93">
        <f t="shared" si="390"/>
        <v>0</v>
      </c>
      <c r="AD367" s="93">
        <f t="shared" si="390"/>
        <v>0</v>
      </c>
      <c r="AE367" s="93">
        <f t="shared" si="390"/>
        <v>0</v>
      </c>
      <c r="AF367" s="93">
        <f t="shared" si="390"/>
        <v>0</v>
      </c>
      <c r="AG367" s="93">
        <f t="shared" si="390"/>
        <v>0</v>
      </c>
      <c r="AH367" s="93">
        <f t="shared" si="390"/>
        <v>0</v>
      </c>
      <c r="AI367" s="93"/>
      <c r="AJ367" s="93" t="e">
        <f t="shared" si="391"/>
        <v>#REF!</v>
      </c>
      <c r="AK367" s="93" t="e">
        <f t="shared" si="391"/>
        <v>#REF!</v>
      </c>
      <c r="AL367" s="93" t="e">
        <f t="shared" si="391"/>
        <v>#REF!</v>
      </c>
      <c r="AM367" s="93" t="e">
        <f t="shared" si="391"/>
        <v>#REF!</v>
      </c>
      <c r="AN367" s="93" t="e">
        <f t="shared" si="391"/>
        <v>#REF!</v>
      </c>
      <c r="AO367" s="128" t="e">
        <f t="shared" si="392"/>
        <v>#REF!</v>
      </c>
      <c r="AP367" s="93" t="e">
        <f t="shared" si="393"/>
        <v>#REF!</v>
      </c>
      <c r="AQ367" s="93" t="e">
        <f t="shared" si="393"/>
        <v>#REF!</v>
      </c>
      <c r="AR367" s="93" t="e">
        <f t="shared" si="393"/>
        <v>#REF!</v>
      </c>
      <c r="AS367" s="93" t="e">
        <f t="shared" si="393"/>
        <v>#REF!</v>
      </c>
      <c r="AT367" s="93" t="e">
        <f t="shared" si="393"/>
        <v>#REF!</v>
      </c>
      <c r="AU367" s="93" t="e">
        <f t="shared" si="393"/>
        <v>#REF!</v>
      </c>
      <c r="AV367" s="93" t="e">
        <f t="shared" si="393"/>
        <v>#REF!</v>
      </c>
      <c r="AW367" s="93" t="e">
        <f t="shared" si="393"/>
        <v>#REF!</v>
      </c>
      <c r="AX367" s="93" t="e">
        <f t="shared" si="393"/>
        <v>#REF!</v>
      </c>
      <c r="AY367" s="93" t="e">
        <f t="shared" si="393"/>
        <v>#REF!</v>
      </c>
      <c r="AZ367" s="93" t="e">
        <f t="shared" si="393"/>
        <v>#REF!</v>
      </c>
      <c r="BA367" s="93" t="e">
        <f t="shared" si="393"/>
        <v>#REF!</v>
      </c>
      <c r="BB367" s="127" t="e">
        <f t="shared" si="394"/>
        <v>#REF!</v>
      </c>
      <c r="BC367" s="93"/>
    </row>
    <row r="368" spans="1:55" x14ac:dyDescent="0.3">
      <c r="A368" s="125">
        <v>0.42130000000000001</v>
      </c>
      <c r="B368" s="138" t="s">
        <v>603</v>
      </c>
      <c r="C368" s="116">
        <f t="shared" si="378"/>
        <v>0</v>
      </c>
      <c r="D368" s="115"/>
      <c r="E368" s="116">
        <f t="shared" si="379"/>
        <v>0</v>
      </c>
      <c r="F368" s="115"/>
      <c r="G368" s="116">
        <f t="shared" si="380"/>
        <v>0</v>
      </c>
      <c r="H368" s="115"/>
      <c r="I368" s="116">
        <f t="shared" si="381"/>
        <v>0</v>
      </c>
      <c r="J368" s="115"/>
      <c r="K368" s="116">
        <f t="shared" si="382"/>
        <v>0</v>
      </c>
      <c r="L368" s="115"/>
      <c r="M368" s="116">
        <f t="shared" si="383"/>
        <v>0</v>
      </c>
      <c r="N368" s="115"/>
      <c r="O368" s="116">
        <f t="shared" si="384"/>
        <v>0</v>
      </c>
      <c r="P368" s="115"/>
      <c r="Q368" s="116">
        <f t="shared" si="385"/>
        <v>0</v>
      </c>
      <c r="R368" s="115"/>
      <c r="S368" s="116">
        <f t="shared" si="386"/>
        <v>0</v>
      </c>
      <c r="T368" s="115"/>
      <c r="U368" s="116">
        <f t="shared" si="387"/>
        <v>0</v>
      </c>
      <c r="V368" s="115"/>
      <c r="W368" s="116">
        <f t="shared" si="388"/>
        <v>0</v>
      </c>
      <c r="X368" s="115"/>
      <c r="Y368" s="116">
        <f t="shared" si="389"/>
        <v>0</v>
      </c>
      <c r="Z368" s="115"/>
      <c r="AA368" s="93">
        <f t="shared" si="390"/>
        <v>0</v>
      </c>
      <c r="AB368" s="93">
        <f t="shared" si="390"/>
        <v>0</v>
      </c>
      <c r="AC368" s="93">
        <f t="shared" si="390"/>
        <v>0</v>
      </c>
      <c r="AD368" s="93">
        <f t="shared" si="390"/>
        <v>0</v>
      </c>
      <c r="AE368" s="93">
        <f t="shared" si="390"/>
        <v>0</v>
      </c>
      <c r="AF368" s="93">
        <f t="shared" si="390"/>
        <v>0</v>
      </c>
      <c r="AG368" s="93">
        <f t="shared" si="390"/>
        <v>0</v>
      </c>
      <c r="AH368" s="93">
        <f t="shared" si="390"/>
        <v>0</v>
      </c>
      <c r="AI368" s="93"/>
      <c r="AJ368" s="93" t="e">
        <f t="shared" si="391"/>
        <v>#REF!</v>
      </c>
      <c r="AK368" s="93" t="e">
        <f t="shared" si="391"/>
        <v>#REF!</v>
      </c>
      <c r="AL368" s="93" t="e">
        <f t="shared" si="391"/>
        <v>#REF!</v>
      </c>
      <c r="AM368" s="93" t="e">
        <f t="shared" si="391"/>
        <v>#REF!</v>
      </c>
      <c r="AN368" s="93" t="e">
        <f t="shared" si="391"/>
        <v>#REF!</v>
      </c>
      <c r="AO368" s="128" t="e">
        <f t="shared" si="392"/>
        <v>#REF!</v>
      </c>
      <c r="AP368" s="93" t="e">
        <f t="shared" si="393"/>
        <v>#REF!</v>
      </c>
      <c r="AQ368" s="93" t="e">
        <f t="shared" si="393"/>
        <v>#REF!</v>
      </c>
      <c r="AR368" s="93" t="e">
        <f t="shared" si="393"/>
        <v>#REF!</v>
      </c>
      <c r="AS368" s="93" t="e">
        <f t="shared" si="393"/>
        <v>#REF!</v>
      </c>
      <c r="AT368" s="93" t="e">
        <f t="shared" si="393"/>
        <v>#REF!</v>
      </c>
      <c r="AU368" s="93" t="e">
        <f t="shared" si="393"/>
        <v>#REF!</v>
      </c>
      <c r="AV368" s="93" t="e">
        <f t="shared" si="393"/>
        <v>#REF!</v>
      </c>
      <c r="AW368" s="93" t="e">
        <f t="shared" si="393"/>
        <v>#REF!</v>
      </c>
      <c r="AX368" s="93" t="e">
        <f t="shared" si="393"/>
        <v>#REF!</v>
      </c>
      <c r="AY368" s="93" t="e">
        <f t="shared" si="393"/>
        <v>#REF!</v>
      </c>
      <c r="AZ368" s="93" t="e">
        <f t="shared" si="393"/>
        <v>#REF!</v>
      </c>
      <c r="BA368" s="93" t="e">
        <f t="shared" si="393"/>
        <v>#REF!</v>
      </c>
      <c r="BB368" s="127" t="e">
        <f t="shared" si="394"/>
        <v>#REF!</v>
      </c>
      <c r="BC368" s="93"/>
    </row>
    <row r="369" spans="1:62" x14ac:dyDescent="0.3">
      <c r="A369" s="125">
        <v>8.0000000000000004E-4</v>
      </c>
      <c r="B369" s="138" t="s">
        <v>604</v>
      </c>
      <c r="C369" s="116">
        <f t="shared" si="378"/>
        <v>0</v>
      </c>
      <c r="D369" s="115"/>
      <c r="E369" s="116">
        <f t="shared" si="379"/>
        <v>0</v>
      </c>
      <c r="F369" s="115"/>
      <c r="G369" s="116">
        <f t="shared" si="380"/>
        <v>0</v>
      </c>
      <c r="H369" s="115"/>
      <c r="I369" s="116">
        <f t="shared" si="381"/>
        <v>0</v>
      </c>
      <c r="J369" s="115"/>
      <c r="K369" s="116">
        <f t="shared" si="382"/>
        <v>0</v>
      </c>
      <c r="L369" s="115"/>
      <c r="M369" s="116">
        <f t="shared" si="383"/>
        <v>0</v>
      </c>
      <c r="N369" s="115"/>
      <c r="O369" s="116">
        <f t="shared" si="384"/>
        <v>0</v>
      </c>
      <c r="P369" s="115"/>
      <c r="Q369" s="116">
        <f t="shared" si="385"/>
        <v>0</v>
      </c>
      <c r="R369" s="115"/>
      <c r="S369" s="116">
        <f t="shared" si="386"/>
        <v>0</v>
      </c>
      <c r="T369" s="115"/>
      <c r="U369" s="116">
        <f t="shared" si="387"/>
        <v>0</v>
      </c>
      <c r="V369" s="115"/>
      <c r="W369" s="116">
        <f t="shared" si="388"/>
        <v>0</v>
      </c>
      <c r="X369" s="115"/>
      <c r="Y369" s="116">
        <f t="shared" si="389"/>
        <v>0</v>
      </c>
      <c r="Z369" s="115"/>
      <c r="AA369" s="93">
        <f t="shared" si="390"/>
        <v>0</v>
      </c>
      <c r="AB369" s="93">
        <f t="shared" si="390"/>
        <v>0</v>
      </c>
      <c r="AC369" s="93">
        <f t="shared" si="390"/>
        <v>0</v>
      </c>
      <c r="AD369" s="93">
        <f t="shared" si="390"/>
        <v>0</v>
      </c>
      <c r="AE369" s="93">
        <f t="shared" si="390"/>
        <v>0</v>
      </c>
      <c r="AF369" s="93">
        <f t="shared" si="390"/>
        <v>0</v>
      </c>
      <c r="AG369" s="93">
        <f t="shared" si="390"/>
        <v>0</v>
      </c>
      <c r="AH369" s="93">
        <f t="shared" si="390"/>
        <v>0</v>
      </c>
      <c r="AI369" s="93"/>
      <c r="AJ369" s="93" t="e">
        <f t="shared" si="391"/>
        <v>#REF!</v>
      </c>
      <c r="AK369" s="93" t="e">
        <f t="shared" si="391"/>
        <v>#REF!</v>
      </c>
      <c r="AL369" s="93" t="e">
        <f t="shared" si="391"/>
        <v>#REF!</v>
      </c>
      <c r="AM369" s="93" t="e">
        <f t="shared" si="391"/>
        <v>#REF!</v>
      </c>
      <c r="AN369" s="93" t="e">
        <f t="shared" si="391"/>
        <v>#REF!</v>
      </c>
      <c r="AO369" s="128" t="e">
        <f t="shared" si="392"/>
        <v>#REF!</v>
      </c>
      <c r="AP369" s="93" t="e">
        <f t="shared" si="393"/>
        <v>#REF!</v>
      </c>
      <c r="AQ369" s="93" t="e">
        <f t="shared" si="393"/>
        <v>#REF!</v>
      </c>
      <c r="AR369" s="93" t="e">
        <f t="shared" si="393"/>
        <v>#REF!</v>
      </c>
      <c r="AS369" s="93" t="e">
        <f t="shared" si="393"/>
        <v>#REF!</v>
      </c>
      <c r="AT369" s="93" t="e">
        <f t="shared" si="393"/>
        <v>#REF!</v>
      </c>
      <c r="AU369" s="93" t="e">
        <f t="shared" si="393"/>
        <v>#REF!</v>
      </c>
      <c r="AV369" s="93" t="e">
        <f t="shared" si="393"/>
        <v>#REF!</v>
      </c>
      <c r="AW369" s="93" t="e">
        <f t="shared" si="393"/>
        <v>#REF!</v>
      </c>
      <c r="AX369" s="93" t="e">
        <f t="shared" si="393"/>
        <v>#REF!</v>
      </c>
      <c r="AY369" s="93" t="e">
        <f t="shared" si="393"/>
        <v>#REF!</v>
      </c>
      <c r="AZ369" s="93" t="e">
        <f t="shared" si="393"/>
        <v>#REF!</v>
      </c>
      <c r="BA369" s="93" t="e">
        <f t="shared" si="393"/>
        <v>#REF!</v>
      </c>
      <c r="BB369" s="127" t="e">
        <f t="shared" si="394"/>
        <v>#REF!</v>
      </c>
      <c r="BC369" s="93"/>
    </row>
    <row r="370" spans="1:62" x14ac:dyDescent="0.3">
      <c r="A370" s="125">
        <v>0.1003</v>
      </c>
      <c r="B370" s="138" t="s">
        <v>605</v>
      </c>
      <c r="C370" s="116">
        <f t="shared" si="378"/>
        <v>0</v>
      </c>
      <c r="D370" s="115"/>
      <c r="E370" s="116">
        <f t="shared" si="379"/>
        <v>0</v>
      </c>
      <c r="F370" s="115"/>
      <c r="G370" s="116">
        <f t="shared" si="380"/>
        <v>0</v>
      </c>
      <c r="H370" s="115"/>
      <c r="I370" s="116">
        <f t="shared" si="381"/>
        <v>0</v>
      </c>
      <c r="J370" s="115"/>
      <c r="K370" s="116">
        <f t="shared" si="382"/>
        <v>0</v>
      </c>
      <c r="L370" s="115"/>
      <c r="M370" s="116">
        <f t="shared" si="383"/>
        <v>0</v>
      </c>
      <c r="N370" s="115"/>
      <c r="O370" s="116">
        <f t="shared" si="384"/>
        <v>0</v>
      </c>
      <c r="P370" s="115"/>
      <c r="Q370" s="116">
        <f t="shared" si="385"/>
        <v>0</v>
      </c>
      <c r="R370" s="115"/>
      <c r="S370" s="116">
        <f t="shared" si="386"/>
        <v>0</v>
      </c>
      <c r="T370" s="115"/>
      <c r="U370" s="116">
        <f t="shared" si="387"/>
        <v>0</v>
      </c>
      <c r="V370" s="115"/>
      <c r="W370" s="116">
        <f t="shared" si="388"/>
        <v>0</v>
      </c>
      <c r="X370" s="115"/>
      <c r="Y370" s="116">
        <f t="shared" si="389"/>
        <v>0</v>
      </c>
      <c r="Z370" s="115"/>
      <c r="AA370" s="93">
        <f t="shared" si="390"/>
        <v>0</v>
      </c>
      <c r="AB370" s="93">
        <f t="shared" si="390"/>
        <v>0</v>
      </c>
      <c r="AC370" s="93">
        <f t="shared" si="390"/>
        <v>0</v>
      </c>
      <c r="AD370" s="93">
        <f t="shared" si="390"/>
        <v>0</v>
      </c>
      <c r="AE370" s="93">
        <f t="shared" si="390"/>
        <v>0</v>
      </c>
      <c r="AF370" s="93">
        <f t="shared" si="390"/>
        <v>0</v>
      </c>
      <c r="AG370" s="93">
        <f t="shared" si="390"/>
        <v>0</v>
      </c>
      <c r="AH370" s="93">
        <f t="shared" si="390"/>
        <v>0</v>
      </c>
      <c r="AI370" s="93"/>
      <c r="AJ370" s="93" t="e">
        <f t="shared" si="391"/>
        <v>#REF!</v>
      </c>
      <c r="AK370" s="93" t="e">
        <f t="shared" si="391"/>
        <v>#REF!</v>
      </c>
      <c r="AL370" s="93" t="e">
        <f t="shared" si="391"/>
        <v>#REF!</v>
      </c>
      <c r="AM370" s="93" t="e">
        <f t="shared" si="391"/>
        <v>#REF!</v>
      </c>
      <c r="AN370" s="93" t="e">
        <f t="shared" si="391"/>
        <v>#REF!</v>
      </c>
      <c r="AO370" s="128" t="e">
        <f t="shared" si="392"/>
        <v>#REF!</v>
      </c>
      <c r="AP370" s="93" t="e">
        <f t="shared" si="393"/>
        <v>#REF!</v>
      </c>
      <c r="AQ370" s="93" t="e">
        <f t="shared" si="393"/>
        <v>#REF!</v>
      </c>
      <c r="AR370" s="93" t="e">
        <f t="shared" si="393"/>
        <v>#REF!</v>
      </c>
      <c r="AS370" s="93" t="e">
        <f t="shared" si="393"/>
        <v>#REF!</v>
      </c>
      <c r="AT370" s="93" t="e">
        <f t="shared" si="393"/>
        <v>#REF!</v>
      </c>
      <c r="AU370" s="93" t="e">
        <f t="shared" si="393"/>
        <v>#REF!</v>
      </c>
      <c r="AV370" s="93" t="e">
        <f t="shared" si="393"/>
        <v>#REF!</v>
      </c>
      <c r="AW370" s="93" t="e">
        <f t="shared" si="393"/>
        <v>#REF!</v>
      </c>
      <c r="AX370" s="93" t="e">
        <f t="shared" si="393"/>
        <v>#REF!</v>
      </c>
      <c r="AY370" s="93" t="e">
        <f t="shared" si="393"/>
        <v>#REF!</v>
      </c>
      <c r="AZ370" s="93" t="e">
        <f t="shared" si="393"/>
        <v>#REF!</v>
      </c>
      <c r="BA370" s="93" t="e">
        <f t="shared" si="393"/>
        <v>#REF!</v>
      </c>
      <c r="BB370" s="127" t="e">
        <f t="shared" si="394"/>
        <v>#REF!</v>
      </c>
      <c r="BC370" s="93"/>
    </row>
    <row r="371" spans="1:62" x14ac:dyDescent="0.3">
      <c r="A371" s="125">
        <v>4.0000000000000001E-3</v>
      </c>
      <c r="B371" s="138" t="s">
        <v>606</v>
      </c>
      <c r="C371" s="116">
        <f t="shared" si="378"/>
        <v>0</v>
      </c>
      <c r="D371" s="115"/>
      <c r="E371" s="116">
        <f t="shared" si="379"/>
        <v>0</v>
      </c>
      <c r="F371" s="115"/>
      <c r="G371" s="116">
        <f t="shared" si="380"/>
        <v>0</v>
      </c>
      <c r="H371" s="115"/>
      <c r="I371" s="116">
        <f t="shared" si="381"/>
        <v>0</v>
      </c>
      <c r="J371" s="115"/>
      <c r="K371" s="116">
        <f t="shared" si="382"/>
        <v>0</v>
      </c>
      <c r="L371" s="115"/>
      <c r="M371" s="116">
        <f t="shared" si="383"/>
        <v>0</v>
      </c>
      <c r="N371" s="115"/>
      <c r="O371" s="116">
        <f t="shared" si="384"/>
        <v>0</v>
      </c>
      <c r="P371" s="115"/>
      <c r="Q371" s="116">
        <f t="shared" si="385"/>
        <v>0</v>
      </c>
      <c r="R371" s="115"/>
      <c r="S371" s="116">
        <f t="shared" si="386"/>
        <v>0</v>
      </c>
      <c r="T371" s="115"/>
      <c r="U371" s="116">
        <f t="shared" si="387"/>
        <v>0</v>
      </c>
      <c r="V371" s="115"/>
      <c r="W371" s="116">
        <f t="shared" si="388"/>
        <v>0</v>
      </c>
      <c r="X371" s="115"/>
      <c r="Y371" s="116">
        <f t="shared" si="389"/>
        <v>0</v>
      </c>
      <c r="Z371" s="115"/>
      <c r="AA371" s="93">
        <f t="shared" si="390"/>
        <v>0</v>
      </c>
      <c r="AB371" s="93">
        <f t="shared" si="390"/>
        <v>0</v>
      </c>
      <c r="AC371" s="93">
        <f t="shared" si="390"/>
        <v>0</v>
      </c>
      <c r="AD371" s="93">
        <f t="shared" si="390"/>
        <v>0</v>
      </c>
      <c r="AE371" s="93">
        <f t="shared" si="390"/>
        <v>0</v>
      </c>
      <c r="AF371" s="93">
        <f t="shared" si="390"/>
        <v>0</v>
      </c>
      <c r="AG371" s="93">
        <f t="shared" si="390"/>
        <v>0</v>
      </c>
      <c r="AH371" s="93">
        <f t="shared" si="390"/>
        <v>0</v>
      </c>
      <c r="AI371" s="93"/>
      <c r="AJ371" s="93" t="e">
        <f t="shared" si="391"/>
        <v>#REF!</v>
      </c>
      <c r="AK371" s="93" t="e">
        <f t="shared" si="391"/>
        <v>#REF!</v>
      </c>
      <c r="AL371" s="93" t="e">
        <f t="shared" si="391"/>
        <v>#REF!</v>
      </c>
      <c r="AM371" s="93" t="e">
        <f t="shared" si="391"/>
        <v>#REF!</v>
      </c>
      <c r="AN371" s="93" t="e">
        <f t="shared" si="391"/>
        <v>#REF!</v>
      </c>
      <c r="AO371" s="128" t="e">
        <f t="shared" si="392"/>
        <v>#REF!</v>
      </c>
      <c r="AP371" s="93" t="e">
        <f t="shared" si="393"/>
        <v>#REF!</v>
      </c>
      <c r="AQ371" s="93" t="e">
        <f t="shared" si="393"/>
        <v>#REF!</v>
      </c>
      <c r="AR371" s="93" t="e">
        <f t="shared" si="393"/>
        <v>#REF!</v>
      </c>
      <c r="AS371" s="93" t="e">
        <f t="shared" si="393"/>
        <v>#REF!</v>
      </c>
      <c r="AT371" s="93" t="e">
        <f t="shared" si="393"/>
        <v>#REF!</v>
      </c>
      <c r="AU371" s="93" t="e">
        <f t="shared" si="393"/>
        <v>#REF!</v>
      </c>
      <c r="AV371" s="93" t="e">
        <f t="shared" si="393"/>
        <v>#REF!</v>
      </c>
      <c r="AW371" s="93" t="e">
        <f t="shared" si="393"/>
        <v>#REF!</v>
      </c>
      <c r="AX371" s="93" t="e">
        <f t="shared" si="393"/>
        <v>#REF!</v>
      </c>
      <c r="AY371" s="93" t="e">
        <f t="shared" si="393"/>
        <v>#REF!</v>
      </c>
      <c r="AZ371" s="93" t="e">
        <f t="shared" si="393"/>
        <v>#REF!</v>
      </c>
      <c r="BA371" s="93" t="e">
        <f t="shared" si="393"/>
        <v>#REF!</v>
      </c>
      <c r="BB371" s="127" t="e">
        <f t="shared" si="394"/>
        <v>#REF!</v>
      </c>
      <c r="BC371" s="93"/>
    </row>
    <row r="372" spans="1:62" x14ac:dyDescent="0.3">
      <c r="A372" s="125">
        <v>0</v>
      </c>
      <c r="B372" s="138" t="s">
        <v>607</v>
      </c>
      <c r="C372" s="116">
        <f t="shared" si="378"/>
        <v>0</v>
      </c>
      <c r="D372" s="115"/>
      <c r="E372" s="116">
        <f t="shared" si="379"/>
        <v>0</v>
      </c>
      <c r="F372" s="115"/>
      <c r="G372" s="116">
        <f t="shared" si="380"/>
        <v>0</v>
      </c>
      <c r="H372" s="115"/>
      <c r="I372" s="116">
        <f t="shared" si="381"/>
        <v>0</v>
      </c>
      <c r="J372" s="115"/>
      <c r="K372" s="116">
        <f t="shared" si="382"/>
        <v>0</v>
      </c>
      <c r="L372" s="115"/>
      <c r="M372" s="116">
        <f t="shared" si="383"/>
        <v>0</v>
      </c>
      <c r="N372" s="115"/>
      <c r="O372" s="116">
        <f t="shared" si="384"/>
        <v>0</v>
      </c>
      <c r="P372" s="115"/>
      <c r="Q372" s="116">
        <f t="shared" si="385"/>
        <v>0</v>
      </c>
      <c r="R372" s="115"/>
      <c r="S372" s="116">
        <f t="shared" si="386"/>
        <v>0</v>
      </c>
      <c r="T372" s="115"/>
      <c r="U372" s="116">
        <f t="shared" si="387"/>
        <v>0</v>
      </c>
      <c r="V372" s="115"/>
      <c r="W372" s="116">
        <f t="shared" si="388"/>
        <v>0</v>
      </c>
      <c r="X372" s="115"/>
      <c r="Y372" s="116">
        <f t="shared" si="389"/>
        <v>0</v>
      </c>
      <c r="Z372" s="115"/>
      <c r="AA372" s="93">
        <f t="shared" si="390"/>
        <v>0</v>
      </c>
      <c r="AB372" s="93">
        <f t="shared" si="390"/>
        <v>0</v>
      </c>
      <c r="AC372" s="93">
        <f t="shared" si="390"/>
        <v>0</v>
      </c>
      <c r="AD372" s="93">
        <f t="shared" si="390"/>
        <v>0</v>
      </c>
      <c r="AE372" s="93">
        <f t="shared" si="390"/>
        <v>0</v>
      </c>
      <c r="AF372" s="93">
        <f t="shared" si="390"/>
        <v>0</v>
      </c>
      <c r="AG372" s="93">
        <f t="shared" si="390"/>
        <v>0</v>
      </c>
      <c r="AH372" s="93">
        <f t="shared" si="390"/>
        <v>0</v>
      </c>
      <c r="AI372" s="93"/>
      <c r="AJ372" s="93" t="e">
        <f t="shared" si="391"/>
        <v>#REF!</v>
      </c>
      <c r="AK372" s="93" t="e">
        <f t="shared" si="391"/>
        <v>#REF!</v>
      </c>
      <c r="AL372" s="93" t="e">
        <f t="shared" si="391"/>
        <v>#REF!</v>
      </c>
      <c r="AM372" s="93" t="e">
        <f t="shared" si="391"/>
        <v>#REF!</v>
      </c>
      <c r="AN372" s="93" t="e">
        <f t="shared" si="391"/>
        <v>#REF!</v>
      </c>
      <c r="AO372" s="128" t="e">
        <f t="shared" si="392"/>
        <v>#REF!</v>
      </c>
      <c r="AP372" s="93" t="e">
        <f t="shared" si="393"/>
        <v>#REF!</v>
      </c>
      <c r="AQ372" s="93" t="e">
        <f t="shared" si="393"/>
        <v>#REF!</v>
      </c>
      <c r="AR372" s="93" t="e">
        <f t="shared" si="393"/>
        <v>#REF!</v>
      </c>
      <c r="AS372" s="93" t="e">
        <f t="shared" si="393"/>
        <v>#REF!</v>
      </c>
      <c r="AT372" s="93" t="e">
        <f t="shared" si="393"/>
        <v>#REF!</v>
      </c>
      <c r="AU372" s="93" t="e">
        <f t="shared" si="393"/>
        <v>#REF!</v>
      </c>
      <c r="AV372" s="93" t="e">
        <f t="shared" si="393"/>
        <v>#REF!</v>
      </c>
      <c r="AW372" s="93" t="e">
        <f t="shared" si="393"/>
        <v>#REF!</v>
      </c>
      <c r="AX372" s="93" t="e">
        <f t="shared" si="393"/>
        <v>#REF!</v>
      </c>
      <c r="AY372" s="93" t="e">
        <f t="shared" si="393"/>
        <v>#REF!</v>
      </c>
      <c r="AZ372" s="93" t="e">
        <f t="shared" si="393"/>
        <v>#REF!</v>
      </c>
      <c r="BA372" s="93" t="e">
        <f t="shared" si="393"/>
        <v>#REF!</v>
      </c>
      <c r="BB372" s="127" t="e">
        <f t="shared" si="394"/>
        <v>#REF!</v>
      </c>
      <c r="BC372" s="93"/>
    </row>
    <row r="373" spans="1:62" x14ac:dyDescent="0.3">
      <c r="A373" s="108"/>
      <c r="B373" s="137" t="s">
        <v>608</v>
      </c>
      <c r="C373" s="136"/>
      <c r="D373" s="135"/>
      <c r="E373" s="136"/>
      <c r="F373" s="135"/>
      <c r="G373" s="136"/>
      <c r="H373" s="135"/>
      <c r="I373" s="136"/>
      <c r="J373" s="135"/>
      <c r="K373" s="136"/>
      <c r="L373" s="135"/>
      <c r="M373" s="136"/>
      <c r="N373" s="135"/>
      <c r="O373" s="136"/>
      <c r="P373" s="135"/>
      <c r="Q373" s="136"/>
      <c r="R373" s="135"/>
      <c r="S373" s="136"/>
      <c r="T373" s="135"/>
      <c r="U373" s="136"/>
      <c r="V373" s="135"/>
      <c r="W373" s="136"/>
      <c r="X373" s="135"/>
      <c r="Y373" s="136"/>
      <c r="Z373" s="135"/>
      <c r="AA373" s="132"/>
      <c r="AB373" s="132"/>
      <c r="AC373" s="132"/>
      <c r="AD373" s="132"/>
      <c r="AE373" s="132"/>
      <c r="AF373" s="132"/>
      <c r="AG373" s="132"/>
      <c r="AH373" s="132"/>
      <c r="AI373" s="132"/>
      <c r="AJ373" s="132"/>
      <c r="AK373" s="132"/>
      <c r="AL373" s="132"/>
      <c r="AM373" s="132"/>
      <c r="AN373" s="132"/>
      <c r="AO373" s="134"/>
      <c r="AP373" s="132"/>
      <c r="AQ373" s="132"/>
      <c r="AR373" s="132"/>
      <c r="AS373" s="132"/>
      <c r="AT373" s="132"/>
      <c r="AU373" s="132"/>
      <c r="AV373" s="132"/>
      <c r="AW373" s="132"/>
      <c r="AX373" s="132"/>
      <c r="AY373" s="132"/>
      <c r="AZ373" s="132"/>
      <c r="BA373" s="132"/>
      <c r="BB373" s="133"/>
      <c r="BC373" s="132"/>
    </row>
    <row r="374" spans="1:62" x14ac:dyDescent="0.3">
      <c r="A374" s="125">
        <v>0</v>
      </c>
      <c r="B374" s="131" t="s">
        <v>609</v>
      </c>
      <c r="C374" s="130">
        <f>C$364*$A374</f>
        <v>0</v>
      </c>
      <c r="D374" s="129"/>
      <c r="E374" s="130">
        <f>E$364*$A374</f>
        <v>0</v>
      </c>
      <c r="F374" s="129"/>
      <c r="G374" s="130">
        <f>G$364*$A374</f>
        <v>0</v>
      </c>
      <c r="H374" s="129"/>
      <c r="I374" s="130">
        <f>I$364*$A374</f>
        <v>0</v>
      </c>
      <c r="J374" s="129"/>
      <c r="K374" s="130">
        <f>K$364*$A374</f>
        <v>0</v>
      </c>
      <c r="L374" s="129"/>
      <c r="M374" s="130">
        <f>M$364*$A374</f>
        <v>0</v>
      </c>
      <c r="N374" s="129"/>
      <c r="O374" s="130">
        <f>O$364*$A374</f>
        <v>0</v>
      </c>
      <c r="P374" s="129"/>
      <c r="Q374" s="130">
        <f>Q$364*$A374</f>
        <v>0</v>
      </c>
      <c r="R374" s="129"/>
      <c r="S374" s="130">
        <f>S$364*$A374</f>
        <v>0</v>
      </c>
      <c r="T374" s="129"/>
      <c r="U374" s="130">
        <f>U$364*$A374</f>
        <v>0</v>
      </c>
      <c r="V374" s="129"/>
      <c r="W374" s="130">
        <f>W$364*$A374</f>
        <v>0</v>
      </c>
      <c r="X374" s="129"/>
      <c r="Y374" s="130">
        <f>Y$364*$A374</f>
        <v>0</v>
      </c>
      <c r="Z374" s="129"/>
      <c r="AA374" s="126">
        <f t="shared" ref="AA374:AH375" si="395">AA$364*$A374</f>
        <v>0</v>
      </c>
      <c r="AB374" s="126">
        <f t="shared" si="395"/>
        <v>0</v>
      </c>
      <c r="AC374" s="126">
        <f t="shared" si="395"/>
        <v>0</v>
      </c>
      <c r="AD374" s="126">
        <f t="shared" si="395"/>
        <v>0</v>
      </c>
      <c r="AE374" s="126">
        <f t="shared" si="395"/>
        <v>0</v>
      </c>
      <c r="AF374" s="126">
        <f t="shared" si="395"/>
        <v>0</v>
      </c>
      <c r="AG374" s="126">
        <f t="shared" si="395"/>
        <v>0</v>
      </c>
      <c r="AH374" s="126">
        <f t="shared" si="395"/>
        <v>0</v>
      </c>
      <c r="AI374" s="126"/>
      <c r="AJ374" s="126" t="e">
        <f t="shared" ref="AJ374:AN375" si="396">AJ$364*$A374</f>
        <v>#REF!</v>
      </c>
      <c r="AK374" s="126" t="e">
        <f t="shared" si="396"/>
        <v>#REF!</v>
      </c>
      <c r="AL374" s="126" t="e">
        <f t="shared" si="396"/>
        <v>#REF!</v>
      </c>
      <c r="AM374" s="126" t="e">
        <f t="shared" si="396"/>
        <v>#REF!</v>
      </c>
      <c r="AN374" s="126" t="e">
        <f t="shared" si="396"/>
        <v>#REF!</v>
      </c>
      <c r="AO374" s="128" t="e">
        <f>SUM(AB374:AN374)</f>
        <v>#REF!</v>
      </c>
      <c r="AP374" s="126" t="e">
        <f t="shared" ref="AP374:BA375" si="397">AP$364*$A374</f>
        <v>#REF!</v>
      </c>
      <c r="AQ374" s="126" t="e">
        <f t="shared" si="397"/>
        <v>#REF!</v>
      </c>
      <c r="AR374" s="126" t="e">
        <f t="shared" si="397"/>
        <v>#REF!</v>
      </c>
      <c r="AS374" s="126" t="e">
        <f t="shared" si="397"/>
        <v>#REF!</v>
      </c>
      <c r="AT374" s="126" t="e">
        <f t="shared" si="397"/>
        <v>#REF!</v>
      </c>
      <c r="AU374" s="126" t="e">
        <f t="shared" si="397"/>
        <v>#REF!</v>
      </c>
      <c r="AV374" s="126" t="e">
        <f t="shared" si="397"/>
        <v>#REF!</v>
      </c>
      <c r="AW374" s="126" t="e">
        <f t="shared" si="397"/>
        <v>#REF!</v>
      </c>
      <c r="AX374" s="126" t="e">
        <f t="shared" si="397"/>
        <v>#REF!</v>
      </c>
      <c r="AY374" s="126" t="e">
        <f t="shared" si="397"/>
        <v>#REF!</v>
      </c>
      <c r="AZ374" s="126" t="e">
        <f t="shared" si="397"/>
        <v>#REF!</v>
      </c>
      <c r="BA374" s="126" t="e">
        <f t="shared" si="397"/>
        <v>#REF!</v>
      </c>
      <c r="BB374" s="127" t="e">
        <f>SUM(AP374:BA374)</f>
        <v>#REF!</v>
      </c>
      <c r="BC374" s="126"/>
    </row>
    <row r="375" spans="1:62" x14ac:dyDescent="0.3">
      <c r="A375" s="125">
        <v>0.2</v>
      </c>
      <c r="B375" s="124" t="s">
        <v>610</v>
      </c>
      <c r="C375" s="112">
        <f>C$364*$A375</f>
        <v>0</v>
      </c>
      <c r="D375" s="111"/>
      <c r="E375" s="112">
        <f>E$364*$A375</f>
        <v>0</v>
      </c>
      <c r="F375" s="111"/>
      <c r="G375" s="112">
        <f>G$364*$A375</f>
        <v>0</v>
      </c>
      <c r="H375" s="111"/>
      <c r="I375" s="112">
        <f>I$364*$A375</f>
        <v>0</v>
      </c>
      <c r="J375" s="111"/>
      <c r="K375" s="112">
        <f>K$364*$A375</f>
        <v>0</v>
      </c>
      <c r="L375" s="111"/>
      <c r="M375" s="112">
        <f>M$364*$A375</f>
        <v>0</v>
      </c>
      <c r="N375" s="111"/>
      <c r="O375" s="112">
        <f>O$364*$A375</f>
        <v>0</v>
      </c>
      <c r="P375" s="111"/>
      <c r="Q375" s="112">
        <f>Q$364*$A375</f>
        <v>0</v>
      </c>
      <c r="R375" s="111"/>
      <c r="S375" s="112">
        <f>S$364*$A375</f>
        <v>0</v>
      </c>
      <c r="T375" s="111"/>
      <c r="U375" s="112">
        <f>U$364*$A375</f>
        <v>0</v>
      </c>
      <c r="V375" s="111"/>
      <c r="W375" s="112">
        <f>W$364*$A375</f>
        <v>0</v>
      </c>
      <c r="X375" s="111"/>
      <c r="Y375" s="112">
        <f>Y$364*$A375</f>
        <v>0</v>
      </c>
      <c r="Z375" s="111"/>
      <c r="AA375" s="109">
        <f t="shared" si="395"/>
        <v>0</v>
      </c>
      <c r="AB375" s="109">
        <f t="shared" si="395"/>
        <v>0</v>
      </c>
      <c r="AC375" s="109">
        <f t="shared" si="395"/>
        <v>0</v>
      </c>
      <c r="AD375" s="109">
        <f t="shared" si="395"/>
        <v>0</v>
      </c>
      <c r="AE375" s="109">
        <f t="shared" si="395"/>
        <v>0</v>
      </c>
      <c r="AF375" s="109">
        <f t="shared" si="395"/>
        <v>0</v>
      </c>
      <c r="AG375" s="109">
        <f t="shared" si="395"/>
        <v>0</v>
      </c>
      <c r="AH375" s="109">
        <f t="shared" si="395"/>
        <v>0</v>
      </c>
      <c r="AI375" s="109"/>
      <c r="AJ375" s="109" t="e">
        <f t="shared" si="396"/>
        <v>#REF!</v>
      </c>
      <c r="AK375" s="109" t="e">
        <f t="shared" si="396"/>
        <v>#REF!</v>
      </c>
      <c r="AL375" s="109" t="e">
        <f t="shared" si="396"/>
        <v>#REF!</v>
      </c>
      <c r="AM375" s="109" t="e">
        <f t="shared" si="396"/>
        <v>#REF!</v>
      </c>
      <c r="AN375" s="109" t="e">
        <f t="shared" si="396"/>
        <v>#REF!</v>
      </c>
      <c r="AO375" s="110" t="e">
        <f>SUM(AB375:AN375)</f>
        <v>#REF!</v>
      </c>
      <c r="AP375" s="109" t="e">
        <f t="shared" si="397"/>
        <v>#REF!</v>
      </c>
      <c r="AQ375" s="109" t="e">
        <f t="shared" si="397"/>
        <v>#REF!</v>
      </c>
      <c r="AR375" s="109" t="e">
        <f t="shared" si="397"/>
        <v>#REF!</v>
      </c>
      <c r="AS375" s="109" t="e">
        <f t="shared" si="397"/>
        <v>#REF!</v>
      </c>
      <c r="AT375" s="109" t="e">
        <f t="shared" si="397"/>
        <v>#REF!</v>
      </c>
      <c r="AU375" s="109" t="e">
        <f t="shared" si="397"/>
        <v>#REF!</v>
      </c>
      <c r="AV375" s="109" t="e">
        <f t="shared" si="397"/>
        <v>#REF!</v>
      </c>
      <c r="AW375" s="109" t="e">
        <f t="shared" si="397"/>
        <v>#REF!</v>
      </c>
      <c r="AX375" s="109" t="e">
        <f t="shared" si="397"/>
        <v>#REF!</v>
      </c>
      <c r="AY375" s="109" t="e">
        <f t="shared" si="397"/>
        <v>#REF!</v>
      </c>
      <c r="AZ375" s="109" t="e">
        <f t="shared" si="397"/>
        <v>#REF!</v>
      </c>
      <c r="BA375" s="109" t="e">
        <f t="shared" si="397"/>
        <v>#REF!</v>
      </c>
      <c r="BB375" s="110" t="e">
        <f>SUM(AP375:BA375)</f>
        <v>#REF!</v>
      </c>
      <c r="BC375" s="109"/>
    </row>
    <row r="376" spans="1:62" x14ac:dyDescent="0.3">
      <c r="B376" s="380" t="s">
        <v>611</v>
      </c>
      <c r="C376" s="123">
        <f>SUM(C374:C375)</f>
        <v>0</v>
      </c>
      <c r="D376" s="388"/>
      <c r="E376" s="123">
        <f>SUM(E374:E375)</f>
        <v>0</v>
      </c>
      <c r="F376" s="388"/>
      <c r="G376" s="123">
        <f>SUM(G374:G375)</f>
        <v>0</v>
      </c>
      <c r="H376" s="388"/>
      <c r="I376" s="123">
        <f>SUM(I374:I375)</f>
        <v>0</v>
      </c>
      <c r="J376" s="388"/>
      <c r="K376" s="123">
        <f>SUM(K374:K375)</f>
        <v>0</v>
      </c>
      <c r="L376" s="388"/>
      <c r="M376" s="123">
        <f>SUM(M374:M375)</f>
        <v>0</v>
      </c>
      <c r="N376" s="388"/>
      <c r="O376" s="123">
        <f>SUM(O374:O375)</f>
        <v>0</v>
      </c>
      <c r="P376" s="388"/>
      <c r="Q376" s="123">
        <f>SUM(Q374:Q375)</f>
        <v>0</v>
      </c>
      <c r="R376" s="388"/>
      <c r="S376" s="123">
        <f>SUM(S374:S375)</f>
        <v>0</v>
      </c>
      <c r="T376" s="388"/>
      <c r="U376" s="123">
        <f>SUM(U374:U375)</f>
        <v>0</v>
      </c>
      <c r="V376" s="388"/>
      <c r="W376" s="123">
        <f>SUM(W374:W375)</f>
        <v>0</v>
      </c>
      <c r="X376" s="388"/>
      <c r="Y376" s="123">
        <f>SUM(Y374:Y375)</f>
        <v>0</v>
      </c>
      <c r="Z376" s="388"/>
      <c r="AA376" s="389">
        <f t="shared" ref="AA376:AH376" si="398">SUM(AA374:AA375)</f>
        <v>0</v>
      </c>
      <c r="AB376" s="389">
        <f t="shared" si="398"/>
        <v>0</v>
      </c>
      <c r="AC376" s="389">
        <f t="shared" si="398"/>
        <v>0</v>
      </c>
      <c r="AD376" s="389">
        <f t="shared" si="398"/>
        <v>0</v>
      </c>
      <c r="AE376" s="389">
        <f t="shared" si="398"/>
        <v>0</v>
      </c>
      <c r="AF376" s="389">
        <f t="shared" si="398"/>
        <v>0</v>
      </c>
      <c r="AG376" s="389">
        <f t="shared" si="398"/>
        <v>0</v>
      </c>
      <c r="AH376" s="389">
        <f t="shared" si="398"/>
        <v>0</v>
      </c>
      <c r="AI376" s="389"/>
      <c r="AJ376" s="389" t="e">
        <f>SUM(AJ374:AJ375)</f>
        <v>#REF!</v>
      </c>
      <c r="AK376" s="389" t="e">
        <f>SUM(AK374:AK375)</f>
        <v>#REF!</v>
      </c>
      <c r="AL376" s="389" t="e">
        <f>SUM(AL374:AL375)</f>
        <v>#REF!</v>
      </c>
      <c r="AM376" s="389" t="e">
        <f>SUM(AM374:AM375)</f>
        <v>#REF!</v>
      </c>
      <c r="AN376" s="389" t="e">
        <f>SUM(AN374:AN375)</f>
        <v>#REF!</v>
      </c>
      <c r="AO376" s="390" t="e">
        <f>SUM(AB376:AN376)</f>
        <v>#REF!</v>
      </c>
      <c r="AP376" s="389" t="e">
        <f t="shared" ref="AP376:BA376" si="399">SUM(AP374:AP375)</f>
        <v>#REF!</v>
      </c>
      <c r="AQ376" s="389" t="e">
        <f t="shared" si="399"/>
        <v>#REF!</v>
      </c>
      <c r="AR376" s="389" t="e">
        <f t="shared" si="399"/>
        <v>#REF!</v>
      </c>
      <c r="AS376" s="389" t="e">
        <f t="shared" si="399"/>
        <v>#REF!</v>
      </c>
      <c r="AT376" s="389" t="e">
        <f t="shared" si="399"/>
        <v>#REF!</v>
      </c>
      <c r="AU376" s="389" t="e">
        <f t="shared" si="399"/>
        <v>#REF!</v>
      </c>
      <c r="AV376" s="389" t="e">
        <f t="shared" si="399"/>
        <v>#REF!</v>
      </c>
      <c r="AW376" s="389" t="e">
        <f t="shared" si="399"/>
        <v>#REF!</v>
      </c>
      <c r="AX376" s="389" t="e">
        <f t="shared" si="399"/>
        <v>#REF!</v>
      </c>
      <c r="AY376" s="389" t="e">
        <f t="shared" si="399"/>
        <v>#REF!</v>
      </c>
      <c r="AZ376" s="389" t="e">
        <f t="shared" si="399"/>
        <v>#REF!</v>
      </c>
      <c r="BA376" s="389" t="e">
        <f t="shared" si="399"/>
        <v>#REF!</v>
      </c>
      <c r="BB376" s="390" t="e">
        <f>SUM(AP376:BA376)</f>
        <v>#REF!</v>
      </c>
      <c r="BC376" s="389"/>
    </row>
    <row r="377" spans="1:62" x14ac:dyDescent="0.3">
      <c r="C377" s="83"/>
      <c r="D377" s="82"/>
      <c r="E377" s="83"/>
      <c r="F377" s="82"/>
      <c r="G377" s="83"/>
      <c r="H377" s="82"/>
      <c r="I377" s="83"/>
      <c r="J377" s="82"/>
      <c r="K377" s="83"/>
      <c r="L377" s="82"/>
      <c r="M377" s="83"/>
      <c r="N377" s="82"/>
      <c r="O377" s="83"/>
      <c r="P377" s="82"/>
      <c r="Q377" s="83"/>
      <c r="R377" s="82"/>
      <c r="S377" s="83"/>
      <c r="T377" s="82"/>
      <c r="U377" s="83"/>
      <c r="V377" s="82"/>
      <c r="W377" s="83"/>
      <c r="X377" s="82"/>
      <c r="Y377" s="83"/>
      <c r="Z377" s="82"/>
    </row>
    <row r="378" spans="1:62" ht="18" x14ac:dyDescent="0.35">
      <c r="B378" s="102" t="s">
        <v>629</v>
      </c>
      <c r="C378" s="122"/>
      <c r="D378" s="121"/>
      <c r="E378" s="122"/>
      <c r="F378" s="121"/>
      <c r="G378" s="122"/>
      <c r="H378" s="121"/>
      <c r="I378" s="122"/>
      <c r="J378" s="121"/>
      <c r="K378" s="83"/>
      <c r="L378" s="82"/>
      <c r="M378" s="83"/>
      <c r="N378" s="82"/>
      <c r="O378" s="83"/>
      <c r="P378" s="82"/>
      <c r="Q378" s="83"/>
      <c r="R378" s="82"/>
      <c r="S378" s="83"/>
      <c r="T378" s="82"/>
      <c r="U378" s="83"/>
      <c r="V378" s="82"/>
      <c r="W378" s="83"/>
      <c r="X378" s="82"/>
      <c r="Y378" s="83"/>
      <c r="Z378" s="82"/>
    </row>
    <row r="379" spans="1:62" x14ac:dyDescent="0.3">
      <c r="B379" s="392"/>
      <c r="C379" s="101">
        <v>45292</v>
      </c>
      <c r="D379" s="393">
        <v>45292</v>
      </c>
      <c r="E379" s="101">
        <v>45323</v>
      </c>
      <c r="F379" s="393">
        <v>45323</v>
      </c>
      <c r="G379" s="101">
        <v>45352</v>
      </c>
      <c r="H379" s="393">
        <v>45352</v>
      </c>
      <c r="I379" s="101">
        <v>45383</v>
      </c>
      <c r="J379" s="393">
        <v>45383</v>
      </c>
      <c r="K379" s="101">
        <v>45413</v>
      </c>
      <c r="L379" s="393">
        <v>45413</v>
      </c>
      <c r="M379" s="101">
        <v>45444</v>
      </c>
      <c r="N379" s="393">
        <v>45444</v>
      </c>
      <c r="O379" s="101">
        <v>45474</v>
      </c>
      <c r="P379" s="393">
        <v>45474</v>
      </c>
      <c r="Q379" s="101">
        <v>45505</v>
      </c>
      <c r="R379" s="393">
        <v>45505</v>
      </c>
      <c r="S379" s="101">
        <v>45536</v>
      </c>
      <c r="T379" s="393">
        <v>45536</v>
      </c>
      <c r="U379" s="101">
        <v>45566</v>
      </c>
      <c r="V379" s="393">
        <v>45566</v>
      </c>
      <c r="W379" s="101">
        <v>45597</v>
      </c>
      <c r="X379" s="393">
        <v>45597</v>
      </c>
      <c r="Y379" s="101">
        <v>45627</v>
      </c>
      <c r="Z379" s="393">
        <v>45627</v>
      </c>
      <c r="AA379" s="382">
        <f t="shared" ref="AA379:AH379" si="400">AA357</f>
        <v>44927</v>
      </c>
      <c r="AB379" s="382">
        <f t="shared" si="400"/>
        <v>44958</v>
      </c>
      <c r="AC379" s="382">
        <f t="shared" si="400"/>
        <v>44986</v>
      </c>
      <c r="AD379" s="382">
        <f t="shared" si="400"/>
        <v>45017</v>
      </c>
      <c r="AE379" s="382">
        <f t="shared" si="400"/>
        <v>45047</v>
      </c>
      <c r="AF379" s="382">
        <f t="shared" si="400"/>
        <v>45078</v>
      </c>
      <c r="AG379" s="382">
        <f t="shared" si="400"/>
        <v>45108</v>
      </c>
      <c r="AH379" s="382">
        <f t="shared" si="400"/>
        <v>45139</v>
      </c>
      <c r="AI379" s="381"/>
      <c r="AJ379" s="381" t="s">
        <v>579</v>
      </c>
      <c r="AK379" s="381" t="s">
        <v>580</v>
      </c>
      <c r="AL379" s="381" t="s">
        <v>581</v>
      </c>
      <c r="AM379" s="381" t="s">
        <v>582</v>
      </c>
      <c r="AN379" s="381" t="s">
        <v>583</v>
      </c>
      <c r="AO379" s="383" t="s">
        <v>584</v>
      </c>
      <c r="AP379" s="381" t="s">
        <v>585</v>
      </c>
      <c r="AQ379" s="381" t="s">
        <v>586</v>
      </c>
      <c r="AR379" s="381" t="s">
        <v>587</v>
      </c>
      <c r="AS379" s="381" t="s">
        <v>588</v>
      </c>
      <c r="AT379" s="381" t="s">
        <v>589</v>
      </c>
      <c r="AU379" s="381" t="s">
        <v>590</v>
      </c>
      <c r="AV379" s="381" t="s">
        <v>591</v>
      </c>
      <c r="AW379" s="381" t="s">
        <v>592</v>
      </c>
      <c r="AX379" s="381" t="s">
        <v>593</v>
      </c>
      <c r="AY379" s="381" t="s">
        <v>594</v>
      </c>
      <c r="AZ379" s="381" t="s">
        <v>595</v>
      </c>
      <c r="BA379" s="381" t="s">
        <v>596</v>
      </c>
      <c r="BB379" s="383" t="s">
        <v>597</v>
      </c>
      <c r="BC379" s="394"/>
    </row>
    <row r="380" spans="1:62" x14ac:dyDescent="0.3">
      <c r="B380" s="92" t="s">
        <v>630</v>
      </c>
      <c r="C380" s="83"/>
      <c r="D380" s="82"/>
      <c r="E380" s="83"/>
      <c r="F380" s="82"/>
      <c r="G380" s="83"/>
      <c r="H380" s="82"/>
      <c r="I380" s="83"/>
      <c r="J380" s="82"/>
      <c r="K380" s="83"/>
      <c r="L380" s="82"/>
      <c r="M380" s="83"/>
      <c r="N380" s="82"/>
      <c r="O380" s="83"/>
      <c r="P380" s="82"/>
      <c r="Q380" s="83"/>
      <c r="R380" s="82"/>
      <c r="S380" s="83"/>
      <c r="T380" s="82"/>
      <c r="U380" s="83"/>
      <c r="V380" s="82"/>
      <c r="W380" s="83"/>
      <c r="X380" s="82"/>
      <c r="Y380" s="83"/>
      <c r="Z380" s="82"/>
      <c r="AA380" s="395"/>
      <c r="AO380" s="395"/>
      <c r="BB380" s="395"/>
    </row>
    <row r="381" spans="1:62" s="108" customFormat="1" ht="12" x14ac:dyDescent="0.25">
      <c r="B381" s="91" t="s">
        <v>631</v>
      </c>
      <c r="C381" s="116">
        <v>22560000</v>
      </c>
      <c r="D381" s="115">
        <f>D6+D21+D36+D51+D66+D81+D95+D151+D123+D109+D137+D166+D181</f>
        <v>18638191.93</v>
      </c>
      <c r="E381" s="116">
        <f>E6+E21+E36+E51+E66+E81+E95+E151</f>
        <v>0</v>
      </c>
      <c r="F381" s="115">
        <f>F6+F21+F36+F51+F66+F81+F95+F151+F123+F109</f>
        <v>0</v>
      </c>
      <c r="G381" s="116">
        <f>G6+G21+G36+G51+G66+G81+G95+G151</f>
        <v>0</v>
      </c>
      <c r="H381" s="115">
        <f>H6+H21+H36+H51+H66+H81+H95+H151+H123+H109</f>
        <v>0</v>
      </c>
      <c r="I381" s="116">
        <f>I6+I21+I36+I51+I66+I81+I95+I151</f>
        <v>0</v>
      </c>
      <c r="J381" s="115">
        <f>J6+J21+J36+J51+J66+J81+J95+J151+J123+J137+J109</f>
        <v>0</v>
      </c>
      <c r="K381" s="116">
        <f>K6+K21+K36+K51+K66+K81+K95+K151</f>
        <v>0</v>
      </c>
      <c r="L381" s="115">
        <f>L6+L21+L36+L51+L66+L81+L95+L151+L123+L137+L109</f>
        <v>0</v>
      </c>
      <c r="M381" s="116">
        <f>M6+M21+M36+M51+M66+M81+M95+M151</f>
        <v>0</v>
      </c>
      <c r="N381" s="115">
        <f>N6+N21+N36+N51+N66+N81+N95+N151+N123+N137+N109</f>
        <v>0</v>
      </c>
      <c r="O381" s="116">
        <f>O6+O21+O36+O51+O66+O81+O95+O151</f>
        <v>0</v>
      </c>
      <c r="P381" s="115">
        <f>P6+P21+P36+P51+P66+P81+P95+P151+P123+P137+P109</f>
        <v>0</v>
      </c>
      <c r="Q381" s="116">
        <f>Q6+Q21+Q36+Q51+Q66+Q81+Q95+Q151</f>
        <v>0</v>
      </c>
      <c r="R381" s="115">
        <f>R6+R21+R36+R51+R66+R81+R95+R151+R123+R137+R109</f>
        <v>0</v>
      </c>
      <c r="S381" s="116">
        <f>S6+S21+S36+S51+S66+S81+S95+S151</f>
        <v>0</v>
      </c>
      <c r="T381" s="115">
        <f>T6+T21+T36+T51+T66+T81+T95+T151+T109+T137+T123</f>
        <v>0</v>
      </c>
      <c r="U381" s="116">
        <f>U6+U21+U36+U51+U66+U81+U95+U151</f>
        <v>0</v>
      </c>
      <c r="V381" s="115">
        <f>V6+V21+V36+V51+V66+V81+V95+V109+V123+V137+V151+V181+V166</f>
        <v>0</v>
      </c>
      <c r="W381" s="116">
        <f>W6+W21+W36+W51+W66+W81+W95+W151</f>
        <v>0</v>
      </c>
      <c r="X381" s="115">
        <f>X6+X21+X36+X51+X66+X81+X95+X109+X123+X137+X151+X181+X166</f>
        <v>0</v>
      </c>
      <c r="Y381" s="116">
        <f>Y6+Y21+Y36+Y51+Y66+Y81+Y95+Y151</f>
        <v>0</v>
      </c>
      <c r="Z381" s="115">
        <f>Z6+Z21+Z36+Z51+Z66+Z81+Z95+Z109+Z123+Z137+Z151+Z181+Z166</f>
        <v>0</v>
      </c>
      <c r="AA381" s="93">
        <f t="shared" ref="AA381:AH381" si="401">AA6+AA21+AA36+AA51+AA66+AA81</f>
        <v>0</v>
      </c>
      <c r="AB381" s="93">
        <f t="shared" si="401"/>
        <v>0</v>
      </c>
      <c r="AC381" s="93">
        <f t="shared" si="401"/>
        <v>0</v>
      </c>
      <c r="AD381" s="93">
        <f t="shared" si="401"/>
        <v>0</v>
      </c>
      <c r="AE381" s="93">
        <f t="shared" si="401"/>
        <v>0</v>
      </c>
      <c r="AF381" s="93">
        <f t="shared" si="401"/>
        <v>0</v>
      </c>
      <c r="AG381" s="93">
        <f t="shared" si="401"/>
        <v>0</v>
      </c>
      <c r="AH381" s="93">
        <f t="shared" si="401"/>
        <v>0</v>
      </c>
      <c r="AI381" s="93"/>
      <c r="AJ381" s="93">
        <f>AJ6+AJ21+AJ36+AJ51+AJ66+AJ81</f>
        <v>0</v>
      </c>
      <c r="AK381" s="93" t="e">
        <f>AK6+AK21+AK36+AK51+AK66+AK81</f>
        <v>#REF!</v>
      </c>
      <c r="AL381" s="93" t="e">
        <f>AL6+AL21+AL36+AL51+AL66+AL81</f>
        <v>#REF!</v>
      </c>
      <c r="AM381" s="93" t="e">
        <f>AM6+AM21+AM36+AM51+AM66+AM81</f>
        <v>#REF!</v>
      </c>
      <c r="AN381" s="93" t="e">
        <f>AN6+AN21+AN36+AN51+AN66+AN81</f>
        <v>#REF!</v>
      </c>
      <c r="AO381" s="114" t="e">
        <f>SUM(AB381:AN381)</f>
        <v>#REF!</v>
      </c>
      <c r="AP381" s="93" t="e">
        <f t="shared" ref="AP381:BA381" si="402">AP6+AP21+AP36+AP51+AP66+AP81</f>
        <v>#REF!</v>
      </c>
      <c r="AQ381" s="93" t="e">
        <f t="shared" si="402"/>
        <v>#REF!</v>
      </c>
      <c r="AR381" s="93" t="e">
        <f t="shared" si="402"/>
        <v>#REF!</v>
      </c>
      <c r="AS381" s="93" t="e">
        <f t="shared" si="402"/>
        <v>#REF!</v>
      </c>
      <c r="AT381" s="93" t="e">
        <f t="shared" si="402"/>
        <v>#REF!</v>
      </c>
      <c r="AU381" s="93" t="e">
        <f t="shared" si="402"/>
        <v>#REF!</v>
      </c>
      <c r="AV381" s="93" t="e">
        <f t="shared" si="402"/>
        <v>#REF!</v>
      </c>
      <c r="AW381" s="93" t="e">
        <f t="shared" si="402"/>
        <v>#REF!</v>
      </c>
      <c r="AX381" s="93" t="e">
        <f t="shared" si="402"/>
        <v>#REF!</v>
      </c>
      <c r="AY381" s="93" t="e">
        <f t="shared" si="402"/>
        <v>#REF!</v>
      </c>
      <c r="AZ381" s="93" t="e">
        <f t="shared" si="402"/>
        <v>#REF!</v>
      </c>
      <c r="BA381" s="93" t="e">
        <f t="shared" si="402"/>
        <v>#REF!</v>
      </c>
      <c r="BB381" s="114" t="e">
        <f>SUM(AP381:BA381)</f>
        <v>#REF!</v>
      </c>
      <c r="BC381" s="93"/>
      <c r="BI381" s="185">
        <f>D381/C381-1</f>
        <v>-0.17383901019503545</v>
      </c>
      <c r="BJ381" s="185"/>
    </row>
    <row r="382" spans="1:62" s="108" customFormat="1" ht="12" x14ac:dyDescent="0.25">
      <c r="B382" s="87" t="s">
        <v>608</v>
      </c>
      <c r="C382" s="95">
        <f>C381*1.52%</f>
        <v>342912</v>
      </c>
      <c r="D382" s="94">
        <f>D18+D33+D48+D63+D78+D93+D107+D121+D135+D149+D163+D178+D193</f>
        <v>286479.05086500006</v>
      </c>
      <c r="E382" s="95">
        <f>E18+E33+E48+E63+E78+E93+E107+E163</f>
        <v>0</v>
      </c>
      <c r="F382" s="94">
        <f>F18+F33+F48+F63+F78+F93+F107+F163+F135+F121</f>
        <v>0</v>
      </c>
      <c r="G382" s="95">
        <f>G18+G33+G48+G63+G78+G93+G107+G163</f>
        <v>0</v>
      </c>
      <c r="H382" s="94">
        <f>H18+H33+H48+H63+H78+H93+H107+H163+H135+H121</f>
        <v>0</v>
      </c>
      <c r="I382" s="95">
        <f>I18+I33+I48+I63+I78+I93+I107+I163</f>
        <v>0</v>
      </c>
      <c r="J382" s="94">
        <f>J18+J33+J48+J63+J78+J93+J107+J163+J149+J135+J121</f>
        <v>0</v>
      </c>
      <c r="K382" s="95">
        <f>K18+K33+K48+K63+K78+K93+K107+K163</f>
        <v>0</v>
      </c>
      <c r="L382" s="94">
        <f>L18+L33+L48+L63+L78+L93+L107+L163+L121+L135+L149</f>
        <v>0</v>
      </c>
      <c r="M382" s="95">
        <f>M18+M33+M48+M63+M78+M93+M107+M163</f>
        <v>0</v>
      </c>
      <c r="N382" s="94">
        <f>N18+N33+N48+N63+N78+N93+N107+N163+N121+N135+N149</f>
        <v>0</v>
      </c>
      <c r="O382" s="95">
        <f>O18+O33+O48+O63+O78+O93+O107+O163</f>
        <v>0</v>
      </c>
      <c r="P382" s="94">
        <f>P18+P33+P48+P63+P78+P93+P107+P163+P121+P135+P149</f>
        <v>0</v>
      </c>
      <c r="Q382" s="95">
        <f>Q18+Q33+Q48+Q63+Q78+Q93+Q107+Q163</f>
        <v>0</v>
      </c>
      <c r="R382" s="94">
        <f>R18+R33+R48+R63+R78+R93+R107+R163+R121+R135+R149</f>
        <v>0</v>
      </c>
      <c r="S382" s="95">
        <f>S18+S33+S48+S63+S78+S93+S107+S163</f>
        <v>0</v>
      </c>
      <c r="T382" s="94">
        <f>T18+T33+T48+T63+T78+T93+T107+T163+T121+T216+T149+T135</f>
        <v>0</v>
      </c>
      <c r="U382" s="95">
        <f>U18+U33+U48+U63+U78+U93+U107+U163</f>
        <v>0</v>
      </c>
      <c r="V382" s="94">
        <f>V18+V33+V48+V63+V78+V93+V107+V121+V135+V149+V163+V193+V178</f>
        <v>0</v>
      </c>
      <c r="W382" s="95">
        <f>W18+W33+W48+W63+W78+W93+W107+W163</f>
        <v>0</v>
      </c>
      <c r="X382" s="94">
        <f>X18+X33+X48+X63+X78+X93+X107+X121+X135+X149+X163+X193+X178</f>
        <v>0</v>
      </c>
      <c r="Y382" s="95">
        <f>Y18+Y33+Y48+Y63+Y78+Y93+Y107+Y163</f>
        <v>0</v>
      </c>
      <c r="Z382" s="94">
        <f>Z18+Z33+Z48+Z63+Z78+Z93+Z107+Z121+Z135+Z149+Z163+Z193+Z178</f>
        <v>0</v>
      </c>
      <c r="AA382" s="93">
        <f t="shared" ref="AA382:AH382" si="403">AA18+AA33+AA48+AA63+AA78+AA93</f>
        <v>0</v>
      </c>
      <c r="AB382" s="93">
        <f t="shared" si="403"/>
        <v>0</v>
      </c>
      <c r="AC382" s="93">
        <f t="shared" si="403"/>
        <v>0</v>
      </c>
      <c r="AD382" s="93">
        <f t="shared" si="403"/>
        <v>0</v>
      </c>
      <c r="AE382" s="93">
        <f t="shared" si="403"/>
        <v>0</v>
      </c>
      <c r="AF382" s="93">
        <f t="shared" si="403"/>
        <v>0</v>
      </c>
      <c r="AG382" s="93">
        <f t="shared" si="403"/>
        <v>0</v>
      </c>
      <c r="AH382" s="93">
        <f t="shared" si="403"/>
        <v>0</v>
      </c>
      <c r="AI382" s="93"/>
      <c r="AJ382" s="93">
        <f>AJ18+AJ33+AJ48+AJ63+AJ78+AJ93</f>
        <v>0</v>
      </c>
      <c r="AK382" s="93" t="e">
        <f>AK18+AK33+AK48+AK63+AK78+AK93</f>
        <v>#REF!</v>
      </c>
      <c r="AL382" s="93" t="e">
        <f>AL18+AL33+AL48+AL63+AL78+AL93</f>
        <v>#REF!</v>
      </c>
      <c r="AM382" s="93" t="e">
        <f>AM18+AM33+AM48+AM63+AM78+AM93</f>
        <v>#REF!</v>
      </c>
      <c r="AN382" s="93" t="e">
        <f>AN18+AN33+AN48+AN63+AN78+AN93</f>
        <v>#REF!</v>
      </c>
      <c r="AO382" s="114" t="e">
        <f>SUM(AB382:AN382)</f>
        <v>#REF!</v>
      </c>
      <c r="AP382" s="93" t="e">
        <f t="shared" ref="AP382:BA382" si="404">AP18+AP33+AP48+AP63+AP78+AP93</f>
        <v>#REF!</v>
      </c>
      <c r="AQ382" s="93" t="e">
        <f t="shared" si="404"/>
        <v>#REF!</v>
      </c>
      <c r="AR382" s="93" t="e">
        <f t="shared" si="404"/>
        <v>#REF!</v>
      </c>
      <c r="AS382" s="93" t="e">
        <f t="shared" si="404"/>
        <v>#REF!</v>
      </c>
      <c r="AT382" s="93" t="e">
        <f t="shared" si="404"/>
        <v>#REF!</v>
      </c>
      <c r="AU382" s="93" t="e">
        <f t="shared" si="404"/>
        <v>#REF!</v>
      </c>
      <c r="AV382" s="93" t="e">
        <f t="shared" si="404"/>
        <v>#REF!</v>
      </c>
      <c r="AW382" s="93" t="e">
        <f t="shared" si="404"/>
        <v>#REF!</v>
      </c>
      <c r="AX382" s="93" t="e">
        <f t="shared" si="404"/>
        <v>#REF!</v>
      </c>
      <c r="AY382" s="93" t="e">
        <f t="shared" si="404"/>
        <v>#REF!</v>
      </c>
      <c r="AZ382" s="93" t="e">
        <f t="shared" si="404"/>
        <v>#REF!</v>
      </c>
      <c r="BA382" s="93" t="e">
        <f t="shared" si="404"/>
        <v>#REF!</v>
      </c>
      <c r="BB382" s="114" t="e">
        <f>SUM(AP382:BA382)</f>
        <v>#REF!</v>
      </c>
      <c r="BC382" s="119"/>
      <c r="BI382" s="185">
        <f>D382/C382-1</f>
        <v>-0.16456977048047294</v>
      </c>
    </row>
    <row r="383" spans="1:62" x14ac:dyDescent="0.3">
      <c r="B383" s="100" t="s">
        <v>632</v>
      </c>
      <c r="C383" s="99"/>
      <c r="D383" s="98"/>
      <c r="E383" s="99"/>
      <c r="F383" s="98"/>
      <c r="G383" s="99"/>
      <c r="H383" s="98"/>
      <c r="I383" s="99"/>
      <c r="J383" s="98"/>
      <c r="K383" s="99"/>
      <c r="L383" s="98"/>
      <c r="M383" s="99"/>
      <c r="N383" s="98"/>
      <c r="O383" s="99"/>
      <c r="P383" s="98"/>
      <c r="Q383" s="99"/>
      <c r="R383" s="98"/>
      <c r="S383" s="99"/>
      <c r="T383" s="98"/>
      <c r="U383" s="99"/>
      <c r="V383" s="98"/>
      <c r="W383" s="99"/>
      <c r="X383" s="98"/>
      <c r="Y383" s="99"/>
      <c r="Z383" s="98"/>
      <c r="AA383" s="11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117"/>
      <c r="AP383" s="97"/>
      <c r="AQ383" s="97"/>
      <c r="AR383" s="97"/>
      <c r="AS383" s="97"/>
      <c r="AT383" s="97"/>
      <c r="AU383" s="97"/>
      <c r="AV383" s="97"/>
      <c r="AW383" s="97"/>
      <c r="AX383" s="97"/>
      <c r="AY383" s="97"/>
      <c r="AZ383" s="97"/>
      <c r="BA383" s="97"/>
      <c r="BB383" s="117"/>
      <c r="BC383" s="97"/>
    </row>
    <row r="384" spans="1:62" s="108" customFormat="1" ht="12" x14ac:dyDescent="0.25">
      <c r="B384" s="91" t="s">
        <v>631</v>
      </c>
      <c r="C384" s="116">
        <f t="shared" ref="C384:AH384" si="405">C204</f>
        <v>0</v>
      </c>
      <c r="D384" s="115">
        <f t="shared" si="405"/>
        <v>0</v>
      </c>
      <c r="E384" s="116">
        <f t="shared" si="405"/>
        <v>0</v>
      </c>
      <c r="F384" s="115">
        <f t="shared" si="405"/>
        <v>0</v>
      </c>
      <c r="G384" s="116">
        <f t="shared" si="405"/>
        <v>0</v>
      </c>
      <c r="H384" s="115">
        <f t="shared" si="405"/>
        <v>0</v>
      </c>
      <c r="I384" s="116">
        <f t="shared" si="405"/>
        <v>0</v>
      </c>
      <c r="J384" s="115">
        <f t="shared" si="405"/>
        <v>0</v>
      </c>
      <c r="K384" s="116">
        <f t="shared" si="405"/>
        <v>0</v>
      </c>
      <c r="L384" s="115">
        <f t="shared" si="405"/>
        <v>0</v>
      </c>
      <c r="M384" s="116">
        <f t="shared" si="405"/>
        <v>0</v>
      </c>
      <c r="N384" s="115">
        <f t="shared" si="405"/>
        <v>0</v>
      </c>
      <c r="O384" s="116">
        <f t="shared" si="405"/>
        <v>0</v>
      </c>
      <c r="P384" s="115">
        <f t="shared" si="405"/>
        <v>0</v>
      </c>
      <c r="Q384" s="116">
        <f t="shared" si="405"/>
        <v>0</v>
      </c>
      <c r="R384" s="115">
        <f t="shared" si="405"/>
        <v>0</v>
      </c>
      <c r="S384" s="116">
        <f t="shared" si="405"/>
        <v>0</v>
      </c>
      <c r="T384" s="115">
        <f t="shared" si="405"/>
        <v>0</v>
      </c>
      <c r="U384" s="116">
        <f t="shared" si="405"/>
        <v>0</v>
      </c>
      <c r="V384" s="115">
        <f t="shared" si="405"/>
        <v>0</v>
      </c>
      <c r="W384" s="116">
        <f t="shared" si="405"/>
        <v>0</v>
      </c>
      <c r="X384" s="115">
        <f t="shared" si="405"/>
        <v>0</v>
      </c>
      <c r="Y384" s="116">
        <f t="shared" si="405"/>
        <v>0</v>
      </c>
      <c r="Z384" s="115">
        <f t="shared" si="405"/>
        <v>0</v>
      </c>
      <c r="AA384" s="93">
        <f t="shared" si="405"/>
        <v>0</v>
      </c>
      <c r="AB384" s="93">
        <f t="shared" si="405"/>
        <v>0</v>
      </c>
      <c r="AC384" s="93">
        <f t="shared" si="405"/>
        <v>0</v>
      </c>
      <c r="AD384" s="93">
        <f t="shared" si="405"/>
        <v>0</v>
      </c>
      <c r="AE384" s="93">
        <f t="shared" si="405"/>
        <v>0</v>
      </c>
      <c r="AF384" s="93">
        <f t="shared" si="405"/>
        <v>0</v>
      </c>
      <c r="AG384" s="93">
        <f t="shared" si="405"/>
        <v>0</v>
      </c>
      <c r="AH384" s="93">
        <f t="shared" si="405"/>
        <v>0</v>
      </c>
      <c r="AI384" s="93"/>
      <c r="AJ384" s="93" t="e">
        <f>AJ204</f>
        <v>#REF!</v>
      </c>
      <c r="AK384" s="93" t="e">
        <f>AK204</f>
        <v>#REF!</v>
      </c>
      <c r="AL384" s="93" t="e">
        <f>AL204</f>
        <v>#REF!</v>
      </c>
      <c r="AM384" s="93" t="e">
        <f>AM204</f>
        <v>#REF!</v>
      </c>
      <c r="AN384" s="93" t="e">
        <f>AN204</f>
        <v>#REF!</v>
      </c>
      <c r="AO384" s="114" t="e">
        <f>SUM(AB384:AN384)</f>
        <v>#REF!</v>
      </c>
      <c r="AP384" s="93" t="e">
        <f t="shared" ref="AP384:BA384" si="406">AP204</f>
        <v>#REF!</v>
      </c>
      <c r="AQ384" s="93" t="e">
        <f t="shared" si="406"/>
        <v>#REF!</v>
      </c>
      <c r="AR384" s="93" t="e">
        <f t="shared" si="406"/>
        <v>#REF!</v>
      </c>
      <c r="AS384" s="93" t="e">
        <f t="shared" si="406"/>
        <v>#REF!</v>
      </c>
      <c r="AT384" s="93" t="e">
        <f t="shared" si="406"/>
        <v>#REF!</v>
      </c>
      <c r="AU384" s="93" t="e">
        <f t="shared" si="406"/>
        <v>#REF!</v>
      </c>
      <c r="AV384" s="93" t="e">
        <f t="shared" si="406"/>
        <v>#REF!</v>
      </c>
      <c r="AW384" s="93" t="e">
        <f t="shared" si="406"/>
        <v>#REF!</v>
      </c>
      <c r="AX384" s="93" t="e">
        <f t="shared" si="406"/>
        <v>#REF!</v>
      </c>
      <c r="AY384" s="93" t="e">
        <f t="shared" si="406"/>
        <v>#REF!</v>
      </c>
      <c r="AZ384" s="93" t="e">
        <f t="shared" si="406"/>
        <v>#REF!</v>
      </c>
      <c r="BA384" s="93" t="e">
        <f t="shared" si="406"/>
        <v>#REF!</v>
      </c>
      <c r="BB384" s="114" t="e">
        <f>SUM(AP384:BA384)</f>
        <v>#REF!</v>
      </c>
      <c r="BC384" s="93"/>
    </row>
    <row r="385" spans="2:55" s="108" customFormat="1" ht="12" x14ac:dyDescent="0.25">
      <c r="B385" s="87" t="s">
        <v>608</v>
      </c>
      <c r="C385" s="95">
        <f>C216</f>
        <v>0</v>
      </c>
      <c r="D385" s="94">
        <f>D216</f>
        <v>0</v>
      </c>
      <c r="E385" s="95">
        <f>E216</f>
        <v>0</v>
      </c>
      <c r="F385" s="94">
        <v>1909.55</v>
      </c>
      <c r="G385" s="95">
        <f t="shared" ref="G385:AH385" si="407">G216</f>
        <v>0</v>
      </c>
      <c r="H385" s="94">
        <f t="shared" si="407"/>
        <v>0</v>
      </c>
      <c r="I385" s="95">
        <f t="shared" si="407"/>
        <v>0</v>
      </c>
      <c r="J385" s="94">
        <f t="shared" si="407"/>
        <v>0</v>
      </c>
      <c r="K385" s="95">
        <f t="shared" si="407"/>
        <v>0</v>
      </c>
      <c r="L385" s="94">
        <f t="shared" si="407"/>
        <v>0</v>
      </c>
      <c r="M385" s="95">
        <f t="shared" si="407"/>
        <v>0</v>
      </c>
      <c r="N385" s="94">
        <f t="shared" si="407"/>
        <v>0</v>
      </c>
      <c r="O385" s="95">
        <f t="shared" si="407"/>
        <v>0</v>
      </c>
      <c r="P385" s="94">
        <f t="shared" si="407"/>
        <v>0</v>
      </c>
      <c r="Q385" s="95">
        <f t="shared" si="407"/>
        <v>0</v>
      </c>
      <c r="R385" s="94">
        <f t="shared" si="407"/>
        <v>0</v>
      </c>
      <c r="S385" s="95">
        <f t="shared" si="407"/>
        <v>0</v>
      </c>
      <c r="T385" s="94">
        <f t="shared" si="407"/>
        <v>0</v>
      </c>
      <c r="U385" s="95">
        <f t="shared" si="407"/>
        <v>0</v>
      </c>
      <c r="V385" s="94">
        <f t="shared" si="407"/>
        <v>0</v>
      </c>
      <c r="W385" s="95">
        <f t="shared" si="407"/>
        <v>0</v>
      </c>
      <c r="X385" s="94">
        <f t="shared" si="407"/>
        <v>0</v>
      </c>
      <c r="Y385" s="95">
        <f t="shared" si="407"/>
        <v>0</v>
      </c>
      <c r="Z385" s="94">
        <f t="shared" si="407"/>
        <v>0</v>
      </c>
      <c r="AA385" s="93">
        <f t="shared" si="407"/>
        <v>0</v>
      </c>
      <c r="AB385" s="93">
        <f t="shared" si="407"/>
        <v>0</v>
      </c>
      <c r="AC385" s="93">
        <f t="shared" si="407"/>
        <v>0</v>
      </c>
      <c r="AD385" s="93">
        <f t="shared" si="407"/>
        <v>0</v>
      </c>
      <c r="AE385" s="93">
        <f t="shared" si="407"/>
        <v>0</v>
      </c>
      <c r="AF385" s="93">
        <f t="shared" si="407"/>
        <v>0</v>
      </c>
      <c r="AG385" s="93">
        <f t="shared" si="407"/>
        <v>0</v>
      </c>
      <c r="AH385" s="93">
        <f t="shared" si="407"/>
        <v>0</v>
      </c>
      <c r="AI385" s="93"/>
      <c r="AJ385" s="93" t="e">
        <f>AJ216</f>
        <v>#REF!</v>
      </c>
      <c r="AK385" s="93" t="e">
        <f>AK216</f>
        <v>#REF!</v>
      </c>
      <c r="AL385" s="93" t="e">
        <f>AL216</f>
        <v>#REF!</v>
      </c>
      <c r="AM385" s="93" t="e">
        <f>AM216</f>
        <v>#REF!</v>
      </c>
      <c r="AN385" s="93" t="e">
        <f>AN216</f>
        <v>#REF!</v>
      </c>
      <c r="AO385" s="114" t="e">
        <f>SUM(AB385:AN385)</f>
        <v>#REF!</v>
      </c>
      <c r="AP385" s="93" t="e">
        <f t="shared" ref="AP385:BA385" si="408">AP216</f>
        <v>#REF!</v>
      </c>
      <c r="AQ385" s="93" t="e">
        <f t="shared" si="408"/>
        <v>#REF!</v>
      </c>
      <c r="AR385" s="93" t="e">
        <f t="shared" si="408"/>
        <v>#REF!</v>
      </c>
      <c r="AS385" s="93" t="e">
        <f t="shared" si="408"/>
        <v>#REF!</v>
      </c>
      <c r="AT385" s="93" t="e">
        <f t="shared" si="408"/>
        <v>#REF!</v>
      </c>
      <c r="AU385" s="93" t="e">
        <f t="shared" si="408"/>
        <v>#REF!</v>
      </c>
      <c r="AV385" s="93" t="e">
        <f t="shared" si="408"/>
        <v>#REF!</v>
      </c>
      <c r="AW385" s="93" t="e">
        <f t="shared" si="408"/>
        <v>#REF!</v>
      </c>
      <c r="AX385" s="93" t="e">
        <f t="shared" si="408"/>
        <v>#REF!</v>
      </c>
      <c r="AY385" s="93" t="e">
        <f t="shared" si="408"/>
        <v>#REF!</v>
      </c>
      <c r="AZ385" s="93" t="e">
        <f t="shared" si="408"/>
        <v>#REF!</v>
      </c>
      <c r="BA385" s="93" t="e">
        <f t="shared" si="408"/>
        <v>#REF!</v>
      </c>
      <c r="BB385" s="114" t="e">
        <f>SUM(AP385:BA385)</f>
        <v>#REF!</v>
      </c>
      <c r="BC385" s="119"/>
    </row>
    <row r="386" spans="2:55" x14ac:dyDescent="0.3">
      <c r="B386" s="120" t="s">
        <v>633</v>
      </c>
      <c r="C386" s="99"/>
      <c r="D386" s="98"/>
      <c r="E386" s="99"/>
      <c r="F386" s="98"/>
      <c r="G386" s="99"/>
      <c r="H386" s="98"/>
      <c r="I386" s="99"/>
      <c r="J386" s="98"/>
      <c r="K386" s="99"/>
      <c r="L386" s="98"/>
      <c r="M386" s="99"/>
      <c r="N386" s="98"/>
      <c r="O386" s="99"/>
      <c r="P386" s="98"/>
      <c r="Q386" s="99"/>
      <c r="R386" s="98"/>
      <c r="S386" s="99"/>
      <c r="T386" s="98"/>
      <c r="U386" s="99"/>
      <c r="V386" s="98"/>
      <c r="W386" s="99"/>
      <c r="X386" s="98"/>
      <c r="Y386" s="99"/>
      <c r="Z386" s="98"/>
      <c r="AA386" s="11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117"/>
      <c r="AP386" s="97"/>
      <c r="AQ386" s="97"/>
      <c r="AR386" s="97"/>
      <c r="AS386" s="97"/>
      <c r="AT386" s="97"/>
      <c r="AU386" s="97"/>
      <c r="AV386" s="97"/>
      <c r="AW386" s="97"/>
      <c r="AX386" s="97"/>
      <c r="AY386" s="97"/>
      <c r="AZ386" s="97"/>
      <c r="BA386" s="97"/>
      <c r="BB386" s="117"/>
      <c r="BC386" s="97"/>
    </row>
    <row r="387" spans="2:55" s="108" customFormat="1" ht="12" x14ac:dyDescent="0.25">
      <c r="B387" s="91" t="s">
        <v>631</v>
      </c>
      <c r="C387" s="116">
        <f>C228</f>
        <v>0</v>
      </c>
      <c r="D387" s="115">
        <f>D228</f>
        <v>0</v>
      </c>
      <c r="E387" s="116">
        <f>E228</f>
        <v>0</v>
      </c>
      <c r="F387" s="115">
        <f>F228</f>
        <v>0</v>
      </c>
      <c r="G387" s="116">
        <f>G228</f>
        <v>0</v>
      </c>
      <c r="H387" s="115"/>
      <c r="I387" s="116">
        <f>I228</f>
        <v>0</v>
      </c>
      <c r="J387" s="115"/>
      <c r="K387" s="116">
        <f>K228</f>
        <v>0</v>
      </c>
      <c r="L387" s="115"/>
      <c r="M387" s="116">
        <f>M228</f>
        <v>0</v>
      </c>
      <c r="N387" s="115"/>
      <c r="O387" s="116">
        <f>O228</f>
        <v>0</v>
      </c>
      <c r="P387" s="115"/>
      <c r="Q387" s="116">
        <f>Q228</f>
        <v>0</v>
      </c>
      <c r="R387" s="115"/>
      <c r="S387" s="116">
        <f>S228</f>
        <v>0</v>
      </c>
      <c r="T387" s="115"/>
      <c r="U387" s="116">
        <f>U228</f>
        <v>0</v>
      </c>
      <c r="V387" s="115"/>
      <c r="W387" s="116">
        <f>W228</f>
        <v>0</v>
      </c>
      <c r="X387" s="115"/>
      <c r="Y387" s="116">
        <f>Y228</f>
        <v>0</v>
      </c>
      <c r="Z387" s="115"/>
      <c r="AA387" s="93">
        <f t="shared" ref="AA387:AH387" si="409">AA228</f>
        <v>0</v>
      </c>
      <c r="AB387" s="93">
        <f t="shared" si="409"/>
        <v>0</v>
      </c>
      <c r="AC387" s="93">
        <f t="shared" si="409"/>
        <v>0</v>
      </c>
      <c r="AD387" s="93">
        <f t="shared" si="409"/>
        <v>0</v>
      </c>
      <c r="AE387" s="93">
        <f t="shared" si="409"/>
        <v>0</v>
      </c>
      <c r="AF387" s="93">
        <f t="shared" si="409"/>
        <v>0</v>
      </c>
      <c r="AG387" s="93">
        <f t="shared" si="409"/>
        <v>0</v>
      </c>
      <c r="AH387" s="93">
        <f t="shared" si="409"/>
        <v>0</v>
      </c>
      <c r="AI387" s="93"/>
      <c r="AJ387" s="93" t="e">
        <f>AJ228</f>
        <v>#REF!</v>
      </c>
      <c r="AK387" s="93" t="e">
        <f>AK228</f>
        <v>#REF!</v>
      </c>
      <c r="AL387" s="93" t="e">
        <f>AL228</f>
        <v>#REF!</v>
      </c>
      <c r="AM387" s="93" t="e">
        <f>AM228</f>
        <v>#REF!</v>
      </c>
      <c r="AN387" s="93" t="e">
        <f>AN228</f>
        <v>#REF!</v>
      </c>
      <c r="AO387" s="114" t="e">
        <f>SUM(AB387:AN387)</f>
        <v>#REF!</v>
      </c>
      <c r="AP387" s="93" t="e">
        <f t="shared" ref="AP387:BA387" si="410">AP228</f>
        <v>#REF!</v>
      </c>
      <c r="AQ387" s="93" t="e">
        <f t="shared" si="410"/>
        <v>#REF!</v>
      </c>
      <c r="AR387" s="93" t="e">
        <f t="shared" si="410"/>
        <v>#REF!</v>
      </c>
      <c r="AS387" s="93" t="e">
        <f t="shared" si="410"/>
        <v>#REF!</v>
      </c>
      <c r="AT387" s="93" t="e">
        <f t="shared" si="410"/>
        <v>#REF!</v>
      </c>
      <c r="AU387" s="93" t="e">
        <f t="shared" si="410"/>
        <v>#REF!</v>
      </c>
      <c r="AV387" s="93" t="e">
        <f t="shared" si="410"/>
        <v>#REF!</v>
      </c>
      <c r="AW387" s="93" t="e">
        <f t="shared" si="410"/>
        <v>#REF!</v>
      </c>
      <c r="AX387" s="93" t="e">
        <f t="shared" si="410"/>
        <v>#REF!</v>
      </c>
      <c r="AY387" s="93" t="e">
        <f t="shared" si="410"/>
        <v>#REF!</v>
      </c>
      <c r="AZ387" s="93" t="e">
        <f t="shared" si="410"/>
        <v>#REF!</v>
      </c>
      <c r="BA387" s="93" t="e">
        <f t="shared" si="410"/>
        <v>#REF!</v>
      </c>
      <c r="BB387" s="114" t="e">
        <f>SUM(AP387:BA387)</f>
        <v>#REF!</v>
      </c>
      <c r="BC387" s="93"/>
    </row>
    <row r="388" spans="2:55" s="108" customFormat="1" ht="12" x14ac:dyDescent="0.25">
      <c r="B388" s="87" t="s">
        <v>608</v>
      </c>
      <c r="C388" s="95">
        <f>C240</f>
        <v>0</v>
      </c>
      <c r="D388" s="94">
        <f>D240</f>
        <v>0</v>
      </c>
      <c r="E388" s="95">
        <f>E240</f>
        <v>0</v>
      </c>
      <c r="F388" s="94">
        <f>F240</f>
        <v>0</v>
      </c>
      <c r="G388" s="95">
        <f>G240</f>
        <v>0</v>
      </c>
      <c r="H388" s="94"/>
      <c r="I388" s="95">
        <f>I240</f>
        <v>0</v>
      </c>
      <c r="J388" s="94"/>
      <c r="K388" s="95">
        <f>K240</f>
        <v>0</v>
      </c>
      <c r="L388" s="94"/>
      <c r="M388" s="95">
        <f>M240</f>
        <v>0</v>
      </c>
      <c r="N388" s="94"/>
      <c r="O388" s="95">
        <f>O240</f>
        <v>0</v>
      </c>
      <c r="P388" s="94"/>
      <c r="Q388" s="95">
        <f>Q240</f>
        <v>0</v>
      </c>
      <c r="R388" s="94"/>
      <c r="S388" s="95">
        <f>S240</f>
        <v>0</v>
      </c>
      <c r="T388" s="94"/>
      <c r="U388" s="95">
        <f>U240</f>
        <v>0</v>
      </c>
      <c r="V388" s="94"/>
      <c r="W388" s="95">
        <f>W240</f>
        <v>0</v>
      </c>
      <c r="X388" s="94"/>
      <c r="Y388" s="95">
        <f>Y240</f>
        <v>0</v>
      </c>
      <c r="Z388" s="94"/>
      <c r="AA388" s="93">
        <f t="shared" ref="AA388:AH388" si="411">AA240</f>
        <v>0</v>
      </c>
      <c r="AB388" s="93">
        <f t="shared" si="411"/>
        <v>0</v>
      </c>
      <c r="AC388" s="93">
        <f t="shared" si="411"/>
        <v>0</v>
      </c>
      <c r="AD388" s="93">
        <f t="shared" si="411"/>
        <v>0</v>
      </c>
      <c r="AE388" s="93">
        <f t="shared" si="411"/>
        <v>0</v>
      </c>
      <c r="AF388" s="93">
        <f t="shared" si="411"/>
        <v>0</v>
      </c>
      <c r="AG388" s="93">
        <f t="shared" si="411"/>
        <v>0</v>
      </c>
      <c r="AH388" s="93">
        <f t="shared" si="411"/>
        <v>0</v>
      </c>
      <c r="AI388" s="93"/>
      <c r="AJ388" s="93" t="e">
        <f>AJ240</f>
        <v>#REF!</v>
      </c>
      <c r="AK388" s="93" t="e">
        <f>AK240</f>
        <v>#REF!</v>
      </c>
      <c r="AL388" s="93" t="e">
        <f>AL240</f>
        <v>#REF!</v>
      </c>
      <c r="AM388" s="93" t="e">
        <f>AM240</f>
        <v>#REF!</v>
      </c>
      <c r="AN388" s="93" t="e">
        <f>AN240</f>
        <v>#REF!</v>
      </c>
      <c r="AO388" s="114" t="e">
        <f>SUM(AB388:AN388)</f>
        <v>#REF!</v>
      </c>
      <c r="AP388" s="93" t="e">
        <f t="shared" ref="AP388:BA388" si="412">AP240</f>
        <v>#REF!</v>
      </c>
      <c r="AQ388" s="93" t="e">
        <f t="shared" si="412"/>
        <v>#REF!</v>
      </c>
      <c r="AR388" s="93" t="e">
        <f t="shared" si="412"/>
        <v>#REF!</v>
      </c>
      <c r="AS388" s="93" t="e">
        <f t="shared" si="412"/>
        <v>#REF!</v>
      </c>
      <c r="AT388" s="93" t="e">
        <f t="shared" si="412"/>
        <v>#REF!</v>
      </c>
      <c r="AU388" s="93" t="e">
        <f t="shared" si="412"/>
        <v>#REF!</v>
      </c>
      <c r="AV388" s="93" t="e">
        <f t="shared" si="412"/>
        <v>#REF!</v>
      </c>
      <c r="AW388" s="93" t="e">
        <f t="shared" si="412"/>
        <v>#REF!</v>
      </c>
      <c r="AX388" s="93" t="e">
        <f t="shared" si="412"/>
        <v>#REF!</v>
      </c>
      <c r="AY388" s="93" t="e">
        <f t="shared" si="412"/>
        <v>#REF!</v>
      </c>
      <c r="AZ388" s="93" t="e">
        <f t="shared" si="412"/>
        <v>#REF!</v>
      </c>
      <c r="BA388" s="93" t="e">
        <f t="shared" si="412"/>
        <v>#REF!</v>
      </c>
      <c r="BB388" s="114" t="e">
        <f>SUM(AP388:BA388)</f>
        <v>#REF!</v>
      </c>
      <c r="BC388" s="119"/>
    </row>
    <row r="389" spans="2:55" x14ac:dyDescent="0.3">
      <c r="B389" s="120" t="s">
        <v>634</v>
      </c>
      <c r="C389" s="99"/>
      <c r="D389" s="98"/>
      <c r="E389" s="99"/>
      <c r="F389" s="98"/>
      <c r="G389" s="99"/>
      <c r="H389" s="98"/>
      <c r="I389" s="99"/>
      <c r="J389" s="98"/>
      <c r="K389" s="99"/>
      <c r="L389" s="98"/>
      <c r="M389" s="99"/>
      <c r="N389" s="98"/>
      <c r="O389" s="99"/>
      <c r="P389" s="98"/>
      <c r="Q389" s="99"/>
      <c r="R389" s="98"/>
      <c r="S389" s="99"/>
      <c r="T389" s="98"/>
      <c r="U389" s="99"/>
      <c r="V389" s="98"/>
      <c r="W389" s="99"/>
      <c r="X389" s="98"/>
      <c r="Y389" s="99"/>
      <c r="Z389" s="98"/>
      <c r="AA389" s="117"/>
      <c r="AB389" s="97"/>
      <c r="AC389" s="97"/>
      <c r="AD389" s="97"/>
      <c r="AE389" s="97"/>
      <c r="AF389" s="97"/>
      <c r="AG389" s="97"/>
      <c r="AH389" s="97"/>
      <c r="AI389" s="97"/>
      <c r="AJ389" s="97"/>
      <c r="AK389" s="97"/>
      <c r="AL389" s="97"/>
      <c r="AM389" s="97"/>
      <c r="AN389" s="97"/>
      <c r="AO389" s="117"/>
      <c r="AP389" s="97"/>
      <c r="AQ389" s="97"/>
      <c r="AR389" s="97"/>
      <c r="AS389" s="97"/>
      <c r="AT389" s="97"/>
      <c r="AU389" s="97"/>
      <c r="AV389" s="97"/>
      <c r="AW389" s="97"/>
      <c r="AX389" s="97"/>
      <c r="AY389" s="97"/>
      <c r="AZ389" s="97"/>
      <c r="BA389" s="97"/>
      <c r="BB389" s="117"/>
      <c r="BC389" s="97"/>
    </row>
    <row r="390" spans="2:55" s="108" customFormat="1" ht="12" x14ac:dyDescent="0.25">
      <c r="B390" s="91" t="s">
        <v>631</v>
      </c>
      <c r="C390" s="116">
        <f>C252</f>
        <v>0</v>
      </c>
      <c r="D390" s="115"/>
      <c r="E390" s="116">
        <f>E252</f>
        <v>0</v>
      </c>
      <c r="F390" s="115"/>
      <c r="G390" s="116">
        <f>G252</f>
        <v>0</v>
      </c>
      <c r="H390" s="115"/>
      <c r="I390" s="116">
        <f>I252</f>
        <v>0</v>
      </c>
      <c r="J390" s="115"/>
      <c r="K390" s="116">
        <f>K252</f>
        <v>0</v>
      </c>
      <c r="L390" s="115"/>
      <c r="M390" s="116">
        <f>M252</f>
        <v>0</v>
      </c>
      <c r="N390" s="115"/>
      <c r="O390" s="116">
        <f>O252</f>
        <v>0</v>
      </c>
      <c r="P390" s="115"/>
      <c r="Q390" s="116">
        <f>Q252</f>
        <v>0</v>
      </c>
      <c r="R390" s="115"/>
      <c r="S390" s="116">
        <f>S252</f>
        <v>0</v>
      </c>
      <c r="T390" s="115"/>
      <c r="U390" s="116">
        <f>U252</f>
        <v>0</v>
      </c>
      <c r="V390" s="115"/>
      <c r="W390" s="116">
        <f>W252</f>
        <v>0</v>
      </c>
      <c r="X390" s="115"/>
      <c r="Y390" s="116">
        <f>Y252</f>
        <v>0</v>
      </c>
      <c r="Z390" s="115"/>
      <c r="AA390" s="93">
        <f t="shared" ref="AA390:AH390" si="413">AA252</f>
        <v>0</v>
      </c>
      <c r="AB390" s="93">
        <f t="shared" si="413"/>
        <v>0</v>
      </c>
      <c r="AC390" s="93">
        <f t="shared" si="413"/>
        <v>0</v>
      </c>
      <c r="AD390" s="93">
        <f t="shared" si="413"/>
        <v>0</v>
      </c>
      <c r="AE390" s="93">
        <f t="shared" si="413"/>
        <v>0</v>
      </c>
      <c r="AF390" s="93">
        <f t="shared" si="413"/>
        <v>0</v>
      </c>
      <c r="AG390" s="93">
        <f t="shared" si="413"/>
        <v>0</v>
      </c>
      <c r="AH390" s="93">
        <f t="shared" si="413"/>
        <v>0</v>
      </c>
      <c r="AI390" s="93"/>
      <c r="AJ390" s="93">
        <f>AJ252</f>
        <v>0</v>
      </c>
      <c r="AK390" s="93">
        <f>AK252</f>
        <v>0</v>
      </c>
      <c r="AL390" s="93">
        <f>AL252</f>
        <v>0</v>
      </c>
      <c r="AM390" s="93">
        <f>AM252</f>
        <v>0</v>
      </c>
      <c r="AN390" s="93">
        <f>AN252</f>
        <v>0</v>
      </c>
      <c r="AO390" s="114">
        <f>SUM(AB390:AN390)</f>
        <v>0</v>
      </c>
      <c r="AP390" s="93">
        <f t="shared" ref="AP390:BA390" si="414">AP252</f>
        <v>0</v>
      </c>
      <c r="AQ390" s="93">
        <f t="shared" si="414"/>
        <v>0</v>
      </c>
      <c r="AR390" s="93">
        <f t="shared" si="414"/>
        <v>0</v>
      </c>
      <c r="AS390" s="93">
        <f t="shared" si="414"/>
        <v>0</v>
      </c>
      <c r="AT390" s="93">
        <f t="shared" si="414"/>
        <v>0</v>
      </c>
      <c r="AU390" s="93">
        <f t="shared" si="414"/>
        <v>0</v>
      </c>
      <c r="AV390" s="93">
        <f t="shared" si="414"/>
        <v>0</v>
      </c>
      <c r="AW390" s="93">
        <f t="shared" si="414"/>
        <v>0</v>
      </c>
      <c r="AX390" s="93">
        <f t="shared" si="414"/>
        <v>0</v>
      </c>
      <c r="AY390" s="93">
        <f t="shared" si="414"/>
        <v>0</v>
      </c>
      <c r="AZ390" s="93">
        <f t="shared" si="414"/>
        <v>0</v>
      </c>
      <c r="BA390" s="93">
        <f t="shared" si="414"/>
        <v>0</v>
      </c>
      <c r="BB390" s="114">
        <f>SUM(AP390:BA390)</f>
        <v>0</v>
      </c>
      <c r="BC390" s="93"/>
    </row>
    <row r="391" spans="2:55" s="108" customFormat="1" ht="12" x14ac:dyDescent="0.25">
      <c r="B391" s="87" t="s">
        <v>608</v>
      </c>
      <c r="C391" s="95">
        <f>C264</f>
        <v>0</v>
      </c>
      <c r="D391" s="94"/>
      <c r="E391" s="95">
        <f>E264</f>
        <v>0</v>
      </c>
      <c r="F391" s="94"/>
      <c r="G391" s="95">
        <f>G264</f>
        <v>0</v>
      </c>
      <c r="H391" s="94"/>
      <c r="I391" s="95">
        <f>I264</f>
        <v>0</v>
      </c>
      <c r="J391" s="94"/>
      <c r="K391" s="95">
        <f>K264</f>
        <v>0</v>
      </c>
      <c r="L391" s="94"/>
      <c r="M391" s="95">
        <f>M264</f>
        <v>0</v>
      </c>
      <c r="N391" s="94"/>
      <c r="O391" s="95">
        <f>O264</f>
        <v>0</v>
      </c>
      <c r="P391" s="94"/>
      <c r="Q391" s="95">
        <f>Q264</f>
        <v>0</v>
      </c>
      <c r="R391" s="94"/>
      <c r="S391" s="95">
        <f>S264</f>
        <v>0</v>
      </c>
      <c r="T391" s="94"/>
      <c r="U391" s="95">
        <f>U264</f>
        <v>0</v>
      </c>
      <c r="V391" s="94"/>
      <c r="W391" s="95">
        <f>W264</f>
        <v>0</v>
      </c>
      <c r="X391" s="94"/>
      <c r="Y391" s="95">
        <f>Y264</f>
        <v>0</v>
      </c>
      <c r="Z391" s="94"/>
      <c r="AA391" s="93">
        <f t="shared" ref="AA391:AH391" si="415">AA264</f>
        <v>0</v>
      </c>
      <c r="AB391" s="93">
        <f t="shared" si="415"/>
        <v>0</v>
      </c>
      <c r="AC391" s="93">
        <f t="shared" si="415"/>
        <v>0</v>
      </c>
      <c r="AD391" s="93">
        <f t="shared" si="415"/>
        <v>0</v>
      </c>
      <c r="AE391" s="93">
        <f t="shared" si="415"/>
        <v>0</v>
      </c>
      <c r="AF391" s="93">
        <f t="shared" si="415"/>
        <v>0</v>
      </c>
      <c r="AG391" s="93">
        <f t="shared" si="415"/>
        <v>0</v>
      </c>
      <c r="AH391" s="93">
        <f t="shared" si="415"/>
        <v>0</v>
      </c>
      <c r="AI391" s="93"/>
      <c r="AJ391" s="93">
        <f>AJ264</f>
        <v>0</v>
      </c>
      <c r="AK391" s="93">
        <f>AK264</f>
        <v>0</v>
      </c>
      <c r="AL391" s="93">
        <f>AL264</f>
        <v>0</v>
      </c>
      <c r="AM391" s="93">
        <f>AM264</f>
        <v>0</v>
      </c>
      <c r="AN391" s="93">
        <f>AN264</f>
        <v>0</v>
      </c>
      <c r="AO391" s="114">
        <f>SUM(AB391:AN391)</f>
        <v>0</v>
      </c>
      <c r="AP391" s="93">
        <f t="shared" ref="AP391:BA391" si="416">AP264</f>
        <v>0</v>
      </c>
      <c r="AQ391" s="93">
        <f t="shared" si="416"/>
        <v>0</v>
      </c>
      <c r="AR391" s="93">
        <f t="shared" si="416"/>
        <v>0</v>
      </c>
      <c r="AS391" s="93">
        <f t="shared" si="416"/>
        <v>0</v>
      </c>
      <c r="AT391" s="93">
        <f t="shared" si="416"/>
        <v>0</v>
      </c>
      <c r="AU391" s="93">
        <f t="shared" si="416"/>
        <v>0</v>
      </c>
      <c r="AV391" s="93">
        <f t="shared" si="416"/>
        <v>0</v>
      </c>
      <c r="AW391" s="93">
        <f t="shared" si="416"/>
        <v>0</v>
      </c>
      <c r="AX391" s="93">
        <f t="shared" si="416"/>
        <v>0</v>
      </c>
      <c r="AY391" s="93">
        <f t="shared" si="416"/>
        <v>0</v>
      </c>
      <c r="AZ391" s="93">
        <f t="shared" si="416"/>
        <v>0</v>
      </c>
      <c r="BA391" s="93">
        <f t="shared" si="416"/>
        <v>0</v>
      </c>
      <c r="BB391" s="114">
        <f>SUM(AP391:BA391)</f>
        <v>0</v>
      </c>
      <c r="BC391" s="119"/>
    </row>
    <row r="392" spans="2:55" x14ac:dyDescent="0.3">
      <c r="B392" s="120" t="s">
        <v>635</v>
      </c>
      <c r="C392" s="99"/>
      <c r="D392" s="98"/>
      <c r="E392" s="99"/>
      <c r="F392" s="98"/>
      <c r="G392" s="99"/>
      <c r="H392" s="98"/>
      <c r="I392" s="99"/>
      <c r="J392" s="98"/>
      <c r="K392" s="99"/>
      <c r="L392" s="98"/>
      <c r="M392" s="99"/>
      <c r="N392" s="98"/>
      <c r="O392" s="99"/>
      <c r="P392" s="98"/>
      <c r="Q392" s="99"/>
      <c r="R392" s="98"/>
      <c r="S392" s="99"/>
      <c r="T392" s="98"/>
      <c r="U392" s="99"/>
      <c r="V392" s="98"/>
      <c r="W392" s="99"/>
      <c r="X392" s="98"/>
      <c r="Y392" s="99"/>
      <c r="Z392" s="98"/>
      <c r="AA392" s="117"/>
      <c r="AB392" s="97"/>
      <c r="AC392" s="97"/>
      <c r="AD392" s="97"/>
      <c r="AE392" s="97"/>
      <c r="AF392" s="97"/>
      <c r="AG392" s="97"/>
      <c r="AH392" s="97"/>
      <c r="AI392" s="97"/>
      <c r="AJ392" s="97"/>
      <c r="AK392" s="97"/>
      <c r="AL392" s="97"/>
      <c r="AM392" s="97"/>
      <c r="AN392" s="97"/>
      <c r="AO392" s="117"/>
      <c r="AP392" s="97"/>
      <c r="AQ392" s="97"/>
      <c r="AR392" s="97"/>
      <c r="AS392" s="97"/>
      <c r="AT392" s="97"/>
      <c r="AU392" s="97"/>
      <c r="AV392" s="97"/>
      <c r="AW392" s="97"/>
      <c r="AX392" s="97"/>
      <c r="AY392" s="97"/>
      <c r="AZ392" s="97"/>
      <c r="BA392" s="97"/>
      <c r="BB392" s="117"/>
      <c r="BC392" s="97"/>
    </row>
    <row r="393" spans="2:55" s="108" customFormat="1" ht="12" x14ac:dyDescent="0.25">
      <c r="B393" s="91" t="s">
        <v>631</v>
      </c>
      <c r="C393" s="116">
        <f>C276</f>
        <v>0</v>
      </c>
      <c r="D393" s="115"/>
      <c r="E393" s="116">
        <f>E276</f>
        <v>0</v>
      </c>
      <c r="F393" s="115"/>
      <c r="G393" s="116">
        <f>G276</f>
        <v>0</v>
      </c>
      <c r="H393" s="115"/>
      <c r="I393" s="116">
        <f>I276</f>
        <v>0</v>
      </c>
      <c r="J393" s="115"/>
      <c r="K393" s="116">
        <f>K276</f>
        <v>0</v>
      </c>
      <c r="L393" s="115"/>
      <c r="M393" s="116">
        <f>M276</f>
        <v>0</v>
      </c>
      <c r="N393" s="115"/>
      <c r="O393" s="116">
        <f>O276</f>
        <v>0</v>
      </c>
      <c r="P393" s="115"/>
      <c r="Q393" s="116">
        <f>Q276</f>
        <v>0</v>
      </c>
      <c r="R393" s="115"/>
      <c r="S393" s="116">
        <f>S276</f>
        <v>0</v>
      </c>
      <c r="T393" s="115"/>
      <c r="U393" s="116">
        <f>U276</f>
        <v>0</v>
      </c>
      <c r="V393" s="115"/>
      <c r="W393" s="116">
        <f>W276</f>
        <v>0</v>
      </c>
      <c r="X393" s="115"/>
      <c r="Y393" s="116">
        <f>Y276</f>
        <v>0</v>
      </c>
      <c r="Z393" s="115"/>
      <c r="AA393" s="93">
        <f t="shared" ref="AA393:AH393" si="417">AA276</f>
        <v>0</v>
      </c>
      <c r="AB393" s="93">
        <f t="shared" si="417"/>
        <v>0</v>
      </c>
      <c r="AC393" s="93">
        <f t="shared" si="417"/>
        <v>0</v>
      </c>
      <c r="AD393" s="93">
        <f t="shared" si="417"/>
        <v>0</v>
      </c>
      <c r="AE393" s="93">
        <f t="shared" si="417"/>
        <v>0</v>
      </c>
      <c r="AF393" s="93">
        <f t="shared" si="417"/>
        <v>0</v>
      </c>
      <c r="AG393" s="93">
        <f t="shared" si="417"/>
        <v>0</v>
      </c>
      <c r="AH393" s="93">
        <f t="shared" si="417"/>
        <v>0</v>
      </c>
      <c r="AI393" s="93"/>
      <c r="AJ393" s="93" t="e">
        <f>AJ276</f>
        <v>#REF!</v>
      </c>
      <c r="AK393" s="93" t="e">
        <f>AK276</f>
        <v>#REF!</v>
      </c>
      <c r="AL393" s="93" t="e">
        <f>AL276</f>
        <v>#REF!</v>
      </c>
      <c r="AM393" s="93" t="e">
        <f>AM276</f>
        <v>#REF!</v>
      </c>
      <c r="AN393" s="93" t="e">
        <f>AN276</f>
        <v>#REF!</v>
      </c>
      <c r="AO393" s="114" t="e">
        <f>SUM(AB393:AN393)</f>
        <v>#REF!</v>
      </c>
      <c r="AP393" s="93" t="e">
        <f t="shared" ref="AP393:BA393" si="418">AP276</f>
        <v>#REF!</v>
      </c>
      <c r="AQ393" s="93" t="e">
        <f t="shared" si="418"/>
        <v>#REF!</v>
      </c>
      <c r="AR393" s="93" t="e">
        <f t="shared" si="418"/>
        <v>#REF!</v>
      </c>
      <c r="AS393" s="93" t="e">
        <f t="shared" si="418"/>
        <v>#REF!</v>
      </c>
      <c r="AT393" s="93" t="e">
        <f t="shared" si="418"/>
        <v>#REF!</v>
      </c>
      <c r="AU393" s="93" t="e">
        <f t="shared" si="418"/>
        <v>#REF!</v>
      </c>
      <c r="AV393" s="93" t="e">
        <f t="shared" si="418"/>
        <v>#REF!</v>
      </c>
      <c r="AW393" s="93" t="e">
        <f t="shared" si="418"/>
        <v>#REF!</v>
      </c>
      <c r="AX393" s="93" t="e">
        <f t="shared" si="418"/>
        <v>#REF!</v>
      </c>
      <c r="AY393" s="93" t="e">
        <f t="shared" si="418"/>
        <v>#REF!</v>
      </c>
      <c r="AZ393" s="93" t="e">
        <f t="shared" si="418"/>
        <v>#REF!</v>
      </c>
      <c r="BA393" s="93" t="e">
        <f t="shared" si="418"/>
        <v>#REF!</v>
      </c>
      <c r="BB393" s="114" t="e">
        <f>SUM(AP393:BA393)</f>
        <v>#REF!</v>
      </c>
      <c r="BC393" s="93"/>
    </row>
    <row r="394" spans="2:55" s="108" customFormat="1" ht="12" x14ac:dyDescent="0.25">
      <c r="B394" s="87" t="s">
        <v>608</v>
      </c>
      <c r="C394" s="95">
        <f>C288</f>
        <v>0</v>
      </c>
      <c r="D394" s="94"/>
      <c r="E394" s="95">
        <f>E288</f>
        <v>0</v>
      </c>
      <c r="F394" s="94"/>
      <c r="G394" s="95">
        <f>G288</f>
        <v>0</v>
      </c>
      <c r="H394" s="94"/>
      <c r="I394" s="95">
        <f>I288</f>
        <v>0</v>
      </c>
      <c r="J394" s="94"/>
      <c r="K394" s="95">
        <f>K288</f>
        <v>0</v>
      </c>
      <c r="L394" s="94"/>
      <c r="M394" s="95">
        <f>M288</f>
        <v>0</v>
      </c>
      <c r="N394" s="94"/>
      <c r="O394" s="95">
        <f>O288</f>
        <v>0</v>
      </c>
      <c r="P394" s="94"/>
      <c r="Q394" s="95">
        <f>Q288</f>
        <v>0</v>
      </c>
      <c r="R394" s="94"/>
      <c r="S394" s="95">
        <f>S288</f>
        <v>0</v>
      </c>
      <c r="T394" s="94"/>
      <c r="U394" s="95">
        <f>U288</f>
        <v>0</v>
      </c>
      <c r="V394" s="94"/>
      <c r="W394" s="95">
        <f>W288</f>
        <v>0</v>
      </c>
      <c r="X394" s="94"/>
      <c r="Y394" s="95">
        <f>Y288</f>
        <v>0</v>
      </c>
      <c r="Z394" s="94"/>
      <c r="AA394" s="93">
        <f t="shared" ref="AA394:AH394" si="419">AA288</f>
        <v>0</v>
      </c>
      <c r="AB394" s="93">
        <f t="shared" si="419"/>
        <v>0</v>
      </c>
      <c r="AC394" s="93">
        <f t="shared" si="419"/>
        <v>0</v>
      </c>
      <c r="AD394" s="93">
        <f t="shared" si="419"/>
        <v>0</v>
      </c>
      <c r="AE394" s="93">
        <f t="shared" si="419"/>
        <v>0</v>
      </c>
      <c r="AF394" s="93">
        <f t="shared" si="419"/>
        <v>0</v>
      </c>
      <c r="AG394" s="93">
        <f t="shared" si="419"/>
        <v>0</v>
      </c>
      <c r="AH394" s="93">
        <f t="shared" si="419"/>
        <v>0</v>
      </c>
      <c r="AI394" s="93"/>
      <c r="AJ394" s="93" t="e">
        <f>AJ288</f>
        <v>#REF!</v>
      </c>
      <c r="AK394" s="93" t="e">
        <f>AK288</f>
        <v>#REF!</v>
      </c>
      <c r="AL394" s="93" t="e">
        <f>AL288</f>
        <v>#REF!</v>
      </c>
      <c r="AM394" s="93" t="e">
        <f>AM288</f>
        <v>#REF!</v>
      </c>
      <c r="AN394" s="93" t="e">
        <f>AN288</f>
        <v>#REF!</v>
      </c>
      <c r="AO394" s="114" t="e">
        <f>SUM(AB394:AN394)</f>
        <v>#REF!</v>
      </c>
      <c r="AP394" s="93" t="e">
        <f t="shared" ref="AP394:BA394" si="420">AP288</f>
        <v>#REF!</v>
      </c>
      <c r="AQ394" s="93" t="e">
        <f t="shared" si="420"/>
        <v>#REF!</v>
      </c>
      <c r="AR394" s="93" t="e">
        <f t="shared" si="420"/>
        <v>#REF!</v>
      </c>
      <c r="AS394" s="93" t="e">
        <f t="shared" si="420"/>
        <v>#REF!</v>
      </c>
      <c r="AT394" s="93" t="e">
        <f t="shared" si="420"/>
        <v>#REF!</v>
      </c>
      <c r="AU394" s="93" t="e">
        <f t="shared" si="420"/>
        <v>#REF!</v>
      </c>
      <c r="AV394" s="93" t="e">
        <f t="shared" si="420"/>
        <v>#REF!</v>
      </c>
      <c r="AW394" s="93" t="e">
        <f t="shared" si="420"/>
        <v>#REF!</v>
      </c>
      <c r="AX394" s="93" t="e">
        <f t="shared" si="420"/>
        <v>#REF!</v>
      </c>
      <c r="AY394" s="93" t="e">
        <f t="shared" si="420"/>
        <v>#REF!</v>
      </c>
      <c r="AZ394" s="93" t="e">
        <f t="shared" si="420"/>
        <v>#REF!</v>
      </c>
      <c r="BA394" s="93" t="e">
        <f t="shared" si="420"/>
        <v>#REF!</v>
      </c>
      <c r="BB394" s="114" t="e">
        <f>SUM(AP394:BA394)</f>
        <v>#REF!</v>
      </c>
      <c r="BC394" s="119"/>
    </row>
    <row r="395" spans="2:55" x14ac:dyDescent="0.3">
      <c r="B395" s="118" t="s">
        <v>636</v>
      </c>
      <c r="C395" s="99"/>
      <c r="D395" s="98"/>
      <c r="E395" s="99"/>
      <c r="F395" s="98"/>
      <c r="G395" s="99"/>
      <c r="H395" s="98"/>
      <c r="I395" s="99"/>
      <c r="J395" s="98"/>
      <c r="K395" s="99"/>
      <c r="L395" s="98"/>
      <c r="M395" s="99"/>
      <c r="N395" s="98"/>
      <c r="O395" s="99"/>
      <c r="P395" s="98"/>
      <c r="Q395" s="99"/>
      <c r="R395" s="98"/>
      <c r="S395" s="99"/>
      <c r="T395" s="98"/>
      <c r="U395" s="99"/>
      <c r="V395" s="98"/>
      <c r="W395" s="99"/>
      <c r="X395" s="98"/>
      <c r="Y395" s="99"/>
      <c r="Z395" s="98"/>
      <c r="AA395" s="117"/>
      <c r="AB395" s="97"/>
      <c r="AC395" s="97"/>
      <c r="AD395" s="97"/>
      <c r="AE395" s="97"/>
      <c r="AF395" s="97"/>
      <c r="AG395" s="97"/>
      <c r="AH395" s="97"/>
      <c r="AI395" s="97"/>
      <c r="AJ395" s="97"/>
      <c r="AK395" s="97"/>
      <c r="AL395" s="97"/>
      <c r="AM395" s="97"/>
      <c r="AN395" s="97"/>
      <c r="AO395" s="117"/>
      <c r="AP395" s="97"/>
      <c r="AQ395" s="97"/>
      <c r="AR395" s="97"/>
      <c r="AS395" s="97"/>
      <c r="AT395" s="97"/>
      <c r="AU395" s="97"/>
      <c r="AV395" s="97"/>
      <c r="AW395" s="97"/>
      <c r="AX395" s="97"/>
      <c r="AY395" s="97"/>
      <c r="AZ395" s="97"/>
      <c r="BA395" s="97"/>
      <c r="BB395" s="117"/>
      <c r="BC395" s="97"/>
    </row>
    <row r="396" spans="2:55" s="108" customFormat="1" ht="12" x14ac:dyDescent="0.25">
      <c r="B396" s="91" t="s">
        <v>631</v>
      </c>
      <c r="C396" s="116">
        <f>C298</f>
        <v>0</v>
      </c>
      <c r="D396" s="115"/>
      <c r="E396" s="116">
        <f>E298</f>
        <v>0</v>
      </c>
      <c r="F396" s="115"/>
      <c r="G396" s="116">
        <f>G298</f>
        <v>0</v>
      </c>
      <c r="H396" s="115"/>
      <c r="I396" s="116">
        <f>I298</f>
        <v>0</v>
      </c>
      <c r="J396" s="115"/>
      <c r="K396" s="116">
        <f>K298</f>
        <v>0</v>
      </c>
      <c r="L396" s="115"/>
      <c r="M396" s="116">
        <f>M298</f>
        <v>0</v>
      </c>
      <c r="N396" s="115"/>
      <c r="O396" s="116">
        <f>O298</f>
        <v>0</v>
      </c>
      <c r="P396" s="115"/>
      <c r="Q396" s="116">
        <f>Q298</f>
        <v>0</v>
      </c>
      <c r="R396" s="115"/>
      <c r="S396" s="116">
        <f>S298</f>
        <v>0</v>
      </c>
      <c r="T396" s="115"/>
      <c r="U396" s="116">
        <f>U298</f>
        <v>0</v>
      </c>
      <c r="V396" s="115"/>
      <c r="W396" s="116">
        <f>W298</f>
        <v>0</v>
      </c>
      <c r="X396" s="115"/>
      <c r="Y396" s="116">
        <f>Y298</f>
        <v>0</v>
      </c>
      <c r="Z396" s="115"/>
      <c r="AA396" s="93">
        <f t="shared" ref="AA396:AH396" si="421">AA298</f>
        <v>0</v>
      </c>
      <c r="AB396" s="93">
        <f t="shared" si="421"/>
        <v>0</v>
      </c>
      <c r="AC396" s="93">
        <f t="shared" si="421"/>
        <v>0</v>
      </c>
      <c r="AD396" s="93">
        <f t="shared" si="421"/>
        <v>0</v>
      </c>
      <c r="AE396" s="93">
        <f t="shared" si="421"/>
        <v>0</v>
      </c>
      <c r="AF396" s="93">
        <f t="shared" si="421"/>
        <v>0</v>
      </c>
      <c r="AG396" s="93">
        <f t="shared" si="421"/>
        <v>0</v>
      </c>
      <c r="AH396" s="93">
        <f t="shared" si="421"/>
        <v>0</v>
      </c>
      <c r="AI396" s="93"/>
      <c r="AJ396" s="93" t="e">
        <f>AJ298</f>
        <v>#REF!</v>
      </c>
      <c r="AK396" s="93" t="e">
        <f>AK298</f>
        <v>#REF!</v>
      </c>
      <c r="AL396" s="93" t="e">
        <f>AL298</f>
        <v>#REF!</v>
      </c>
      <c r="AM396" s="93" t="e">
        <f>AM298</f>
        <v>#REF!</v>
      </c>
      <c r="AN396" s="93" t="e">
        <f>AN298</f>
        <v>#REF!</v>
      </c>
      <c r="AO396" s="114" t="e">
        <f>SUM(AB396:AN396)</f>
        <v>#REF!</v>
      </c>
      <c r="AP396" s="93" t="e">
        <f t="shared" ref="AP396:BA396" si="422">AP298</f>
        <v>#REF!</v>
      </c>
      <c r="AQ396" s="93" t="e">
        <f t="shared" si="422"/>
        <v>#REF!</v>
      </c>
      <c r="AR396" s="93" t="e">
        <f t="shared" si="422"/>
        <v>#REF!</v>
      </c>
      <c r="AS396" s="93" t="e">
        <f t="shared" si="422"/>
        <v>#REF!</v>
      </c>
      <c r="AT396" s="93" t="e">
        <f t="shared" si="422"/>
        <v>#REF!</v>
      </c>
      <c r="AU396" s="93" t="e">
        <f t="shared" si="422"/>
        <v>#REF!</v>
      </c>
      <c r="AV396" s="93" t="e">
        <f t="shared" si="422"/>
        <v>#REF!</v>
      </c>
      <c r="AW396" s="93" t="e">
        <f t="shared" si="422"/>
        <v>#REF!</v>
      </c>
      <c r="AX396" s="93" t="e">
        <f t="shared" si="422"/>
        <v>#REF!</v>
      </c>
      <c r="AY396" s="93" t="e">
        <f t="shared" si="422"/>
        <v>#REF!</v>
      </c>
      <c r="AZ396" s="93" t="e">
        <f t="shared" si="422"/>
        <v>#REF!</v>
      </c>
      <c r="BA396" s="93" t="e">
        <f t="shared" si="422"/>
        <v>#REF!</v>
      </c>
      <c r="BB396" s="114" t="e">
        <f>SUM(AP396:BA396)</f>
        <v>#REF!</v>
      </c>
      <c r="BC396" s="93"/>
    </row>
    <row r="397" spans="2:55" s="108" customFormat="1" ht="12" x14ac:dyDescent="0.25">
      <c r="B397" s="113" t="s">
        <v>608</v>
      </c>
      <c r="C397" s="112">
        <f>C310</f>
        <v>0</v>
      </c>
      <c r="D397" s="111"/>
      <c r="E397" s="112">
        <f>E310</f>
        <v>0</v>
      </c>
      <c r="F397" s="111"/>
      <c r="G397" s="112">
        <f>G310</f>
        <v>0</v>
      </c>
      <c r="H397" s="111"/>
      <c r="I397" s="112">
        <f>I310</f>
        <v>0</v>
      </c>
      <c r="J397" s="111"/>
      <c r="K397" s="112">
        <f>K310</f>
        <v>0</v>
      </c>
      <c r="L397" s="111"/>
      <c r="M397" s="112">
        <f>M310</f>
        <v>0</v>
      </c>
      <c r="N397" s="111"/>
      <c r="O397" s="112">
        <f>O310</f>
        <v>0</v>
      </c>
      <c r="P397" s="111"/>
      <c r="Q397" s="112">
        <f>Q310</f>
        <v>0</v>
      </c>
      <c r="R397" s="111"/>
      <c r="S397" s="112">
        <f>S310</f>
        <v>0</v>
      </c>
      <c r="T397" s="111"/>
      <c r="U397" s="112">
        <f>U310</f>
        <v>0</v>
      </c>
      <c r="V397" s="111"/>
      <c r="W397" s="112">
        <f>W310</f>
        <v>0</v>
      </c>
      <c r="X397" s="111"/>
      <c r="Y397" s="112">
        <f>Y310</f>
        <v>0</v>
      </c>
      <c r="Z397" s="111"/>
      <c r="AA397" s="109">
        <f t="shared" ref="AA397:AH397" si="423">AA310</f>
        <v>0</v>
      </c>
      <c r="AB397" s="109">
        <f t="shared" si="423"/>
        <v>0</v>
      </c>
      <c r="AC397" s="109">
        <f t="shared" si="423"/>
        <v>0</v>
      </c>
      <c r="AD397" s="109">
        <f t="shared" si="423"/>
        <v>0</v>
      </c>
      <c r="AE397" s="109">
        <f t="shared" si="423"/>
        <v>0</v>
      </c>
      <c r="AF397" s="109">
        <f t="shared" si="423"/>
        <v>0</v>
      </c>
      <c r="AG397" s="109">
        <f t="shared" si="423"/>
        <v>0</v>
      </c>
      <c r="AH397" s="109">
        <f t="shared" si="423"/>
        <v>0</v>
      </c>
      <c r="AI397" s="109"/>
      <c r="AJ397" s="109" t="e">
        <f>AJ310</f>
        <v>#REF!</v>
      </c>
      <c r="AK397" s="109" t="e">
        <f>AK310</f>
        <v>#REF!</v>
      </c>
      <c r="AL397" s="109" t="e">
        <f>AL310</f>
        <v>#REF!</v>
      </c>
      <c r="AM397" s="109" t="e">
        <f>AM310</f>
        <v>#REF!</v>
      </c>
      <c r="AN397" s="109" t="e">
        <f>AN310</f>
        <v>#REF!</v>
      </c>
      <c r="AO397" s="110" t="e">
        <f>SUM(AB397:AN397)</f>
        <v>#REF!</v>
      </c>
      <c r="AP397" s="109" t="e">
        <f t="shared" ref="AP397:BA397" si="424">AP310</f>
        <v>#REF!</v>
      </c>
      <c r="AQ397" s="109" t="e">
        <f t="shared" si="424"/>
        <v>#REF!</v>
      </c>
      <c r="AR397" s="109" t="e">
        <f t="shared" si="424"/>
        <v>#REF!</v>
      </c>
      <c r="AS397" s="109" t="e">
        <f t="shared" si="424"/>
        <v>#REF!</v>
      </c>
      <c r="AT397" s="109" t="e">
        <f t="shared" si="424"/>
        <v>#REF!</v>
      </c>
      <c r="AU397" s="109" t="e">
        <f t="shared" si="424"/>
        <v>#REF!</v>
      </c>
      <c r="AV397" s="109" t="e">
        <f t="shared" si="424"/>
        <v>#REF!</v>
      </c>
      <c r="AW397" s="109" t="e">
        <f t="shared" si="424"/>
        <v>#REF!</v>
      </c>
      <c r="AX397" s="109" t="e">
        <f t="shared" si="424"/>
        <v>#REF!</v>
      </c>
      <c r="AY397" s="109" t="e">
        <f t="shared" si="424"/>
        <v>#REF!</v>
      </c>
      <c r="AZ397" s="109" t="e">
        <f t="shared" si="424"/>
        <v>#REF!</v>
      </c>
      <c r="BA397" s="109" t="e">
        <f t="shared" si="424"/>
        <v>#REF!</v>
      </c>
      <c r="BB397" s="110" t="e">
        <f>SUM(AP397:BA397)</f>
        <v>#REF!</v>
      </c>
      <c r="BC397" s="109"/>
    </row>
    <row r="398" spans="2:55" x14ac:dyDescent="0.3">
      <c r="B398" s="118" t="s">
        <v>637</v>
      </c>
      <c r="C398" s="99"/>
      <c r="D398" s="98"/>
      <c r="E398" s="99"/>
      <c r="F398" s="98"/>
      <c r="G398" s="99"/>
      <c r="H398" s="98"/>
      <c r="I398" s="99"/>
      <c r="J398" s="98"/>
      <c r="K398" s="99"/>
      <c r="L398" s="98"/>
      <c r="M398" s="99"/>
      <c r="N398" s="98"/>
      <c r="O398" s="99"/>
      <c r="P398" s="98"/>
      <c r="Q398" s="99"/>
      <c r="R398" s="98"/>
      <c r="S398" s="99"/>
      <c r="T398" s="98"/>
      <c r="U398" s="99"/>
      <c r="V398" s="98"/>
      <c r="W398" s="99"/>
      <c r="X398" s="98"/>
      <c r="Y398" s="99"/>
      <c r="Z398" s="98"/>
      <c r="AA398" s="117"/>
      <c r="AB398" s="97"/>
      <c r="AC398" s="97"/>
      <c r="AD398" s="97"/>
      <c r="AE398" s="97"/>
      <c r="AF398" s="97"/>
      <c r="AG398" s="97"/>
      <c r="AH398" s="97"/>
      <c r="AI398" s="97"/>
      <c r="AJ398" s="97"/>
      <c r="AK398" s="97"/>
      <c r="AL398" s="97"/>
      <c r="AM398" s="97"/>
      <c r="AN398" s="97"/>
      <c r="AO398" s="117"/>
      <c r="AP398" s="97"/>
      <c r="AQ398" s="97"/>
      <c r="AR398" s="97"/>
      <c r="AS398" s="97"/>
      <c r="AT398" s="97"/>
      <c r="AU398" s="97"/>
      <c r="AV398" s="97"/>
      <c r="AW398" s="97"/>
      <c r="AX398" s="97"/>
      <c r="AY398" s="97"/>
      <c r="AZ398" s="97"/>
      <c r="BA398" s="97"/>
      <c r="BB398" s="117"/>
      <c r="BC398" s="97"/>
    </row>
    <row r="399" spans="2:55" s="108" customFormat="1" ht="12" x14ac:dyDescent="0.25">
      <c r="B399" s="91" t="s">
        <v>631</v>
      </c>
      <c r="C399" s="116">
        <f>C320</f>
        <v>0</v>
      </c>
      <c r="D399" s="115"/>
      <c r="E399" s="116">
        <f>E320</f>
        <v>0</v>
      </c>
      <c r="F399" s="115"/>
      <c r="G399" s="116">
        <f>G320</f>
        <v>0</v>
      </c>
      <c r="H399" s="115"/>
      <c r="I399" s="116">
        <f>I320</f>
        <v>0</v>
      </c>
      <c r="J399" s="115"/>
      <c r="K399" s="116">
        <f>K320</f>
        <v>0</v>
      </c>
      <c r="L399" s="115"/>
      <c r="M399" s="116">
        <f>M320</f>
        <v>0</v>
      </c>
      <c r="N399" s="115"/>
      <c r="O399" s="116">
        <f>O320</f>
        <v>0</v>
      </c>
      <c r="P399" s="115"/>
      <c r="Q399" s="116">
        <f>Q320</f>
        <v>0</v>
      </c>
      <c r="R399" s="115"/>
      <c r="S399" s="116">
        <f>S320</f>
        <v>0</v>
      </c>
      <c r="T399" s="115"/>
      <c r="U399" s="116">
        <f>U320</f>
        <v>0</v>
      </c>
      <c r="V399" s="115"/>
      <c r="W399" s="116">
        <f>W320</f>
        <v>0</v>
      </c>
      <c r="X399" s="115"/>
      <c r="Y399" s="116">
        <f>Y320</f>
        <v>0</v>
      </c>
      <c r="Z399" s="115"/>
      <c r="AA399" s="93">
        <f t="shared" ref="AA399:AH399" si="425">AA320</f>
        <v>0</v>
      </c>
      <c r="AB399" s="93">
        <f t="shared" si="425"/>
        <v>0</v>
      </c>
      <c r="AC399" s="93">
        <f t="shared" si="425"/>
        <v>0</v>
      </c>
      <c r="AD399" s="93">
        <f t="shared" si="425"/>
        <v>0</v>
      </c>
      <c r="AE399" s="93">
        <f t="shared" si="425"/>
        <v>0</v>
      </c>
      <c r="AF399" s="93">
        <f t="shared" si="425"/>
        <v>0</v>
      </c>
      <c r="AG399" s="93">
        <f t="shared" si="425"/>
        <v>0</v>
      </c>
      <c r="AH399" s="93">
        <f t="shared" si="425"/>
        <v>0</v>
      </c>
      <c r="AI399" s="93"/>
      <c r="AJ399" s="93">
        <f>AJ320</f>
        <v>0</v>
      </c>
      <c r="AK399" s="93">
        <f>AK320</f>
        <v>0</v>
      </c>
      <c r="AL399" s="93">
        <f>AL320</f>
        <v>0</v>
      </c>
      <c r="AM399" s="93">
        <f>AM320</f>
        <v>0</v>
      </c>
      <c r="AN399" s="93">
        <f>AN320</f>
        <v>0</v>
      </c>
      <c r="AO399" s="114">
        <f>SUM(AB399:AN399)</f>
        <v>0</v>
      </c>
      <c r="AP399" s="93">
        <f t="shared" ref="AP399:BA399" si="426">AP320</f>
        <v>0</v>
      </c>
      <c r="AQ399" s="93">
        <f t="shared" si="426"/>
        <v>0</v>
      </c>
      <c r="AR399" s="93">
        <f t="shared" si="426"/>
        <v>0</v>
      </c>
      <c r="AS399" s="93">
        <f t="shared" si="426"/>
        <v>0</v>
      </c>
      <c r="AT399" s="93">
        <f t="shared" si="426"/>
        <v>0</v>
      </c>
      <c r="AU399" s="93">
        <f t="shared" si="426"/>
        <v>0</v>
      </c>
      <c r="AV399" s="93">
        <f t="shared" si="426"/>
        <v>0</v>
      </c>
      <c r="AW399" s="93">
        <f t="shared" si="426"/>
        <v>0</v>
      </c>
      <c r="AX399" s="93">
        <f t="shared" si="426"/>
        <v>0</v>
      </c>
      <c r="AY399" s="93">
        <f t="shared" si="426"/>
        <v>0</v>
      </c>
      <c r="AZ399" s="93">
        <f t="shared" si="426"/>
        <v>0</v>
      </c>
      <c r="BA399" s="93">
        <f t="shared" si="426"/>
        <v>0</v>
      </c>
      <c r="BB399" s="114">
        <f>SUM(AP399:BA399)</f>
        <v>0</v>
      </c>
      <c r="BC399" s="93"/>
    </row>
    <row r="400" spans="2:55" s="108" customFormat="1" ht="12" x14ac:dyDescent="0.25">
      <c r="B400" s="113" t="s">
        <v>608</v>
      </c>
      <c r="C400" s="112">
        <f>C332</f>
        <v>0</v>
      </c>
      <c r="D400" s="111"/>
      <c r="E400" s="112">
        <f>E332</f>
        <v>0</v>
      </c>
      <c r="F400" s="111"/>
      <c r="G400" s="112">
        <f>G332</f>
        <v>0</v>
      </c>
      <c r="H400" s="111"/>
      <c r="I400" s="112">
        <f>I332</f>
        <v>0</v>
      </c>
      <c r="J400" s="111"/>
      <c r="K400" s="112">
        <f>K332</f>
        <v>0</v>
      </c>
      <c r="L400" s="111"/>
      <c r="M400" s="112">
        <f>M332</f>
        <v>0</v>
      </c>
      <c r="N400" s="111"/>
      <c r="O400" s="112">
        <f>O332</f>
        <v>0</v>
      </c>
      <c r="P400" s="111"/>
      <c r="Q400" s="112">
        <f>Q332</f>
        <v>0</v>
      </c>
      <c r="R400" s="111"/>
      <c r="S400" s="112">
        <f>S332</f>
        <v>0</v>
      </c>
      <c r="T400" s="111"/>
      <c r="U400" s="112">
        <f>U332</f>
        <v>0</v>
      </c>
      <c r="V400" s="111"/>
      <c r="W400" s="112">
        <f>W332</f>
        <v>0</v>
      </c>
      <c r="X400" s="111"/>
      <c r="Y400" s="112">
        <f>Y332</f>
        <v>0</v>
      </c>
      <c r="Z400" s="111"/>
      <c r="AA400" s="109">
        <f t="shared" ref="AA400:AH400" si="427">AA332</f>
        <v>0</v>
      </c>
      <c r="AB400" s="109">
        <f t="shared" si="427"/>
        <v>0</v>
      </c>
      <c r="AC400" s="109">
        <f t="shared" si="427"/>
        <v>0</v>
      </c>
      <c r="AD400" s="109">
        <f t="shared" si="427"/>
        <v>0</v>
      </c>
      <c r="AE400" s="109">
        <f t="shared" si="427"/>
        <v>0</v>
      </c>
      <c r="AF400" s="109">
        <f t="shared" si="427"/>
        <v>0</v>
      </c>
      <c r="AG400" s="109">
        <f t="shared" si="427"/>
        <v>0</v>
      </c>
      <c r="AH400" s="109">
        <f t="shared" si="427"/>
        <v>0</v>
      </c>
      <c r="AI400" s="109"/>
      <c r="AJ400" s="109">
        <f>AJ332</f>
        <v>0</v>
      </c>
      <c r="AK400" s="109">
        <f>AK332</f>
        <v>0</v>
      </c>
      <c r="AL400" s="109">
        <f>AL332</f>
        <v>0</v>
      </c>
      <c r="AM400" s="109">
        <f>AM332</f>
        <v>0</v>
      </c>
      <c r="AN400" s="109">
        <f>AN332</f>
        <v>0</v>
      </c>
      <c r="AO400" s="110">
        <f>SUM(AB400:AN400)</f>
        <v>0</v>
      </c>
      <c r="AP400" s="109">
        <f t="shared" ref="AP400:BA400" si="428">AP332</f>
        <v>0</v>
      </c>
      <c r="AQ400" s="109">
        <f t="shared" si="428"/>
        <v>0</v>
      </c>
      <c r="AR400" s="109">
        <f t="shared" si="428"/>
        <v>0</v>
      </c>
      <c r="AS400" s="109">
        <f t="shared" si="428"/>
        <v>0</v>
      </c>
      <c r="AT400" s="109">
        <f t="shared" si="428"/>
        <v>0</v>
      </c>
      <c r="AU400" s="109">
        <f t="shared" si="428"/>
        <v>0</v>
      </c>
      <c r="AV400" s="109">
        <f t="shared" si="428"/>
        <v>0</v>
      </c>
      <c r="AW400" s="109">
        <f t="shared" si="428"/>
        <v>0</v>
      </c>
      <c r="AX400" s="109">
        <f t="shared" si="428"/>
        <v>0</v>
      </c>
      <c r="AY400" s="109">
        <f t="shared" si="428"/>
        <v>0</v>
      </c>
      <c r="AZ400" s="109">
        <f t="shared" si="428"/>
        <v>0</v>
      </c>
      <c r="BA400" s="109">
        <f t="shared" si="428"/>
        <v>0</v>
      </c>
      <c r="BB400" s="110">
        <f>SUM(AP400:BA400)</f>
        <v>0</v>
      </c>
      <c r="BC400" s="109"/>
    </row>
    <row r="401" spans="1:55" x14ac:dyDescent="0.3">
      <c r="B401" s="118" t="s">
        <v>638</v>
      </c>
      <c r="C401" s="99"/>
      <c r="D401" s="98"/>
      <c r="E401" s="99"/>
      <c r="F401" s="98"/>
      <c r="G401" s="99"/>
      <c r="H401" s="98"/>
      <c r="I401" s="99"/>
      <c r="J401" s="98"/>
      <c r="K401" s="99"/>
      <c r="L401" s="98"/>
      <c r="M401" s="99"/>
      <c r="N401" s="98"/>
      <c r="O401" s="99"/>
      <c r="P401" s="98"/>
      <c r="Q401" s="99"/>
      <c r="R401" s="98"/>
      <c r="S401" s="99"/>
      <c r="T401" s="98"/>
      <c r="U401" s="99"/>
      <c r="V401" s="98"/>
      <c r="W401" s="99"/>
      <c r="X401" s="98"/>
      <c r="Y401" s="99"/>
      <c r="Z401" s="98"/>
      <c r="AA401" s="117"/>
      <c r="AB401" s="97"/>
      <c r="AC401" s="97"/>
      <c r="AD401" s="97"/>
      <c r="AE401" s="97"/>
      <c r="AF401" s="97"/>
      <c r="AG401" s="97"/>
      <c r="AH401" s="97"/>
      <c r="AI401" s="97"/>
      <c r="AJ401" s="97"/>
      <c r="AK401" s="97"/>
      <c r="AL401" s="97"/>
      <c r="AM401" s="97"/>
      <c r="AN401" s="97"/>
      <c r="AO401" s="117"/>
      <c r="AP401" s="97"/>
      <c r="AQ401" s="97"/>
      <c r="AR401" s="97"/>
      <c r="AS401" s="97"/>
      <c r="AT401" s="97"/>
      <c r="AU401" s="97"/>
      <c r="AV401" s="97"/>
      <c r="AW401" s="97"/>
      <c r="AX401" s="97"/>
      <c r="AY401" s="97"/>
      <c r="AZ401" s="97"/>
      <c r="BA401" s="97"/>
      <c r="BB401" s="117"/>
      <c r="BC401" s="97"/>
    </row>
    <row r="402" spans="1:55" s="108" customFormat="1" ht="12" x14ac:dyDescent="0.25">
      <c r="B402" s="91" t="s">
        <v>631</v>
      </c>
      <c r="C402" s="116">
        <f>C342</f>
        <v>0</v>
      </c>
      <c r="D402" s="115"/>
      <c r="E402" s="116">
        <f>E342</f>
        <v>0</v>
      </c>
      <c r="F402" s="115"/>
      <c r="G402" s="116">
        <f>G342</f>
        <v>0</v>
      </c>
      <c r="H402" s="115"/>
      <c r="I402" s="116">
        <f>I342</f>
        <v>0</v>
      </c>
      <c r="J402" s="115"/>
      <c r="K402" s="116">
        <f>K342</f>
        <v>0</v>
      </c>
      <c r="L402" s="115"/>
      <c r="M402" s="116">
        <f>M342</f>
        <v>0</v>
      </c>
      <c r="N402" s="115"/>
      <c r="O402" s="116">
        <f>O342</f>
        <v>0</v>
      </c>
      <c r="P402" s="115"/>
      <c r="Q402" s="116">
        <f>Q342</f>
        <v>0</v>
      </c>
      <c r="R402" s="115"/>
      <c r="S402" s="116">
        <f>S342</f>
        <v>0</v>
      </c>
      <c r="T402" s="115"/>
      <c r="U402" s="116">
        <f>U342</f>
        <v>0</v>
      </c>
      <c r="V402" s="115"/>
      <c r="W402" s="116">
        <f>W342</f>
        <v>0</v>
      </c>
      <c r="X402" s="115"/>
      <c r="Y402" s="116">
        <f>Y342</f>
        <v>0</v>
      </c>
      <c r="Z402" s="115"/>
      <c r="AA402" s="93">
        <f t="shared" ref="AA402:AH402" si="429">AA342</f>
        <v>0</v>
      </c>
      <c r="AB402" s="93">
        <f t="shared" si="429"/>
        <v>0</v>
      </c>
      <c r="AC402" s="93">
        <f t="shared" si="429"/>
        <v>0</v>
      </c>
      <c r="AD402" s="93">
        <f t="shared" si="429"/>
        <v>0</v>
      </c>
      <c r="AE402" s="93">
        <f t="shared" si="429"/>
        <v>0</v>
      </c>
      <c r="AF402" s="93">
        <f t="shared" si="429"/>
        <v>0</v>
      </c>
      <c r="AG402" s="93">
        <f t="shared" si="429"/>
        <v>0</v>
      </c>
      <c r="AH402" s="93">
        <f t="shared" si="429"/>
        <v>0</v>
      </c>
      <c r="AI402" s="93"/>
      <c r="AJ402" s="93" t="e">
        <f t="shared" ref="AJ402:BB402" si="430">AJ342</f>
        <v>#REF!</v>
      </c>
      <c r="AK402" s="93" t="e">
        <f t="shared" si="430"/>
        <v>#REF!</v>
      </c>
      <c r="AL402" s="93" t="e">
        <f t="shared" si="430"/>
        <v>#REF!</v>
      </c>
      <c r="AM402" s="93" t="e">
        <f t="shared" si="430"/>
        <v>#REF!</v>
      </c>
      <c r="AN402" s="93" t="e">
        <f t="shared" si="430"/>
        <v>#REF!</v>
      </c>
      <c r="AO402" s="114" t="e">
        <f t="shared" si="430"/>
        <v>#REF!</v>
      </c>
      <c r="AP402" s="93" t="e">
        <f t="shared" si="430"/>
        <v>#REF!</v>
      </c>
      <c r="AQ402" s="93" t="e">
        <f t="shared" si="430"/>
        <v>#REF!</v>
      </c>
      <c r="AR402" s="93" t="e">
        <f t="shared" si="430"/>
        <v>#REF!</v>
      </c>
      <c r="AS402" s="93" t="e">
        <f t="shared" si="430"/>
        <v>#REF!</v>
      </c>
      <c r="AT402" s="93" t="e">
        <f t="shared" si="430"/>
        <v>#REF!</v>
      </c>
      <c r="AU402" s="93" t="e">
        <f t="shared" si="430"/>
        <v>#REF!</v>
      </c>
      <c r="AV402" s="93" t="e">
        <f t="shared" si="430"/>
        <v>#REF!</v>
      </c>
      <c r="AW402" s="93" t="e">
        <f t="shared" si="430"/>
        <v>#REF!</v>
      </c>
      <c r="AX402" s="93" t="e">
        <f t="shared" si="430"/>
        <v>#REF!</v>
      </c>
      <c r="AY402" s="93" t="e">
        <f t="shared" si="430"/>
        <v>#REF!</v>
      </c>
      <c r="AZ402" s="93" t="e">
        <f t="shared" si="430"/>
        <v>#REF!</v>
      </c>
      <c r="BA402" s="93" t="e">
        <f t="shared" si="430"/>
        <v>#REF!</v>
      </c>
      <c r="BB402" s="114" t="e">
        <f t="shared" si="430"/>
        <v>#REF!</v>
      </c>
      <c r="BC402" s="93"/>
    </row>
    <row r="403" spans="1:55" s="108" customFormat="1" ht="12" x14ac:dyDescent="0.25">
      <c r="B403" s="113" t="s">
        <v>608</v>
      </c>
      <c r="C403" s="112">
        <f>C354</f>
        <v>0</v>
      </c>
      <c r="D403" s="111"/>
      <c r="E403" s="112">
        <f>E354</f>
        <v>0</v>
      </c>
      <c r="F403" s="111"/>
      <c r="G403" s="112">
        <f>G354</f>
        <v>0</v>
      </c>
      <c r="H403" s="111"/>
      <c r="I403" s="112">
        <f>I354</f>
        <v>0</v>
      </c>
      <c r="J403" s="111"/>
      <c r="K403" s="112">
        <f>K354</f>
        <v>0</v>
      </c>
      <c r="L403" s="111"/>
      <c r="M403" s="112">
        <f>M354</f>
        <v>0</v>
      </c>
      <c r="N403" s="111"/>
      <c r="O403" s="112">
        <f>O354</f>
        <v>0</v>
      </c>
      <c r="P403" s="111"/>
      <c r="Q403" s="112">
        <f>Q354</f>
        <v>0</v>
      </c>
      <c r="R403" s="111"/>
      <c r="S403" s="112">
        <f>S354</f>
        <v>0</v>
      </c>
      <c r="T403" s="111"/>
      <c r="U403" s="112">
        <f>U354</f>
        <v>0</v>
      </c>
      <c r="V403" s="111"/>
      <c r="W403" s="112">
        <f>W354</f>
        <v>0</v>
      </c>
      <c r="X403" s="111"/>
      <c r="Y403" s="112">
        <f>Y354</f>
        <v>0</v>
      </c>
      <c r="Z403" s="111"/>
      <c r="AA403" s="109">
        <f t="shared" ref="AA403:AH403" si="431">AA354</f>
        <v>0</v>
      </c>
      <c r="AB403" s="109">
        <f t="shared" si="431"/>
        <v>0</v>
      </c>
      <c r="AC403" s="109">
        <f t="shared" si="431"/>
        <v>0</v>
      </c>
      <c r="AD403" s="109">
        <f t="shared" si="431"/>
        <v>0</v>
      </c>
      <c r="AE403" s="109">
        <f t="shared" si="431"/>
        <v>0</v>
      </c>
      <c r="AF403" s="109">
        <f t="shared" si="431"/>
        <v>0</v>
      </c>
      <c r="AG403" s="109">
        <f t="shared" si="431"/>
        <v>0</v>
      </c>
      <c r="AH403" s="109">
        <f t="shared" si="431"/>
        <v>0</v>
      </c>
      <c r="AI403" s="109"/>
      <c r="AJ403" s="109" t="e">
        <f t="shared" ref="AJ403:BB403" si="432">AJ354</f>
        <v>#REF!</v>
      </c>
      <c r="AK403" s="109" t="e">
        <f t="shared" si="432"/>
        <v>#REF!</v>
      </c>
      <c r="AL403" s="109" t="e">
        <f t="shared" si="432"/>
        <v>#REF!</v>
      </c>
      <c r="AM403" s="109" t="e">
        <f t="shared" si="432"/>
        <v>#REF!</v>
      </c>
      <c r="AN403" s="109" t="e">
        <f t="shared" si="432"/>
        <v>#REF!</v>
      </c>
      <c r="AO403" s="110" t="e">
        <f t="shared" si="432"/>
        <v>#REF!</v>
      </c>
      <c r="AP403" s="109" t="e">
        <f t="shared" si="432"/>
        <v>#REF!</v>
      </c>
      <c r="AQ403" s="109" t="e">
        <f t="shared" si="432"/>
        <v>#REF!</v>
      </c>
      <c r="AR403" s="109" t="e">
        <f t="shared" si="432"/>
        <v>#REF!</v>
      </c>
      <c r="AS403" s="109" t="e">
        <f t="shared" si="432"/>
        <v>#REF!</v>
      </c>
      <c r="AT403" s="109" t="e">
        <f t="shared" si="432"/>
        <v>#REF!</v>
      </c>
      <c r="AU403" s="109" t="e">
        <f t="shared" si="432"/>
        <v>#REF!</v>
      </c>
      <c r="AV403" s="109" t="e">
        <f t="shared" si="432"/>
        <v>#REF!</v>
      </c>
      <c r="AW403" s="109" t="e">
        <f t="shared" si="432"/>
        <v>#REF!</v>
      </c>
      <c r="AX403" s="109" t="e">
        <f t="shared" si="432"/>
        <v>#REF!</v>
      </c>
      <c r="AY403" s="109" t="e">
        <f t="shared" si="432"/>
        <v>#REF!</v>
      </c>
      <c r="AZ403" s="109" t="e">
        <f t="shared" si="432"/>
        <v>#REF!</v>
      </c>
      <c r="BA403" s="109" t="e">
        <f t="shared" si="432"/>
        <v>#REF!</v>
      </c>
      <c r="BB403" s="110" t="e">
        <f t="shared" si="432"/>
        <v>#REF!</v>
      </c>
      <c r="BC403" s="109"/>
    </row>
    <row r="404" spans="1:55" x14ac:dyDescent="0.3">
      <c r="B404" s="118" t="s">
        <v>639</v>
      </c>
      <c r="C404" s="99"/>
      <c r="D404" s="98"/>
      <c r="E404" s="99"/>
      <c r="F404" s="98"/>
      <c r="G404" s="99"/>
      <c r="H404" s="98"/>
      <c r="I404" s="99"/>
      <c r="J404" s="98"/>
      <c r="K404" s="99"/>
      <c r="L404" s="98"/>
      <c r="M404" s="99"/>
      <c r="N404" s="98"/>
      <c r="O404" s="99"/>
      <c r="P404" s="98"/>
      <c r="Q404" s="99"/>
      <c r="R404" s="98"/>
      <c r="S404" s="99"/>
      <c r="T404" s="98"/>
      <c r="U404" s="99"/>
      <c r="V404" s="98"/>
      <c r="W404" s="99"/>
      <c r="X404" s="98"/>
      <c r="Y404" s="99"/>
      <c r="Z404" s="98"/>
      <c r="AA404" s="117"/>
      <c r="AB404" s="97"/>
      <c r="AC404" s="97"/>
      <c r="AD404" s="97"/>
      <c r="AE404" s="97"/>
      <c r="AF404" s="97"/>
      <c r="AG404" s="97"/>
      <c r="AH404" s="97"/>
      <c r="AI404" s="97"/>
      <c r="AJ404" s="97"/>
      <c r="AK404" s="97"/>
      <c r="AL404" s="97"/>
      <c r="AM404" s="97"/>
      <c r="AN404" s="97"/>
      <c r="AO404" s="117"/>
      <c r="AP404" s="97"/>
      <c r="AQ404" s="97"/>
      <c r="AR404" s="97"/>
      <c r="AS404" s="97"/>
      <c r="AT404" s="97"/>
      <c r="AU404" s="97"/>
      <c r="AV404" s="97"/>
      <c r="AW404" s="97"/>
      <c r="AX404" s="97"/>
      <c r="AY404" s="97"/>
      <c r="AZ404" s="97"/>
      <c r="BA404" s="97"/>
      <c r="BB404" s="117"/>
      <c r="BC404" s="97"/>
    </row>
    <row r="405" spans="1:55" s="108" customFormat="1" ht="12" x14ac:dyDescent="0.25">
      <c r="B405" s="91" t="s">
        <v>631</v>
      </c>
      <c r="C405" s="116">
        <f>C364</f>
        <v>0</v>
      </c>
      <c r="D405" s="115"/>
      <c r="E405" s="116">
        <f>E364</f>
        <v>0</v>
      </c>
      <c r="F405" s="115"/>
      <c r="G405" s="116">
        <f>G364</f>
        <v>0</v>
      </c>
      <c r="H405" s="115"/>
      <c r="I405" s="116">
        <f>I364</f>
        <v>0</v>
      </c>
      <c r="J405" s="115"/>
      <c r="K405" s="116">
        <f>K364</f>
        <v>0</v>
      </c>
      <c r="L405" s="115"/>
      <c r="M405" s="116">
        <f>M364</f>
        <v>0</v>
      </c>
      <c r="N405" s="115"/>
      <c r="O405" s="116">
        <f>O364</f>
        <v>0</v>
      </c>
      <c r="P405" s="115"/>
      <c r="Q405" s="116">
        <f>Q364</f>
        <v>0</v>
      </c>
      <c r="R405" s="115"/>
      <c r="S405" s="116">
        <f>S364</f>
        <v>0</v>
      </c>
      <c r="T405" s="115"/>
      <c r="U405" s="116">
        <f>U364</f>
        <v>0</v>
      </c>
      <c r="V405" s="115"/>
      <c r="W405" s="116">
        <f>W364</f>
        <v>0</v>
      </c>
      <c r="X405" s="115"/>
      <c r="Y405" s="116">
        <f>Y364</f>
        <v>0</v>
      </c>
      <c r="Z405" s="115"/>
      <c r="AA405" s="93">
        <f t="shared" ref="AA405:AH405" si="433">AA364</f>
        <v>0</v>
      </c>
      <c r="AB405" s="93">
        <f t="shared" si="433"/>
        <v>0</v>
      </c>
      <c r="AC405" s="93">
        <f t="shared" si="433"/>
        <v>0</v>
      </c>
      <c r="AD405" s="93">
        <f t="shared" si="433"/>
        <v>0</v>
      </c>
      <c r="AE405" s="93">
        <f t="shared" si="433"/>
        <v>0</v>
      </c>
      <c r="AF405" s="93">
        <f t="shared" si="433"/>
        <v>0</v>
      </c>
      <c r="AG405" s="93">
        <f t="shared" si="433"/>
        <v>0</v>
      </c>
      <c r="AH405" s="93">
        <f t="shared" si="433"/>
        <v>0</v>
      </c>
      <c r="AI405" s="93"/>
      <c r="AJ405" s="93" t="e">
        <f t="shared" ref="AJ405:BB405" si="434">AJ364</f>
        <v>#REF!</v>
      </c>
      <c r="AK405" s="93" t="e">
        <f t="shared" si="434"/>
        <v>#REF!</v>
      </c>
      <c r="AL405" s="93" t="e">
        <f t="shared" si="434"/>
        <v>#REF!</v>
      </c>
      <c r="AM405" s="93" t="e">
        <f t="shared" si="434"/>
        <v>#REF!</v>
      </c>
      <c r="AN405" s="93" t="e">
        <f t="shared" si="434"/>
        <v>#REF!</v>
      </c>
      <c r="AO405" s="114" t="e">
        <f t="shared" si="434"/>
        <v>#REF!</v>
      </c>
      <c r="AP405" s="93" t="e">
        <f t="shared" si="434"/>
        <v>#REF!</v>
      </c>
      <c r="AQ405" s="93" t="e">
        <f t="shared" si="434"/>
        <v>#REF!</v>
      </c>
      <c r="AR405" s="93" t="e">
        <f t="shared" si="434"/>
        <v>#REF!</v>
      </c>
      <c r="AS405" s="93" t="e">
        <f t="shared" si="434"/>
        <v>#REF!</v>
      </c>
      <c r="AT405" s="93" t="e">
        <f t="shared" si="434"/>
        <v>#REF!</v>
      </c>
      <c r="AU405" s="93" t="e">
        <f t="shared" si="434"/>
        <v>#REF!</v>
      </c>
      <c r="AV405" s="93" t="e">
        <f t="shared" si="434"/>
        <v>#REF!</v>
      </c>
      <c r="AW405" s="93" t="e">
        <f t="shared" si="434"/>
        <v>#REF!</v>
      </c>
      <c r="AX405" s="93" t="e">
        <f t="shared" si="434"/>
        <v>#REF!</v>
      </c>
      <c r="AY405" s="93" t="e">
        <f t="shared" si="434"/>
        <v>#REF!</v>
      </c>
      <c r="AZ405" s="93" t="e">
        <f t="shared" si="434"/>
        <v>#REF!</v>
      </c>
      <c r="BA405" s="93" t="e">
        <f t="shared" si="434"/>
        <v>#REF!</v>
      </c>
      <c r="BB405" s="114" t="e">
        <f t="shared" si="434"/>
        <v>#REF!</v>
      </c>
      <c r="BC405" s="93"/>
    </row>
    <row r="406" spans="1:55" s="108" customFormat="1" ht="12" x14ac:dyDescent="0.25">
      <c r="B406" s="113" t="s">
        <v>608</v>
      </c>
      <c r="C406" s="112">
        <f>C376</f>
        <v>0</v>
      </c>
      <c r="D406" s="111"/>
      <c r="E406" s="112">
        <f>E376</f>
        <v>0</v>
      </c>
      <c r="F406" s="111"/>
      <c r="G406" s="112">
        <f>G376</f>
        <v>0</v>
      </c>
      <c r="H406" s="111"/>
      <c r="I406" s="112">
        <f>I376</f>
        <v>0</v>
      </c>
      <c r="J406" s="111"/>
      <c r="K406" s="112">
        <f>K376</f>
        <v>0</v>
      </c>
      <c r="L406" s="111"/>
      <c r="M406" s="112">
        <f>M376</f>
        <v>0</v>
      </c>
      <c r="N406" s="111"/>
      <c r="O406" s="112">
        <f>O376</f>
        <v>0</v>
      </c>
      <c r="P406" s="111"/>
      <c r="Q406" s="112">
        <f>Q376</f>
        <v>0</v>
      </c>
      <c r="R406" s="111"/>
      <c r="S406" s="112">
        <f>S376</f>
        <v>0</v>
      </c>
      <c r="T406" s="111"/>
      <c r="U406" s="112">
        <f>U376</f>
        <v>0</v>
      </c>
      <c r="V406" s="111"/>
      <c r="W406" s="112">
        <f>W376</f>
        <v>0</v>
      </c>
      <c r="X406" s="111"/>
      <c r="Y406" s="112">
        <f>Y376</f>
        <v>0</v>
      </c>
      <c r="Z406" s="111"/>
      <c r="AA406" s="109">
        <f t="shared" ref="AA406:AH406" si="435">AA376</f>
        <v>0</v>
      </c>
      <c r="AB406" s="109">
        <f t="shared" si="435"/>
        <v>0</v>
      </c>
      <c r="AC406" s="109">
        <f t="shared" si="435"/>
        <v>0</v>
      </c>
      <c r="AD406" s="109">
        <f t="shared" si="435"/>
        <v>0</v>
      </c>
      <c r="AE406" s="109">
        <f t="shared" si="435"/>
        <v>0</v>
      </c>
      <c r="AF406" s="109">
        <f t="shared" si="435"/>
        <v>0</v>
      </c>
      <c r="AG406" s="109">
        <f t="shared" si="435"/>
        <v>0</v>
      </c>
      <c r="AH406" s="109">
        <f t="shared" si="435"/>
        <v>0</v>
      </c>
      <c r="AI406" s="109"/>
      <c r="AJ406" s="109" t="e">
        <f t="shared" ref="AJ406:BB406" si="436">AJ376</f>
        <v>#REF!</v>
      </c>
      <c r="AK406" s="109" t="e">
        <f t="shared" si="436"/>
        <v>#REF!</v>
      </c>
      <c r="AL406" s="109" t="e">
        <f t="shared" si="436"/>
        <v>#REF!</v>
      </c>
      <c r="AM406" s="109" t="e">
        <f t="shared" si="436"/>
        <v>#REF!</v>
      </c>
      <c r="AN406" s="109" t="e">
        <f t="shared" si="436"/>
        <v>#REF!</v>
      </c>
      <c r="AO406" s="110" t="e">
        <f t="shared" si="436"/>
        <v>#REF!</v>
      </c>
      <c r="AP406" s="109" t="e">
        <f t="shared" si="436"/>
        <v>#REF!</v>
      </c>
      <c r="AQ406" s="109" t="e">
        <f t="shared" si="436"/>
        <v>#REF!</v>
      </c>
      <c r="AR406" s="109" t="e">
        <f t="shared" si="436"/>
        <v>#REF!</v>
      </c>
      <c r="AS406" s="109" t="e">
        <f t="shared" si="436"/>
        <v>#REF!</v>
      </c>
      <c r="AT406" s="109" t="e">
        <f t="shared" si="436"/>
        <v>#REF!</v>
      </c>
      <c r="AU406" s="109" t="e">
        <f t="shared" si="436"/>
        <v>#REF!</v>
      </c>
      <c r="AV406" s="109" t="e">
        <f t="shared" si="436"/>
        <v>#REF!</v>
      </c>
      <c r="AW406" s="109" t="e">
        <f t="shared" si="436"/>
        <v>#REF!</v>
      </c>
      <c r="AX406" s="109" t="e">
        <f t="shared" si="436"/>
        <v>#REF!</v>
      </c>
      <c r="AY406" s="109" t="e">
        <f t="shared" si="436"/>
        <v>#REF!</v>
      </c>
      <c r="AZ406" s="109" t="e">
        <f t="shared" si="436"/>
        <v>#REF!</v>
      </c>
      <c r="BA406" s="109" t="e">
        <f t="shared" si="436"/>
        <v>#REF!</v>
      </c>
      <c r="BB406" s="110" t="e">
        <f t="shared" si="436"/>
        <v>#REF!</v>
      </c>
      <c r="BC406" s="109"/>
    </row>
    <row r="407" spans="1:55" x14ac:dyDescent="0.3">
      <c r="B407" s="380" t="s">
        <v>640</v>
      </c>
      <c r="C407" s="107">
        <f t="shared" ref="C407:AH407" si="437">C381+C384+C387+C390+C393+C396+C399+C402+C405</f>
        <v>22560000</v>
      </c>
      <c r="D407" s="396">
        <f t="shared" si="437"/>
        <v>18638191.93</v>
      </c>
      <c r="E407" s="107">
        <f t="shared" si="437"/>
        <v>0</v>
      </c>
      <c r="F407" s="396">
        <f t="shared" si="437"/>
        <v>0</v>
      </c>
      <c r="G407" s="107">
        <f t="shared" si="437"/>
        <v>0</v>
      </c>
      <c r="H407" s="396">
        <f t="shared" si="437"/>
        <v>0</v>
      </c>
      <c r="I407" s="107">
        <f t="shared" si="437"/>
        <v>0</v>
      </c>
      <c r="J407" s="396">
        <f t="shared" si="437"/>
        <v>0</v>
      </c>
      <c r="K407" s="107">
        <f t="shared" si="437"/>
        <v>0</v>
      </c>
      <c r="L407" s="396">
        <f t="shared" si="437"/>
        <v>0</v>
      </c>
      <c r="M407" s="107">
        <f t="shared" si="437"/>
        <v>0</v>
      </c>
      <c r="N407" s="396">
        <f t="shared" si="437"/>
        <v>0</v>
      </c>
      <c r="O407" s="107">
        <f t="shared" si="437"/>
        <v>0</v>
      </c>
      <c r="P407" s="396">
        <f t="shared" si="437"/>
        <v>0</v>
      </c>
      <c r="Q407" s="107">
        <f t="shared" si="437"/>
        <v>0</v>
      </c>
      <c r="R407" s="396">
        <f t="shared" si="437"/>
        <v>0</v>
      </c>
      <c r="S407" s="107">
        <f t="shared" si="437"/>
        <v>0</v>
      </c>
      <c r="T407" s="396">
        <f t="shared" si="437"/>
        <v>0</v>
      </c>
      <c r="U407" s="107">
        <f t="shared" si="437"/>
        <v>0</v>
      </c>
      <c r="V407" s="396">
        <f t="shared" si="437"/>
        <v>0</v>
      </c>
      <c r="W407" s="107">
        <f t="shared" si="437"/>
        <v>0</v>
      </c>
      <c r="X407" s="396">
        <f t="shared" si="437"/>
        <v>0</v>
      </c>
      <c r="Y407" s="107">
        <f t="shared" si="437"/>
        <v>0</v>
      </c>
      <c r="Z407" s="396">
        <f t="shared" si="437"/>
        <v>0</v>
      </c>
      <c r="AA407" s="397">
        <f t="shared" si="437"/>
        <v>0</v>
      </c>
      <c r="AB407" s="397">
        <f t="shared" si="437"/>
        <v>0</v>
      </c>
      <c r="AC407" s="397">
        <f t="shared" si="437"/>
        <v>0</v>
      </c>
      <c r="AD407" s="397">
        <f t="shared" si="437"/>
        <v>0</v>
      </c>
      <c r="AE407" s="397">
        <f t="shared" si="437"/>
        <v>0</v>
      </c>
      <c r="AF407" s="397">
        <f t="shared" si="437"/>
        <v>0</v>
      </c>
      <c r="AG407" s="397">
        <f t="shared" si="437"/>
        <v>0</v>
      </c>
      <c r="AH407" s="397">
        <f t="shared" si="437"/>
        <v>0</v>
      </c>
      <c r="AI407" s="397"/>
      <c r="AJ407" s="397" t="e">
        <f t="shared" ref="AJ407:BB407" si="438">AJ381+AJ384+AJ387+AJ390+AJ393+AJ396+AJ399+AJ402+AJ405</f>
        <v>#REF!</v>
      </c>
      <c r="AK407" s="397" t="e">
        <f t="shared" si="438"/>
        <v>#REF!</v>
      </c>
      <c r="AL407" s="397" t="e">
        <f t="shared" si="438"/>
        <v>#REF!</v>
      </c>
      <c r="AM407" s="397" t="e">
        <f t="shared" si="438"/>
        <v>#REF!</v>
      </c>
      <c r="AN407" s="397" t="e">
        <f t="shared" si="438"/>
        <v>#REF!</v>
      </c>
      <c r="AO407" s="398" t="e">
        <f t="shared" si="438"/>
        <v>#REF!</v>
      </c>
      <c r="AP407" s="397" t="e">
        <f t="shared" si="438"/>
        <v>#REF!</v>
      </c>
      <c r="AQ407" s="397" t="e">
        <f t="shared" si="438"/>
        <v>#REF!</v>
      </c>
      <c r="AR407" s="397" t="e">
        <f t="shared" si="438"/>
        <v>#REF!</v>
      </c>
      <c r="AS407" s="397" t="e">
        <f t="shared" si="438"/>
        <v>#REF!</v>
      </c>
      <c r="AT407" s="397" t="e">
        <f t="shared" si="438"/>
        <v>#REF!</v>
      </c>
      <c r="AU407" s="397" t="e">
        <f t="shared" si="438"/>
        <v>#REF!</v>
      </c>
      <c r="AV407" s="397" t="e">
        <f t="shared" si="438"/>
        <v>#REF!</v>
      </c>
      <c r="AW407" s="397" t="e">
        <f t="shared" si="438"/>
        <v>#REF!</v>
      </c>
      <c r="AX407" s="397" t="e">
        <f t="shared" si="438"/>
        <v>#REF!</v>
      </c>
      <c r="AY407" s="397" t="e">
        <f t="shared" si="438"/>
        <v>#REF!</v>
      </c>
      <c r="AZ407" s="397" t="e">
        <f t="shared" si="438"/>
        <v>#REF!</v>
      </c>
      <c r="BA407" s="397" t="e">
        <f t="shared" si="438"/>
        <v>#REF!</v>
      </c>
      <c r="BB407" s="398" t="e">
        <f t="shared" si="438"/>
        <v>#REF!</v>
      </c>
      <c r="BC407" s="397"/>
    </row>
    <row r="408" spans="1:55" x14ac:dyDescent="0.3">
      <c r="B408" s="399" t="s">
        <v>641</v>
      </c>
      <c r="C408" s="84">
        <f t="shared" ref="C408:AH408" si="439">C382+C385+C388+C391+C394+C397+C400+C403+C406</f>
        <v>342912</v>
      </c>
      <c r="D408" s="400">
        <f t="shared" si="439"/>
        <v>286479.05086500006</v>
      </c>
      <c r="E408" s="84">
        <f t="shared" si="439"/>
        <v>0</v>
      </c>
      <c r="F408" s="400">
        <f t="shared" si="439"/>
        <v>1909.55</v>
      </c>
      <c r="G408" s="84">
        <f t="shared" si="439"/>
        <v>0</v>
      </c>
      <c r="H408" s="400">
        <f t="shared" si="439"/>
        <v>0</v>
      </c>
      <c r="I408" s="84">
        <f t="shared" si="439"/>
        <v>0</v>
      </c>
      <c r="J408" s="400">
        <f t="shared" si="439"/>
        <v>0</v>
      </c>
      <c r="K408" s="84">
        <f t="shared" si="439"/>
        <v>0</v>
      </c>
      <c r="L408" s="400">
        <f t="shared" si="439"/>
        <v>0</v>
      </c>
      <c r="M408" s="84">
        <f t="shared" si="439"/>
        <v>0</v>
      </c>
      <c r="N408" s="400">
        <f t="shared" si="439"/>
        <v>0</v>
      </c>
      <c r="O408" s="84">
        <f t="shared" si="439"/>
        <v>0</v>
      </c>
      <c r="P408" s="400">
        <f t="shared" si="439"/>
        <v>0</v>
      </c>
      <c r="Q408" s="84">
        <f t="shared" si="439"/>
        <v>0</v>
      </c>
      <c r="R408" s="400">
        <f t="shared" si="439"/>
        <v>0</v>
      </c>
      <c r="S408" s="84">
        <f t="shared" si="439"/>
        <v>0</v>
      </c>
      <c r="T408" s="400">
        <f t="shared" si="439"/>
        <v>0</v>
      </c>
      <c r="U408" s="84">
        <f t="shared" si="439"/>
        <v>0</v>
      </c>
      <c r="V408" s="400">
        <f t="shared" si="439"/>
        <v>0</v>
      </c>
      <c r="W408" s="84">
        <f t="shared" si="439"/>
        <v>0</v>
      </c>
      <c r="X408" s="400">
        <f t="shared" si="439"/>
        <v>0</v>
      </c>
      <c r="Y408" s="84">
        <f t="shared" si="439"/>
        <v>0</v>
      </c>
      <c r="Z408" s="400">
        <f t="shared" si="439"/>
        <v>0</v>
      </c>
      <c r="AA408" s="401">
        <f t="shared" si="439"/>
        <v>0</v>
      </c>
      <c r="AB408" s="401">
        <f t="shared" si="439"/>
        <v>0</v>
      </c>
      <c r="AC408" s="401">
        <f t="shared" si="439"/>
        <v>0</v>
      </c>
      <c r="AD408" s="401">
        <f t="shared" si="439"/>
        <v>0</v>
      </c>
      <c r="AE408" s="401">
        <f t="shared" si="439"/>
        <v>0</v>
      </c>
      <c r="AF408" s="401">
        <f t="shared" si="439"/>
        <v>0</v>
      </c>
      <c r="AG408" s="401">
        <f t="shared" si="439"/>
        <v>0</v>
      </c>
      <c r="AH408" s="401">
        <f t="shared" si="439"/>
        <v>0</v>
      </c>
      <c r="AI408" s="401"/>
      <c r="AJ408" s="401" t="e">
        <f t="shared" ref="AJ408:BB408" si="440">AJ382+AJ385+AJ388+AJ391+AJ394+AJ397+AJ400+AJ403+AJ406</f>
        <v>#REF!</v>
      </c>
      <c r="AK408" s="401" t="e">
        <f t="shared" si="440"/>
        <v>#REF!</v>
      </c>
      <c r="AL408" s="401" t="e">
        <f t="shared" si="440"/>
        <v>#REF!</v>
      </c>
      <c r="AM408" s="401" t="e">
        <f t="shared" si="440"/>
        <v>#REF!</v>
      </c>
      <c r="AN408" s="401" t="e">
        <f t="shared" si="440"/>
        <v>#REF!</v>
      </c>
      <c r="AO408" s="402" t="e">
        <f t="shared" si="440"/>
        <v>#REF!</v>
      </c>
      <c r="AP408" s="401" t="e">
        <f t="shared" si="440"/>
        <v>#REF!</v>
      </c>
      <c r="AQ408" s="401" t="e">
        <f t="shared" si="440"/>
        <v>#REF!</v>
      </c>
      <c r="AR408" s="401" t="e">
        <f t="shared" si="440"/>
        <v>#REF!</v>
      </c>
      <c r="AS408" s="401" t="e">
        <f t="shared" si="440"/>
        <v>#REF!</v>
      </c>
      <c r="AT408" s="401" t="e">
        <f t="shared" si="440"/>
        <v>#REF!</v>
      </c>
      <c r="AU408" s="401" t="e">
        <f t="shared" si="440"/>
        <v>#REF!</v>
      </c>
      <c r="AV408" s="401" t="e">
        <f t="shared" si="440"/>
        <v>#REF!</v>
      </c>
      <c r="AW408" s="401" t="e">
        <f t="shared" si="440"/>
        <v>#REF!</v>
      </c>
      <c r="AX408" s="401" t="e">
        <f t="shared" si="440"/>
        <v>#REF!</v>
      </c>
      <c r="AY408" s="401" t="e">
        <f t="shared" si="440"/>
        <v>#REF!</v>
      </c>
      <c r="AZ408" s="401" t="e">
        <f t="shared" si="440"/>
        <v>#REF!</v>
      </c>
      <c r="BA408" s="401" t="e">
        <f t="shared" si="440"/>
        <v>#REF!</v>
      </c>
      <c r="BB408" s="402" t="e">
        <f t="shared" si="440"/>
        <v>#REF!</v>
      </c>
      <c r="BC408" s="403"/>
    </row>
    <row r="409" spans="1:55" x14ac:dyDescent="0.3">
      <c r="C409" s="106">
        <f t="shared" ref="C409:AH409" si="441">C408/C407</f>
        <v>1.52E-2</v>
      </c>
      <c r="D409" s="105">
        <f t="shared" si="441"/>
        <v>1.5370538727197239E-2</v>
      </c>
      <c r="E409" s="106" t="e">
        <f t="shared" si="441"/>
        <v>#DIV/0!</v>
      </c>
      <c r="F409" s="105" t="e">
        <f t="shared" si="441"/>
        <v>#DIV/0!</v>
      </c>
      <c r="G409" s="106" t="e">
        <f t="shared" si="441"/>
        <v>#DIV/0!</v>
      </c>
      <c r="H409" s="105" t="e">
        <f t="shared" si="441"/>
        <v>#DIV/0!</v>
      </c>
      <c r="I409" s="106" t="e">
        <f t="shared" si="441"/>
        <v>#DIV/0!</v>
      </c>
      <c r="J409" s="105" t="e">
        <f t="shared" si="441"/>
        <v>#DIV/0!</v>
      </c>
      <c r="K409" s="106" t="e">
        <f t="shared" si="441"/>
        <v>#DIV/0!</v>
      </c>
      <c r="L409" s="105" t="e">
        <f t="shared" si="441"/>
        <v>#DIV/0!</v>
      </c>
      <c r="M409" s="106" t="e">
        <f t="shared" si="441"/>
        <v>#DIV/0!</v>
      </c>
      <c r="N409" s="105" t="e">
        <f t="shared" si="441"/>
        <v>#DIV/0!</v>
      </c>
      <c r="O409" s="106" t="e">
        <f t="shared" si="441"/>
        <v>#DIV/0!</v>
      </c>
      <c r="P409" s="105" t="e">
        <f t="shared" si="441"/>
        <v>#DIV/0!</v>
      </c>
      <c r="Q409" s="106" t="e">
        <f t="shared" si="441"/>
        <v>#DIV/0!</v>
      </c>
      <c r="R409" s="105" t="e">
        <f t="shared" si="441"/>
        <v>#DIV/0!</v>
      </c>
      <c r="S409" s="106" t="e">
        <f t="shared" si="441"/>
        <v>#DIV/0!</v>
      </c>
      <c r="T409" s="105" t="e">
        <f t="shared" si="441"/>
        <v>#DIV/0!</v>
      </c>
      <c r="U409" s="106" t="e">
        <f t="shared" si="441"/>
        <v>#DIV/0!</v>
      </c>
      <c r="V409" s="105" t="e">
        <f t="shared" si="441"/>
        <v>#DIV/0!</v>
      </c>
      <c r="W409" s="106" t="e">
        <f t="shared" si="441"/>
        <v>#DIV/0!</v>
      </c>
      <c r="X409" s="105" t="e">
        <f t="shared" si="441"/>
        <v>#DIV/0!</v>
      </c>
      <c r="Y409" s="106" t="e">
        <f t="shared" si="441"/>
        <v>#DIV/0!</v>
      </c>
      <c r="Z409" s="105" t="e">
        <f t="shared" si="441"/>
        <v>#DIV/0!</v>
      </c>
      <c r="AA409" s="104" t="e">
        <f t="shared" si="441"/>
        <v>#DIV/0!</v>
      </c>
      <c r="AB409" s="104" t="e">
        <f t="shared" si="441"/>
        <v>#DIV/0!</v>
      </c>
      <c r="AC409" s="104" t="e">
        <f t="shared" si="441"/>
        <v>#DIV/0!</v>
      </c>
      <c r="AD409" s="104" t="e">
        <f t="shared" si="441"/>
        <v>#DIV/0!</v>
      </c>
      <c r="AE409" s="104" t="e">
        <f t="shared" si="441"/>
        <v>#DIV/0!</v>
      </c>
      <c r="AF409" s="104" t="e">
        <f t="shared" si="441"/>
        <v>#DIV/0!</v>
      </c>
      <c r="AG409" s="104" t="e">
        <f t="shared" si="441"/>
        <v>#DIV/0!</v>
      </c>
      <c r="AH409" s="104" t="e">
        <f t="shared" si="441"/>
        <v>#DIV/0!</v>
      </c>
      <c r="AI409" s="104"/>
      <c r="AJ409" s="104" t="e">
        <f t="shared" ref="AJ409:BB409" si="442">AJ408/AJ407</f>
        <v>#REF!</v>
      </c>
      <c r="AK409" s="104" t="e">
        <f t="shared" si="442"/>
        <v>#REF!</v>
      </c>
      <c r="AL409" s="104" t="e">
        <f t="shared" si="442"/>
        <v>#REF!</v>
      </c>
      <c r="AM409" s="104" t="e">
        <f t="shared" si="442"/>
        <v>#REF!</v>
      </c>
      <c r="AN409" s="104" t="e">
        <f t="shared" si="442"/>
        <v>#REF!</v>
      </c>
      <c r="AO409" s="104" t="e">
        <f t="shared" si="442"/>
        <v>#REF!</v>
      </c>
      <c r="AP409" s="104" t="e">
        <f t="shared" si="442"/>
        <v>#REF!</v>
      </c>
      <c r="AQ409" s="104" t="e">
        <f t="shared" si="442"/>
        <v>#REF!</v>
      </c>
      <c r="AR409" s="104" t="e">
        <f t="shared" si="442"/>
        <v>#REF!</v>
      </c>
      <c r="AS409" s="104" t="e">
        <f t="shared" si="442"/>
        <v>#REF!</v>
      </c>
      <c r="AT409" s="104" t="e">
        <f t="shared" si="442"/>
        <v>#REF!</v>
      </c>
      <c r="AU409" s="104" t="e">
        <f t="shared" si="442"/>
        <v>#REF!</v>
      </c>
      <c r="AV409" s="104" t="e">
        <f t="shared" si="442"/>
        <v>#REF!</v>
      </c>
      <c r="AW409" s="104" t="e">
        <f t="shared" si="442"/>
        <v>#REF!</v>
      </c>
      <c r="AX409" s="104" t="e">
        <f t="shared" si="442"/>
        <v>#REF!</v>
      </c>
      <c r="AY409" s="104" t="e">
        <f t="shared" si="442"/>
        <v>#REF!</v>
      </c>
      <c r="AZ409" s="104" t="e">
        <f t="shared" si="442"/>
        <v>#REF!</v>
      </c>
      <c r="BA409" s="104" t="e">
        <f t="shared" si="442"/>
        <v>#REF!</v>
      </c>
      <c r="BB409" s="104" t="e">
        <f t="shared" si="442"/>
        <v>#REF!</v>
      </c>
      <c r="BC409" s="103"/>
    </row>
    <row r="410" spans="1:55" x14ac:dyDescent="0.3">
      <c r="C410" s="83"/>
      <c r="D410" s="82"/>
      <c r="E410" s="83"/>
      <c r="F410" s="82"/>
      <c r="G410" s="83"/>
      <c r="H410" s="82"/>
      <c r="I410" s="83"/>
      <c r="J410" s="82"/>
      <c r="K410" s="83"/>
      <c r="L410" s="82"/>
      <c r="M410" s="83"/>
      <c r="N410" s="82"/>
      <c r="O410" s="83"/>
      <c r="P410" s="82"/>
      <c r="Q410" s="83"/>
      <c r="R410" s="82"/>
      <c r="S410" s="83"/>
      <c r="T410" s="82"/>
      <c r="U410" s="83"/>
      <c r="V410" s="82"/>
      <c r="W410" s="83"/>
      <c r="X410" s="82"/>
      <c r="Y410" s="83"/>
      <c r="Z410" s="82"/>
    </row>
    <row r="411" spans="1:55" ht="18" x14ac:dyDescent="0.35">
      <c r="B411" s="102" t="s">
        <v>642</v>
      </c>
      <c r="C411" s="83"/>
      <c r="D411" s="82"/>
      <c r="E411" s="83"/>
      <c r="F411" s="82"/>
      <c r="G411" s="83"/>
      <c r="H411" s="82"/>
      <c r="I411" s="83"/>
      <c r="J411" s="82"/>
      <c r="K411" s="83"/>
      <c r="L411" s="82"/>
      <c r="M411" s="83"/>
      <c r="N411" s="82"/>
      <c r="O411" s="83"/>
      <c r="P411" s="82"/>
      <c r="Q411" s="83"/>
      <c r="R411" s="82"/>
      <c r="S411" s="83"/>
      <c r="T411" s="82"/>
      <c r="U411" s="83"/>
      <c r="V411" s="82"/>
      <c r="W411" s="83"/>
      <c r="X411" s="82"/>
      <c r="Y411" s="83"/>
      <c r="Z411" s="82"/>
    </row>
    <row r="412" spans="1:55" x14ac:dyDescent="0.3">
      <c r="B412" s="392"/>
      <c r="C412" s="101">
        <v>45292</v>
      </c>
      <c r="D412" s="393">
        <v>45292</v>
      </c>
      <c r="E412" s="101">
        <v>45323</v>
      </c>
      <c r="F412" s="393">
        <v>45323</v>
      </c>
      <c r="G412" s="101">
        <v>45352</v>
      </c>
      <c r="H412" s="393">
        <v>45352</v>
      </c>
      <c r="I412" s="101">
        <v>45383</v>
      </c>
      <c r="J412" s="393">
        <v>45383</v>
      </c>
      <c r="K412" s="101">
        <v>45413</v>
      </c>
      <c r="L412" s="393">
        <v>45413</v>
      </c>
      <c r="M412" s="101">
        <v>45444</v>
      </c>
      <c r="N412" s="393">
        <v>45444</v>
      </c>
      <c r="O412" s="101">
        <v>45474</v>
      </c>
      <c r="P412" s="393">
        <v>45474</v>
      </c>
      <c r="Q412" s="101">
        <v>45505</v>
      </c>
      <c r="R412" s="393">
        <v>45505</v>
      </c>
      <c r="S412" s="101">
        <v>45536</v>
      </c>
      <c r="T412" s="393">
        <v>45536</v>
      </c>
      <c r="U412" s="101">
        <v>45566</v>
      </c>
      <c r="V412" s="393">
        <v>45566</v>
      </c>
      <c r="W412" s="101">
        <v>45597</v>
      </c>
      <c r="X412" s="393">
        <v>45597</v>
      </c>
      <c r="Y412" s="101">
        <v>45627</v>
      </c>
      <c r="Z412" s="393">
        <v>45627</v>
      </c>
      <c r="BC412" s="394"/>
    </row>
    <row r="413" spans="1:55" x14ac:dyDescent="0.3">
      <c r="B413" s="100" t="s">
        <v>48</v>
      </c>
      <c r="C413" s="99"/>
      <c r="D413" s="98"/>
      <c r="E413" s="99"/>
      <c r="F413" s="98"/>
      <c r="G413" s="99"/>
      <c r="H413" s="98"/>
      <c r="I413" s="99"/>
      <c r="J413" s="98"/>
      <c r="K413" s="99"/>
      <c r="L413" s="98"/>
      <c r="M413" s="99"/>
      <c r="N413" s="98"/>
      <c r="O413" s="99"/>
      <c r="P413" s="98"/>
      <c r="Q413" s="99"/>
      <c r="R413" s="98"/>
      <c r="S413" s="99"/>
      <c r="T413" s="98"/>
      <c r="U413" s="99"/>
      <c r="V413" s="98"/>
      <c r="W413" s="99"/>
      <c r="X413" s="98"/>
      <c r="Y413" s="99"/>
      <c r="Z413" s="98"/>
      <c r="AA413" s="97"/>
      <c r="AB413" s="97"/>
      <c r="AC413" s="97"/>
      <c r="AD413" s="97"/>
      <c r="AE413" s="97"/>
      <c r="AF413" s="97"/>
      <c r="AG413" s="97"/>
      <c r="AH413" s="97"/>
    </row>
    <row r="414" spans="1:55" x14ac:dyDescent="0.3">
      <c r="B414" s="91" t="s">
        <v>643</v>
      </c>
      <c r="C414" s="90"/>
      <c r="D414" s="89"/>
      <c r="E414" s="90"/>
      <c r="F414" s="89"/>
      <c r="G414" s="90"/>
      <c r="H414" s="89"/>
      <c r="I414" s="90"/>
      <c r="J414" s="89"/>
      <c r="K414" s="90"/>
      <c r="L414" s="89"/>
      <c r="M414" s="90"/>
      <c r="N414" s="89"/>
      <c r="O414" s="90"/>
      <c r="P414" s="89"/>
      <c r="Q414" s="90"/>
      <c r="R414" s="89"/>
      <c r="S414" s="90"/>
      <c r="T414" s="89"/>
      <c r="U414" s="90"/>
      <c r="V414" s="89"/>
      <c r="W414" s="90"/>
      <c r="X414" s="89"/>
      <c r="Y414" s="90"/>
      <c r="Z414" s="89"/>
      <c r="AA414" s="96">
        <v>500</v>
      </c>
      <c r="AB414" s="96">
        <v>550</v>
      </c>
      <c r="AC414" s="96">
        <v>600</v>
      </c>
      <c r="AD414" s="96">
        <v>650</v>
      </c>
      <c r="AE414" s="96">
        <v>700</v>
      </c>
      <c r="AF414" s="96">
        <v>750</v>
      </c>
      <c r="AG414" s="96">
        <v>800</v>
      </c>
      <c r="AH414" s="96">
        <v>850</v>
      </c>
    </row>
    <row r="415" spans="1:55" x14ac:dyDescent="0.3">
      <c r="A415" s="88">
        <v>14.9</v>
      </c>
      <c r="B415" s="87" t="s">
        <v>644</v>
      </c>
      <c r="C415" s="95">
        <f>C414*$A$415</f>
        <v>0</v>
      </c>
      <c r="D415" s="94">
        <f>D414*14.9</f>
        <v>0</v>
      </c>
      <c r="E415" s="95">
        <f>E414*$A$415</f>
        <v>0</v>
      </c>
      <c r="F415" s="94">
        <f>F414*A415</f>
        <v>0</v>
      </c>
      <c r="G415" s="95">
        <f>G414*$A$415</f>
        <v>0</v>
      </c>
      <c r="H415" s="94">
        <f>H414*A415</f>
        <v>0</v>
      </c>
      <c r="I415" s="95"/>
      <c r="J415" s="94">
        <f>J414*A415</f>
        <v>0</v>
      </c>
      <c r="K415" s="95">
        <f>K414*$A$415</f>
        <v>0</v>
      </c>
      <c r="L415" s="94">
        <f>L414*$A$415</f>
        <v>0</v>
      </c>
      <c r="M415" s="95">
        <f>M414*$A$415</f>
        <v>0</v>
      </c>
      <c r="N415" s="94">
        <f>N414*$A$415</f>
        <v>0</v>
      </c>
      <c r="O415" s="95">
        <f>O414*$A$415</f>
        <v>0</v>
      </c>
      <c r="P415" s="94">
        <f>$A$415*P414</f>
        <v>0</v>
      </c>
      <c r="Q415" s="95">
        <f>Q414*$A$415</f>
        <v>0</v>
      </c>
      <c r="R415" s="94">
        <f>$A$415*R414</f>
        <v>0</v>
      </c>
      <c r="S415" s="95">
        <f>S414*$A$415</f>
        <v>0</v>
      </c>
      <c r="T415" s="94">
        <f>$A$415*T414</f>
        <v>0</v>
      </c>
      <c r="U415" s="95">
        <f>U414*$A$415</f>
        <v>0</v>
      </c>
      <c r="V415" s="94">
        <f>$A$415*V414</f>
        <v>0</v>
      </c>
      <c r="W415" s="95">
        <f>W414*$A$415</f>
        <v>0</v>
      </c>
      <c r="X415" s="94">
        <f>X414*14.9</f>
        <v>0</v>
      </c>
      <c r="Y415" s="95">
        <f>Y414*$A$415</f>
        <v>0</v>
      </c>
      <c r="Z415" s="94">
        <f>Z414*A415</f>
        <v>0</v>
      </c>
      <c r="AA415" s="93">
        <f t="shared" ref="AA415:AH415" si="443">AA414*$A$415</f>
        <v>7450</v>
      </c>
      <c r="AB415" s="93">
        <f t="shared" si="443"/>
        <v>8195</v>
      </c>
      <c r="AC415" s="93">
        <f t="shared" si="443"/>
        <v>8940</v>
      </c>
      <c r="AD415" s="93">
        <f t="shared" si="443"/>
        <v>9685</v>
      </c>
      <c r="AE415" s="93">
        <f t="shared" si="443"/>
        <v>10430</v>
      </c>
      <c r="AF415" s="93">
        <f t="shared" si="443"/>
        <v>11175</v>
      </c>
      <c r="AG415" s="93">
        <f t="shared" si="443"/>
        <v>11920</v>
      </c>
      <c r="AH415" s="93">
        <f t="shared" si="443"/>
        <v>12665</v>
      </c>
    </row>
    <row r="416" spans="1:55" x14ac:dyDescent="0.3">
      <c r="B416" s="92" t="s">
        <v>645</v>
      </c>
      <c r="C416" s="83"/>
      <c r="D416" s="82"/>
      <c r="E416" s="83"/>
      <c r="F416" s="82"/>
      <c r="G416" s="83"/>
      <c r="H416" s="82"/>
      <c r="I416" s="83"/>
      <c r="J416" s="82"/>
      <c r="K416" s="83"/>
      <c r="L416" s="82"/>
      <c r="M416" s="83"/>
      <c r="N416" s="82"/>
      <c r="O416" s="83"/>
      <c r="P416" s="82"/>
      <c r="Q416" s="83"/>
      <c r="R416" s="82"/>
      <c r="S416" s="83"/>
      <c r="T416" s="82"/>
      <c r="U416" s="83"/>
      <c r="V416" s="82"/>
      <c r="W416" s="83"/>
      <c r="X416" s="82"/>
      <c r="Y416" s="83"/>
      <c r="Z416" s="82"/>
    </row>
    <row r="417" spans="1:26" x14ac:dyDescent="0.3">
      <c r="B417" s="91" t="s">
        <v>646</v>
      </c>
      <c r="C417" s="90"/>
      <c r="D417" s="89">
        <v>0</v>
      </c>
      <c r="E417" s="90"/>
      <c r="F417" s="89"/>
      <c r="G417" s="90"/>
      <c r="H417" s="89"/>
      <c r="I417" s="90"/>
      <c r="J417" s="89"/>
      <c r="K417" s="90"/>
      <c r="L417" s="89"/>
      <c r="M417" s="90"/>
      <c r="N417" s="89"/>
      <c r="O417" s="90"/>
      <c r="P417" s="89"/>
      <c r="Q417" s="90"/>
      <c r="R417" s="89"/>
      <c r="S417" s="90"/>
      <c r="T417" s="89"/>
      <c r="U417" s="90"/>
      <c r="V417" s="89"/>
      <c r="W417" s="90"/>
      <c r="X417" s="89"/>
      <c r="Y417" s="90"/>
      <c r="Z417" s="89"/>
    </row>
    <row r="418" spans="1:26" x14ac:dyDescent="0.3">
      <c r="A418" s="88">
        <v>0.5</v>
      </c>
      <c r="B418" s="87" t="s">
        <v>53</v>
      </c>
      <c r="C418" s="86">
        <f t="shared" ref="C418:W418" si="444">C417*$A$418</f>
        <v>0</v>
      </c>
      <c r="D418" s="85">
        <f t="shared" si="444"/>
        <v>0</v>
      </c>
      <c r="E418" s="86">
        <f t="shared" si="444"/>
        <v>0</v>
      </c>
      <c r="F418" s="85">
        <f t="shared" si="444"/>
        <v>0</v>
      </c>
      <c r="G418" s="86">
        <f t="shared" si="444"/>
        <v>0</v>
      </c>
      <c r="H418" s="85">
        <f t="shared" si="444"/>
        <v>0</v>
      </c>
      <c r="I418" s="86">
        <f t="shared" si="444"/>
        <v>0</v>
      </c>
      <c r="J418" s="85">
        <f t="shared" si="444"/>
        <v>0</v>
      </c>
      <c r="K418" s="86">
        <f t="shared" si="444"/>
        <v>0</v>
      </c>
      <c r="L418" s="85">
        <f t="shared" si="444"/>
        <v>0</v>
      </c>
      <c r="M418" s="86">
        <f t="shared" si="444"/>
        <v>0</v>
      </c>
      <c r="N418" s="85">
        <f t="shared" si="444"/>
        <v>0</v>
      </c>
      <c r="O418" s="86">
        <f t="shared" si="444"/>
        <v>0</v>
      </c>
      <c r="P418" s="85">
        <f t="shared" si="444"/>
        <v>0</v>
      </c>
      <c r="Q418" s="86">
        <f t="shared" si="444"/>
        <v>0</v>
      </c>
      <c r="R418" s="85">
        <f t="shared" si="444"/>
        <v>0</v>
      </c>
      <c r="S418" s="86">
        <f t="shared" si="444"/>
        <v>0</v>
      </c>
      <c r="T418" s="85">
        <f t="shared" si="444"/>
        <v>0</v>
      </c>
      <c r="U418" s="86">
        <f t="shared" si="444"/>
        <v>0</v>
      </c>
      <c r="V418" s="85">
        <f t="shared" si="444"/>
        <v>0</v>
      </c>
      <c r="W418" s="86">
        <f t="shared" si="444"/>
        <v>0</v>
      </c>
      <c r="X418" s="85">
        <f>X417*A418</f>
        <v>0</v>
      </c>
      <c r="Y418" s="86">
        <f>Y417*$A$418</f>
        <v>0</v>
      </c>
      <c r="Z418" s="85">
        <f>Z417*0.5</f>
        <v>0</v>
      </c>
    </row>
    <row r="419" spans="1:26" x14ac:dyDescent="0.3">
      <c r="B419" s="92" t="s">
        <v>647</v>
      </c>
      <c r="C419" s="83"/>
      <c r="D419" s="82"/>
      <c r="E419" s="83"/>
      <c r="F419" s="82"/>
      <c r="G419" s="83"/>
      <c r="H419" s="82"/>
      <c r="I419" s="83"/>
      <c r="J419" s="82"/>
      <c r="K419" s="83"/>
      <c r="L419" s="82"/>
      <c r="M419" s="83"/>
      <c r="N419" s="82"/>
      <c r="O419" s="83"/>
      <c r="P419" s="82"/>
      <c r="Q419" s="83"/>
      <c r="R419" s="82"/>
      <c r="S419" s="83"/>
      <c r="T419" s="82"/>
      <c r="U419" s="83"/>
      <c r="V419" s="82"/>
      <c r="W419" s="83"/>
      <c r="X419" s="82"/>
      <c r="Y419" s="83"/>
      <c r="Z419" s="82"/>
    </row>
    <row r="420" spans="1:26" x14ac:dyDescent="0.3">
      <c r="B420" s="91" t="s">
        <v>646</v>
      </c>
      <c r="C420" s="90"/>
      <c r="D420" s="89"/>
      <c r="E420" s="90"/>
      <c r="F420" s="89"/>
      <c r="G420" s="90"/>
      <c r="H420" s="89"/>
      <c r="I420" s="90"/>
      <c r="J420" s="89"/>
      <c r="K420" s="90"/>
      <c r="L420" s="89"/>
      <c r="M420" s="90"/>
      <c r="N420" s="89"/>
      <c r="O420" s="90"/>
      <c r="P420" s="89"/>
      <c r="Q420" s="90"/>
      <c r="R420" s="89"/>
      <c r="S420" s="90"/>
      <c r="T420" s="89"/>
      <c r="U420" s="90"/>
      <c r="V420" s="89"/>
      <c r="W420" s="90"/>
      <c r="X420" s="89"/>
      <c r="Y420" s="90"/>
      <c r="Z420" s="89"/>
    </row>
    <row r="421" spans="1:26" x14ac:dyDescent="0.3">
      <c r="A421" s="88">
        <v>0.3</v>
      </c>
      <c r="B421" s="87" t="s">
        <v>53</v>
      </c>
      <c r="C421" s="86">
        <f>C420*$A$421</f>
        <v>0</v>
      </c>
      <c r="D421" s="85">
        <f>D420*0.3</f>
        <v>0</v>
      </c>
      <c r="E421" s="86">
        <f>E420*$A$421</f>
        <v>0</v>
      </c>
      <c r="F421" s="85">
        <f>F420*0.3</f>
        <v>0</v>
      </c>
      <c r="G421" s="86">
        <f>G420*$A$421</f>
        <v>0</v>
      </c>
      <c r="H421" s="85">
        <f>H420*0.3</f>
        <v>0</v>
      </c>
      <c r="I421" s="86">
        <f>I420*$A$421</f>
        <v>0</v>
      </c>
      <c r="J421" s="85">
        <f>J420*0.3</f>
        <v>0</v>
      </c>
      <c r="K421" s="86">
        <f>K420*$A$421</f>
        <v>0</v>
      </c>
      <c r="L421" s="85">
        <f>L420*0.3</f>
        <v>0</v>
      </c>
      <c r="M421" s="86">
        <f>M420*$A$421</f>
        <v>0</v>
      </c>
      <c r="N421" s="85">
        <f>N420*0.3</f>
        <v>0</v>
      </c>
      <c r="O421" s="86">
        <f>O420*$A$421</f>
        <v>0</v>
      </c>
      <c r="P421" s="85">
        <f>P420*0.3</f>
        <v>0</v>
      </c>
      <c r="Q421" s="86">
        <f>Q420*$A$421</f>
        <v>0</v>
      </c>
      <c r="R421" s="85">
        <f>R420*0.3</f>
        <v>0</v>
      </c>
      <c r="S421" s="86">
        <f>S420*$A$421</f>
        <v>0</v>
      </c>
      <c r="T421" s="85">
        <f>T420*0.3</f>
        <v>0</v>
      </c>
      <c r="U421" s="86">
        <f>U420*$A$421</f>
        <v>0</v>
      </c>
      <c r="V421" s="85">
        <f>V420*0.3</f>
        <v>0</v>
      </c>
      <c r="W421" s="86">
        <f>W420*$A$421</f>
        <v>0</v>
      </c>
      <c r="X421" s="85">
        <f>X420*0.3</f>
        <v>0</v>
      </c>
      <c r="Y421" s="86">
        <f>Y420*$A$421</f>
        <v>0</v>
      </c>
      <c r="Z421" s="85">
        <f>14*0.3</f>
        <v>4.2</v>
      </c>
    </row>
    <row r="422" spans="1:26" x14ac:dyDescent="0.3">
      <c r="C422" s="83"/>
      <c r="D422" s="82"/>
      <c r="E422" s="83"/>
      <c r="F422" s="82"/>
      <c r="G422" s="83"/>
      <c r="H422" s="82"/>
      <c r="I422" s="83"/>
      <c r="J422" s="82"/>
      <c r="K422" s="83"/>
      <c r="L422" s="82"/>
      <c r="M422" s="83"/>
      <c r="N422" s="82"/>
      <c r="O422" s="83"/>
      <c r="P422" s="82"/>
      <c r="Q422" s="83"/>
      <c r="R422" s="82"/>
      <c r="S422" s="83"/>
      <c r="T422" s="82"/>
      <c r="U422" s="83"/>
      <c r="V422" s="82"/>
      <c r="W422" s="83"/>
      <c r="X422" s="82"/>
      <c r="Y422" s="83"/>
      <c r="Z422" s="82"/>
    </row>
    <row r="423" spans="1:26" x14ac:dyDescent="0.3">
      <c r="B423" s="399" t="s">
        <v>648</v>
      </c>
      <c r="C423" s="84">
        <f t="shared" ref="C423:Z423" si="445">C415+C418+C421</f>
        <v>0</v>
      </c>
      <c r="D423" s="400">
        <f t="shared" si="445"/>
        <v>0</v>
      </c>
      <c r="E423" s="84">
        <f t="shared" si="445"/>
        <v>0</v>
      </c>
      <c r="F423" s="400">
        <f t="shared" si="445"/>
        <v>0</v>
      </c>
      <c r="G423" s="84">
        <f t="shared" si="445"/>
        <v>0</v>
      </c>
      <c r="H423" s="400">
        <f t="shared" si="445"/>
        <v>0</v>
      </c>
      <c r="I423" s="84">
        <f t="shared" si="445"/>
        <v>0</v>
      </c>
      <c r="J423" s="400">
        <f t="shared" si="445"/>
        <v>0</v>
      </c>
      <c r="K423" s="84">
        <f t="shared" si="445"/>
        <v>0</v>
      </c>
      <c r="L423" s="400">
        <f t="shared" si="445"/>
        <v>0</v>
      </c>
      <c r="M423" s="84">
        <f t="shared" si="445"/>
        <v>0</v>
      </c>
      <c r="N423" s="400">
        <f t="shared" si="445"/>
        <v>0</v>
      </c>
      <c r="O423" s="84">
        <f t="shared" si="445"/>
        <v>0</v>
      </c>
      <c r="P423" s="400">
        <f t="shared" si="445"/>
        <v>0</v>
      </c>
      <c r="Q423" s="84">
        <f t="shared" si="445"/>
        <v>0</v>
      </c>
      <c r="R423" s="400">
        <f t="shared" si="445"/>
        <v>0</v>
      </c>
      <c r="S423" s="84">
        <f t="shared" si="445"/>
        <v>0</v>
      </c>
      <c r="T423" s="400">
        <f t="shared" si="445"/>
        <v>0</v>
      </c>
      <c r="U423" s="84">
        <f t="shared" si="445"/>
        <v>0</v>
      </c>
      <c r="V423" s="400">
        <f t="shared" si="445"/>
        <v>0</v>
      </c>
      <c r="W423" s="84">
        <f t="shared" si="445"/>
        <v>0</v>
      </c>
      <c r="X423" s="400">
        <f t="shared" si="445"/>
        <v>0</v>
      </c>
      <c r="Y423" s="84">
        <f t="shared" si="445"/>
        <v>0</v>
      </c>
      <c r="Z423" s="400">
        <f t="shared" si="445"/>
        <v>4.2</v>
      </c>
    </row>
    <row r="424" spans="1:26" x14ac:dyDescent="0.3">
      <c r="C424" s="83"/>
      <c r="D424" s="82"/>
      <c r="E424" s="83"/>
      <c r="F424" s="82"/>
      <c r="G424" s="83"/>
      <c r="H424" s="82"/>
      <c r="I424" s="83"/>
      <c r="J424" s="82"/>
      <c r="K424" s="83"/>
      <c r="L424" s="82"/>
      <c r="M424" s="83"/>
      <c r="N424" s="82"/>
      <c r="O424" s="83"/>
      <c r="P424" s="82"/>
      <c r="Q424" s="83"/>
      <c r="R424" s="82"/>
      <c r="S424" s="83"/>
      <c r="T424" s="82"/>
      <c r="U424" s="83"/>
      <c r="V424" s="82"/>
      <c r="W424" s="83"/>
      <c r="X424" s="82"/>
      <c r="Y424" s="83"/>
      <c r="Z424" s="82"/>
    </row>
    <row r="425" spans="1:26" ht="15" thickBot="1" x14ac:dyDescent="0.35">
      <c r="B425" s="399" t="s">
        <v>649</v>
      </c>
      <c r="C425" s="81">
        <f t="shared" ref="C425:Z425" si="446">C408+C423</f>
        <v>342912</v>
      </c>
      <c r="D425" s="80">
        <f t="shared" si="446"/>
        <v>286479.05086500006</v>
      </c>
      <c r="E425" s="81">
        <f t="shared" si="446"/>
        <v>0</v>
      </c>
      <c r="F425" s="80">
        <f t="shared" si="446"/>
        <v>1909.55</v>
      </c>
      <c r="G425" s="81">
        <f t="shared" si="446"/>
        <v>0</v>
      </c>
      <c r="H425" s="80">
        <f t="shared" si="446"/>
        <v>0</v>
      </c>
      <c r="I425" s="81">
        <f t="shared" si="446"/>
        <v>0</v>
      </c>
      <c r="J425" s="80">
        <f t="shared" si="446"/>
        <v>0</v>
      </c>
      <c r="K425" s="81">
        <f t="shared" si="446"/>
        <v>0</v>
      </c>
      <c r="L425" s="80">
        <f t="shared" si="446"/>
        <v>0</v>
      </c>
      <c r="M425" s="81">
        <f t="shared" si="446"/>
        <v>0</v>
      </c>
      <c r="N425" s="80">
        <f t="shared" si="446"/>
        <v>0</v>
      </c>
      <c r="O425" s="81">
        <f t="shared" si="446"/>
        <v>0</v>
      </c>
      <c r="P425" s="80">
        <f t="shared" si="446"/>
        <v>0</v>
      </c>
      <c r="Q425" s="81">
        <f t="shared" si="446"/>
        <v>0</v>
      </c>
      <c r="R425" s="80">
        <f t="shared" si="446"/>
        <v>0</v>
      </c>
      <c r="S425" s="81">
        <f t="shared" si="446"/>
        <v>0</v>
      </c>
      <c r="T425" s="80">
        <f t="shared" si="446"/>
        <v>0</v>
      </c>
      <c r="U425" s="81">
        <f t="shared" si="446"/>
        <v>0</v>
      </c>
      <c r="V425" s="80">
        <f t="shared" si="446"/>
        <v>0</v>
      </c>
      <c r="W425" s="81">
        <f t="shared" si="446"/>
        <v>0</v>
      </c>
      <c r="X425" s="80">
        <f t="shared" si="446"/>
        <v>0</v>
      </c>
      <c r="Y425" s="81">
        <f t="shared" si="446"/>
        <v>0</v>
      </c>
      <c r="Z425" s="80">
        <f t="shared" si="446"/>
        <v>4.2</v>
      </c>
    </row>
    <row r="426" spans="1:26" ht="15" thickTop="1" x14ac:dyDescent="0.3"/>
    <row r="432" spans="1:26" x14ac:dyDescent="0.3">
      <c r="L432" s="79">
        <f>417.2/14.9</f>
        <v>28</v>
      </c>
    </row>
  </sheetData>
  <autoFilter ref="B1:B426" xr:uid="{4A432D01-EC85-4990-829B-64EC1CBC34F6}"/>
  <mergeCells count="1">
    <mergeCell ref="B1:BC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174a81-e164-4f2a-ba06-472b28796078">
      <Terms xmlns="http://schemas.microsoft.com/office/infopath/2007/PartnerControls"/>
    </lcf76f155ced4ddcb4097134ff3c332f>
    <TaxCatchAll xmlns="9d94cc49-c832-444c-b924-42c1f76129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B74E3EDF267C41B4558AE74DAD4762" ma:contentTypeVersion="14" ma:contentTypeDescription="Create a new document." ma:contentTypeScope="" ma:versionID="c711f1af0d46abe5b7ea27b726666264">
  <xsd:schema xmlns:xsd="http://www.w3.org/2001/XMLSchema" xmlns:xs="http://www.w3.org/2001/XMLSchema" xmlns:p="http://schemas.microsoft.com/office/2006/metadata/properties" xmlns:ns2="22174a81-e164-4f2a-ba06-472b28796078" xmlns:ns3="9d94cc49-c832-444c-b924-42c1f76129b8" targetNamespace="http://schemas.microsoft.com/office/2006/metadata/properties" ma:root="true" ma:fieldsID="579c5e6ee8b27f8de75b83dbea00817a" ns2:_="" ns3:_="">
    <xsd:import namespace="22174a81-e164-4f2a-ba06-472b28796078"/>
    <xsd:import namespace="9d94cc49-c832-444c-b924-42c1f76129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74a81-e164-4f2a-ba06-472b287960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8091a0-1561-4f31-b0b3-8ad7ce75fd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4cc49-c832-444c-b924-42c1f76129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c545944-b43e-43e3-bc45-05dd2e6da162}" ma:internalName="TaxCatchAll" ma:showField="CatchAllData" ma:web="9d94cc49-c832-444c-b924-42c1f76129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B3893-8CC3-4A0B-BEE6-AF5B02DACA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04FC5F-5D9B-4152-A91A-954842BE4B87}">
  <ds:schemaRefs>
    <ds:schemaRef ds:uri="http://schemas.microsoft.com/office/2006/metadata/properties"/>
    <ds:schemaRef ds:uri="http://schemas.microsoft.com/office/infopath/2007/PartnerControls"/>
    <ds:schemaRef ds:uri="22174a81-e164-4f2a-ba06-472b28796078"/>
    <ds:schemaRef ds:uri="9d94cc49-c832-444c-b924-42c1f76129b8"/>
  </ds:schemaRefs>
</ds:datastoreItem>
</file>

<file path=customXml/itemProps3.xml><?xml version="1.0" encoding="utf-8"?>
<ds:datastoreItem xmlns:ds="http://schemas.openxmlformats.org/officeDocument/2006/customXml" ds:itemID="{F781887E-EB7B-4F7A-A5B0-30E1C7398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174a81-e164-4f2a-ba06-472b28796078"/>
    <ds:schemaRef ds:uri="9d94cc49-c832-444c-b924-42c1f76129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</vt:i4>
      </vt:variant>
    </vt:vector>
  </HeadingPairs>
  <TitlesOfParts>
    <vt:vector size="19" baseType="lpstr">
      <vt:lpstr>Custo por transação</vt:lpstr>
      <vt:lpstr>Cargos e Tarefas</vt:lpstr>
      <vt:lpstr>Custos</vt:lpstr>
      <vt:lpstr>Resumo Gerencial</vt:lpstr>
      <vt:lpstr>PLANO ORÇAMENTARIO - VIP</vt:lpstr>
      <vt:lpstr>PLANO ORÇAMENTARIO - VIDAL</vt:lpstr>
      <vt:lpstr>PLANO ORÇAMENTARIO - V3</vt:lpstr>
      <vt:lpstr>Planilha1</vt:lpstr>
      <vt:lpstr>Fluxo De caixa - VIP</vt:lpstr>
      <vt:lpstr>Fluxo De caixa - VIDAL</vt:lpstr>
      <vt:lpstr>VIP MX</vt:lpstr>
      <vt:lpstr>VIDAL</vt:lpstr>
      <vt:lpstr>V3</vt:lpstr>
      <vt:lpstr>Fluxo De caixa - VIP 12-2025</vt:lpstr>
      <vt:lpstr>Ações 2026</vt:lpstr>
      <vt:lpstr>Divida Fornecedores</vt:lpstr>
      <vt:lpstr>Feira Santana</vt:lpstr>
      <vt:lpstr>Vendas</vt:lpstr>
      <vt:lpstr>'Feira Santana'!Excel_BuiltIn__FilterDatabase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</dc:creator>
  <cp:keywords/>
  <dc:description/>
  <cp:lastModifiedBy>Igor Miranda</cp:lastModifiedBy>
  <cp:revision/>
  <dcterms:created xsi:type="dcterms:W3CDTF">2013-05-14T15:30:01Z</dcterms:created>
  <dcterms:modified xsi:type="dcterms:W3CDTF">2026-06-10T14:24:13Z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0x01010061B74E3EDF267C41B4558AE74DAD4762</vt:lpwstr>
  </property>
  <property fmtid="{D5CDD505-2E9C-101B-9397-08002B2CF9AE}" pid="3" name="MediaServiceImageTags">
    <vt:lpwstr/>
  </property>
</Properties>
</file>