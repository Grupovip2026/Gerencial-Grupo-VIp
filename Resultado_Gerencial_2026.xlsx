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851" documentId="8_{04EA1580-011F-4535-ABF1-02B9CCBA3B27}" xr6:coauthVersionLast="47" xr6:coauthVersionMax="47" xr10:uidLastSave="{48736FEC-D053-4C84-9099-5B48B97FB614}"/>
  <bookViews>
    <workbookView xWindow="-108" yWindow="-108" windowWidth="23256" windowHeight="12456" firstSheet="5" activeTab="5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91028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59" l="1"/>
  <c r="J35" i="59"/>
  <c r="J31" i="59"/>
  <c r="J27" i="59"/>
  <c r="J13" i="59"/>
  <c r="J15" i="59" s="1"/>
  <c r="J22" i="59" s="1"/>
  <c r="J20" i="59"/>
  <c r="J20" i="58"/>
  <c r="J15" i="58"/>
  <c r="J22" i="58" s="1"/>
  <c r="J37" i="58" s="1"/>
  <c r="J44" i="58" s="1"/>
  <c r="J47" i="58" s="1"/>
  <c r="L11" i="43"/>
  <c r="L11" i="50"/>
  <c r="J11" i="43"/>
  <c r="L13" i="50"/>
  <c r="L14" i="50"/>
  <c r="C5" i="47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J44" i="59" l="1"/>
  <c r="J47" i="59" s="1"/>
  <c r="F22" i="59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L22" i="51" l="1"/>
  <c r="T22" i="51"/>
  <c r="D22" i="5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L12" authorId="9" shapeId="0" xr:uid="{2AE0C3BF-AC94-4001-9060-8466D72E38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10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1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2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3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4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5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6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7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8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9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20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1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2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3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4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5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6" shapeId="0" xr:uid="{5320EFD4-E037-4E8F-B10F-0FF1805235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7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8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9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30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1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2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3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4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5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6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7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8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9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7" authorId="40" shapeId="0" xr:uid="{0FAD9603-29BC-4859-ACB2-2A7EF5020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</text>
    </comment>
    <comment ref="C23" authorId="41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1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1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1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1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1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1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1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1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1" shapeId="0" xr:uid="{2DF74CB7-0617-4A01-8D5B-BD0399A810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1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1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1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1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1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1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1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1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1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1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1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1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1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</text>
    </comment>
    <comment ref="L13" authorId="9" shapeId="0" xr:uid="{B7B2C3AF-659B-4D2D-8E81-0314C954C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</text>
    </comment>
    <comment ref="M13" authorId="10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</text>
    </comment>
    <comment ref="C14" authorId="11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2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3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4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15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16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17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18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19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0" shapeId="0" xr:uid="{BD68AC8F-01BA-4CDD-8A57-A9515911BB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</text>
    </comment>
    <comment ref="M14" authorId="21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22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L17" authorId="23" shapeId="0" xr:uid="{4F677B13-F86B-4FA0-AF39-5FE96B7859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<sst xmlns="http://schemas.openxmlformats.org/spreadsheetml/2006/main" count="1850" uniqueCount="692">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</sst>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sz val="9"/>
      <color indexed="81"/>
      <name val="Segoe UI"/>
      <charset val="1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56"/>
      <c r="B2" s="408" t="s">
        <v>0</v>
      </c>
      <c r="C2" s="408"/>
      <c r="D2" s="408"/>
      <c r="E2" s="408"/>
      <c r="F2" s="408"/>
      <c r="G2" s="408"/>
      <c r="H2" s="408"/>
      <c r="I2" s="408"/>
      <c r="J2" s="408"/>
      <c r="K2" s="408"/>
      <c r="L2" s="408"/>
      <c r="M2" s="57"/>
    </row>
    <row r="3" spans="1:13" ht="12.6" customHeight="1" x14ac:dyDescent="0.2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6" x14ac:dyDescent="0.3">
      <c r="B4" s="23" t="s">
        <v>1</v>
      </c>
    </row>
    <row r="5" spans="1:13" ht="6" customHeight="1" x14ac:dyDescent="0.25"/>
    <row r="6" spans="1:13" x14ac:dyDescent="0.25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5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5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 t="shared" ref="G8:G10" si="0">E8/C8</f>
        <v>#REF!</v>
      </c>
      <c r="H8" s="31" t="e">
        <f t="shared" ref="H8:H10" si="1">E8/D8</f>
        <v>#REF!</v>
      </c>
    </row>
    <row r="9" spans="1:13" x14ac:dyDescent="0.25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 t="shared" si="0"/>
        <v>#REF!</v>
      </c>
      <c r="H9" s="31" t="e">
        <f t="shared" si="1"/>
        <v>#REF!</v>
      </c>
    </row>
    <row r="10" spans="1:13" x14ac:dyDescent="0.25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 t="shared" si="0"/>
        <v>#REF!</v>
      </c>
      <c r="H10" s="32" t="e">
        <f t="shared" si="1"/>
        <v>#REF!</v>
      </c>
    </row>
    <row r="11" spans="1:13" ht="6" customHeight="1" x14ac:dyDescent="0.25"/>
    <row r="12" spans="1:13" ht="15.6" x14ac:dyDescent="0.3">
      <c r="B12" s="33" t="s">
        <v>10</v>
      </c>
    </row>
    <row r="13" spans="1:13" ht="6" customHeight="1" x14ac:dyDescent="0.25"/>
    <row r="14" spans="1:13" x14ac:dyDescent="0.25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5">
      <c r="B15" s="28">
        <f>B7</f>
        <v>45078</v>
      </c>
      <c r="C15" s="2">
        <f>C7</f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5">
      <c r="B16" s="28">
        <f t="shared" ref="B16:C17" si="2">B8</f>
        <v>45108</v>
      </c>
      <c r="C16" s="2">
        <f t="shared" si="2"/>
        <v>751665</v>
      </c>
      <c r="D16" s="38" t="e">
        <f>#REF!+#REF!</f>
        <v>#REF!</v>
      </c>
      <c r="E16" s="38" t="e">
        <f>#REF!+E58</f>
        <v>#REF!</v>
      </c>
      <c r="F16" s="44" t="e">
        <f t="shared" ref="F16:F17" si="3">SUM(D16:E16)</f>
        <v>#REF!</v>
      </c>
      <c r="G16" s="40" t="e">
        <f t="shared" ref="G16:G18" si="4">F16/C16</f>
        <v>#REF!</v>
      </c>
      <c r="H16" s="31" t="e">
        <f t="shared" ref="H16:H18" si="5">F16/D8</f>
        <v>#REF!</v>
      </c>
    </row>
    <row r="17" spans="2:11" x14ac:dyDescent="0.25">
      <c r="B17" s="28">
        <f t="shared" si="2"/>
        <v>45139</v>
      </c>
      <c r="C17" s="2">
        <f t="shared" si="2"/>
        <v>851310</v>
      </c>
      <c r="D17" s="38" t="e">
        <f>#REF!+#REF!</f>
        <v>#REF!</v>
      </c>
      <c r="E17" s="38" t="e">
        <f>#REF!+E59</f>
        <v>#REF!</v>
      </c>
      <c r="F17" s="44" t="e">
        <f t="shared" si="3"/>
        <v>#REF!</v>
      </c>
      <c r="G17" s="40" t="e">
        <f t="shared" si="4"/>
        <v>#REF!</v>
      </c>
      <c r="H17" s="31" t="e">
        <f t="shared" si="5"/>
        <v>#REF!</v>
      </c>
    </row>
    <row r="18" spans="2:11" x14ac:dyDescent="0.25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 t="shared" si="4"/>
        <v>#REF!</v>
      </c>
      <c r="H18" s="61" t="e">
        <f t="shared" si="5"/>
        <v>#REF!</v>
      </c>
    </row>
    <row r="19" spans="2:11" x14ac:dyDescent="0.25">
      <c r="B19" s="36" t="s">
        <v>15</v>
      </c>
    </row>
    <row r="20" spans="2:11" x14ac:dyDescent="0.25">
      <c r="B20" s="36" t="s">
        <v>16</v>
      </c>
    </row>
    <row r="21" spans="2:11" ht="6" customHeight="1" x14ac:dyDescent="0.25">
      <c r="B21" s="36"/>
    </row>
    <row r="22" spans="2:11" ht="15.6" x14ac:dyDescent="0.3">
      <c r="B22" s="33" t="s">
        <v>17</v>
      </c>
    </row>
    <row r="23" spans="2:11" ht="6" customHeight="1" x14ac:dyDescent="0.3">
      <c r="B23" s="33"/>
    </row>
    <row r="24" spans="2:11" x14ac:dyDescent="0.25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5">
      <c r="B25" s="28">
        <f>B15</f>
        <v>45078</v>
      </c>
      <c r="C25" s="2">
        <f>C15</f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5">
      <c r="B26" s="28">
        <f t="shared" ref="B26:B27" si="6">B16</f>
        <v>45108</v>
      </c>
      <c r="C26" s="2">
        <f t="shared" ref="C26:C27" si="7">C16</f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 t="shared" ref="G26:G27" si="8">SUM(D26:F26)</f>
        <v>#REF!</v>
      </c>
      <c r="H26" s="40" t="e">
        <f t="shared" ref="H26:H28" si="9">G26/C26</f>
        <v>#REF!</v>
      </c>
      <c r="I26" s="31" t="e">
        <f t="shared" ref="I26:I28" si="10">G26/D8</f>
        <v>#REF!</v>
      </c>
    </row>
    <row r="27" spans="2:11" x14ac:dyDescent="0.25">
      <c r="B27" s="28">
        <f t="shared" si="6"/>
        <v>45139</v>
      </c>
      <c r="C27" s="2">
        <f t="shared" si="7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 t="shared" si="8"/>
        <v>#REF!</v>
      </c>
      <c r="H27" s="40" t="e">
        <f t="shared" si="9"/>
        <v>#REF!</v>
      </c>
      <c r="I27" s="31" t="e">
        <f t="shared" si="10"/>
        <v>#REF!</v>
      </c>
    </row>
    <row r="28" spans="2:11" x14ac:dyDescent="0.25">
      <c r="B28" s="34" t="s">
        <v>9</v>
      </c>
      <c r="C28" s="58">
        <f>SUM(C25:C27)</f>
        <v>2278687</v>
      </c>
      <c r="D28" s="59" t="e">
        <f t="shared" ref="D28:G28" si="11">SUM(D25:D27)</f>
        <v>#REF!</v>
      </c>
      <c r="E28" s="59" t="e">
        <f t="shared" si="11"/>
        <v>#REF!</v>
      </c>
      <c r="F28" s="59" t="e">
        <f t="shared" si="11"/>
        <v>#REF!</v>
      </c>
      <c r="G28" s="59" t="e">
        <f t="shared" si="11"/>
        <v>#REF!</v>
      </c>
      <c r="H28" s="60" t="e">
        <f t="shared" si="9"/>
        <v>#REF!</v>
      </c>
      <c r="I28" s="61" t="e">
        <f t="shared" si="10"/>
        <v>#REF!</v>
      </c>
    </row>
    <row r="29" spans="2:11" ht="6" customHeight="1" x14ac:dyDescent="0.3">
      <c r="B29" s="33"/>
    </row>
    <row r="30" spans="2:11" ht="15.6" x14ac:dyDescent="0.3">
      <c r="B30" s="33" t="s">
        <v>22</v>
      </c>
    </row>
    <row r="31" spans="2:11" ht="6" customHeight="1" x14ac:dyDescent="0.3">
      <c r="B31" s="33"/>
    </row>
    <row r="32" spans="2:11" x14ac:dyDescent="0.25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5">
      <c r="B33" s="28">
        <f>B25</f>
        <v>45078</v>
      </c>
      <c r="C33" s="2">
        <f>C25</f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5">
      <c r="B34" s="28">
        <f t="shared" ref="B34:C35" si="12">B26</f>
        <v>45108</v>
      </c>
      <c r="C34" s="2">
        <f t="shared" si="1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 t="shared" ref="H34:H36" si="13">SUM(D34:G34)</f>
        <v>#REF!</v>
      </c>
      <c r="I34" s="40" t="e">
        <f t="shared" ref="I34:I36" si="14">H34/C34</f>
        <v>#REF!</v>
      </c>
      <c r="J34" s="31" t="e">
        <f t="shared" ref="J34:J36" si="15">H34/D8</f>
        <v>#REF!</v>
      </c>
      <c r="K34" s="53"/>
    </row>
    <row r="35" spans="2:13" x14ac:dyDescent="0.25">
      <c r="B35" s="28">
        <f t="shared" si="12"/>
        <v>45139</v>
      </c>
      <c r="C35" s="2">
        <f t="shared" si="1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 t="shared" si="13"/>
        <v>#REF!</v>
      </c>
      <c r="I35" s="40" t="e">
        <f t="shared" si="14"/>
        <v>#REF!</v>
      </c>
      <c r="J35" s="31" t="e">
        <f t="shared" si="15"/>
        <v>#REF!</v>
      </c>
      <c r="K35" s="53"/>
    </row>
    <row r="36" spans="2:13" x14ac:dyDescent="0.25">
      <c r="B36" s="34" t="s">
        <v>9</v>
      </c>
      <c r="C36" s="58">
        <f>SUM(C33:C35)</f>
        <v>2278687</v>
      </c>
      <c r="D36" s="59" t="e">
        <f t="shared" ref="D36:G36" si="16">SUM(D33:D35)</f>
        <v>#REF!</v>
      </c>
      <c r="E36" s="59" t="e">
        <f t="shared" si="16"/>
        <v>#REF!</v>
      </c>
      <c r="F36" s="62" t="e">
        <f t="shared" si="16"/>
        <v>#REF!</v>
      </c>
      <c r="G36" s="62" t="e">
        <f t="shared" si="16"/>
        <v>#REF!</v>
      </c>
      <c r="H36" s="62" t="e">
        <f t="shared" si="13"/>
        <v>#REF!</v>
      </c>
      <c r="I36" s="60" t="e">
        <f t="shared" si="14"/>
        <v>#REF!</v>
      </c>
      <c r="J36" s="61" t="e">
        <f t="shared" si="15"/>
        <v>#REF!</v>
      </c>
      <c r="K36" s="54"/>
      <c r="L36" s="405"/>
      <c r="M36" s="406"/>
    </row>
    <row r="37" spans="2:13" x14ac:dyDescent="0.25">
      <c r="B37" s="36" t="s">
        <v>28</v>
      </c>
      <c r="L37" s="405"/>
      <c r="M37" s="406"/>
    </row>
    <row r="38" spans="2:13" ht="15.6" x14ac:dyDescent="0.3">
      <c r="B38" s="33"/>
    </row>
    <row r="39" spans="2:13" ht="16.2" thickBot="1" x14ac:dyDescent="0.35">
      <c r="B39" s="33"/>
    </row>
    <row r="40" spans="2:13" ht="12.6" hidden="1" thickBot="1" x14ac:dyDescent="0.3">
      <c r="F40" s="37">
        <v>45078</v>
      </c>
      <c r="G40" s="37">
        <v>45108</v>
      </c>
      <c r="H40" s="37">
        <v>45139</v>
      </c>
    </row>
    <row r="41" spans="2:13" ht="12.6" hidden="1" thickBot="1" x14ac:dyDescent="0.3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6" hidden="1" thickBot="1" x14ac:dyDescent="0.3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6" hidden="1" thickBot="1" x14ac:dyDescent="0.3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6" hidden="1" thickBot="1" x14ac:dyDescent="0.3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6" hidden="1" thickBot="1" x14ac:dyDescent="0.3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6" hidden="1" thickBot="1" x14ac:dyDescent="0.3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6" hidden="1" thickBot="1" x14ac:dyDescent="0.3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6" hidden="1" thickBot="1" x14ac:dyDescent="0.3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6" hidden="1" thickBot="1" x14ac:dyDescent="0.3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6" hidden="1" thickBot="1" x14ac:dyDescent="0.3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6" t="e">
        <f>SUM(F41:F50)</f>
        <v>#REF!</v>
      </c>
      <c r="G51" s="16" t="e">
        <f t="shared" ref="G51:H51" si="17">SUM(G41:G50)</f>
        <v>#REF!</v>
      </c>
      <c r="H51" s="16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6" hidden="1" thickBot="1" x14ac:dyDescent="0.3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6" hidden="1" thickBot="1" x14ac:dyDescent="0.3">
      <c r="B58" s="25">
        <f t="shared" ref="B58:B59" si="18">B16</f>
        <v>45108</v>
      </c>
      <c r="C58" s="2" t="e">
        <f t="shared" ref="C58:C59" si="19">E8*5%</f>
        <v>#REF!</v>
      </c>
      <c r="D58" s="26">
        <v>5604</v>
      </c>
      <c r="E58" s="2" t="e">
        <f>C58-D58</f>
        <v>#REF!</v>
      </c>
    </row>
    <row r="59" spans="2:8" ht="12.6" hidden="1" thickBot="1" x14ac:dyDescent="0.3">
      <c r="B59" s="25">
        <f t="shared" si="18"/>
        <v>45139</v>
      </c>
      <c r="C59" s="2" t="e">
        <f t="shared" si="19"/>
        <v>#REF!</v>
      </c>
      <c r="D59" s="26">
        <v>5604</v>
      </c>
      <c r="E59" s="2" t="e">
        <f>C59-D59</f>
        <v>#REF!</v>
      </c>
    </row>
    <row r="60" spans="2:8" ht="16.2" thickBot="1" x14ac:dyDescent="0.35">
      <c r="B60" s="407" t="s">
        <v>34</v>
      </c>
      <c r="C60" s="407"/>
      <c r="D60" s="407"/>
      <c r="E60" s="407"/>
      <c r="F60" s="407"/>
    </row>
    <row r="61" spans="2:8" x14ac:dyDescent="0.25">
      <c r="E61" s="51" t="s">
        <v>35</v>
      </c>
      <c r="F61" s="51" t="s">
        <v>36</v>
      </c>
    </row>
    <row r="62" spans="2:8" x14ac:dyDescent="0.25">
      <c r="B62" s="46" t="s">
        <v>37</v>
      </c>
    </row>
    <row r="63" spans="2:8" x14ac:dyDescent="0.25">
      <c r="B63" s="47" t="s">
        <v>38</v>
      </c>
      <c r="E63" s="45">
        <f>F10</f>
        <v>23.929703816276653</v>
      </c>
    </row>
    <row r="64" spans="2:8" x14ac:dyDescent="0.25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5">
      <c r="B65" s="47"/>
    </row>
    <row r="66" spans="2:6" x14ac:dyDescent="0.25">
      <c r="B66" s="48" t="s">
        <v>40</v>
      </c>
    </row>
    <row r="67" spans="2:6" x14ac:dyDescent="0.25">
      <c r="B67" s="49" t="s">
        <v>41</v>
      </c>
    </row>
    <row r="68" spans="2:6" x14ac:dyDescent="0.25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5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5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5">
      <c r="B71" s="49" t="s">
        <v>45</v>
      </c>
    </row>
    <row r="72" spans="2:6" x14ac:dyDescent="0.25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5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5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5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5">
      <c r="B76" s="49" t="s">
        <v>50</v>
      </c>
    </row>
    <row r="77" spans="2:6" x14ac:dyDescent="0.25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5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5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5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5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5">
      <c r="B83" s="1" t="s">
        <v>53</v>
      </c>
      <c r="E83" s="22" t="e">
        <f>F64</f>
        <v>#REF!</v>
      </c>
    </row>
    <row r="84" spans="2:6" x14ac:dyDescent="0.25">
      <c r="B84" s="1" t="s">
        <v>41</v>
      </c>
      <c r="E84" s="22" t="e">
        <f>-F70</f>
        <v>#REF!</v>
      </c>
    </row>
    <row r="85" spans="2:6" x14ac:dyDescent="0.25">
      <c r="B85" s="187" t="s">
        <v>54</v>
      </c>
      <c r="C85" s="188"/>
      <c r="D85" s="188"/>
      <c r="E85" s="189" t="e">
        <f>SUM(E83:E84)</f>
        <v>#REF!</v>
      </c>
    </row>
    <row r="86" spans="2:6" x14ac:dyDescent="0.25">
      <c r="B86" s="1" t="s">
        <v>45</v>
      </c>
      <c r="E86" s="22" t="e">
        <f>-F75</f>
        <v>#REF!</v>
      </c>
    </row>
    <row r="87" spans="2:6" x14ac:dyDescent="0.25">
      <c r="B87" s="187" t="s">
        <v>54</v>
      </c>
      <c r="C87" s="188"/>
      <c r="D87" s="188"/>
      <c r="E87" s="189" t="e">
        <f>SUM(E85:E86)</f>
        <v>#REF!</v>
      </c>
    </row>
    <row r="88" spans="2:6" x14ac:dyDescent="0.25">
      <c r="B88" s="1" t="s">
        <v>50</v>
      </c>
      <c r="E88" s="22" t="e">
        <f>-F81</f>
        <v>#REF!</v>
      </c>
    </row>
    <row r="89" spans="2:6" x14ac:dyDescent="0.25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workbookViewId="0">
      <selection activeCell="G20" sqref="G20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403" t="s">
        <v>643</v>
      </c>
      <c r="C2" s="403"/>
      <c r="F2" s="404" t="s">
        <v>626</v>
      </c>
      <c r="G2" s="404"/>
    </row>
    <row r="3" spans="2:7" s="323" customFormat="1" x14ac:dyDescent="0.25">
      <c r="B3" s="343"/>
      <c r="C3" s="343"/>
      <c r="F3" s="344"/>
      <c r="G3" s="344"/>
    </row>
    <row r="4" spans="2:7" x14ac:dyDescent="0.25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5">
      <c r="B5" s="323" t="s">
        <v>628</v>
      </c>
      <c r="C5" s="401">
        <f>'PLANO ORÇAMENTARIO - VIP'!K11+178.31+1098.6+800</f>
        <v>9122.65</v>
      </c>
      <c r="F5" s="323" t="s">
        <v>635</v>
      </c>
      <c r="G5" s="401">
        <v>5000</v>
      </c>
    </row>
    <row r="6" spans="2:7" x14ac:dyDescent="0.25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5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5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5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5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5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5">
      <c r="B12" s="323" t="s">
        <v>636</v>
      </c>
      <c r="C12" s="402">
        <v>450</v>
      </c>
    </row>
    <row r="13" spans="2:7" x14ac:dyDescent="0.25">
      <c r="B13" s="323" t="s">
        <v>638</v>
      </c>
      <c r="C13" s="402">
        <v>2000</v>
      </c>
    </row>
    <row r="14" spans="2:7" x14ac:dyDescent="0.25">
      <c r="B14" s="323" t="s">
        <v>642</v>
      </c>
      <c r="C14" s="402">
        <v>6602</v>
      </c>
    </row>
    <row r="15" spans="2:7" x14ac:dyDescent="0.25">
      <c r="B15" s="346"/>
      <c r="C15" s="347">
        <f>SUM(C5:C14)</f>
        <v>40064.65</v>
      </c>
    </row>
    <row r="18" spans="6:7" x14ac:dyDescent="0.25">
      <c r="G18" s="332"/>
    </row>
    <row r="19" spans="6:7" x14ac:dyDescent="0.25">
      <c r="F19" s="339"/>
      <c r="G19" s="339"/>
    </row>
    <row r="20" spans="6:7" x14ac:dyDescent="0.25">
      <c r="F20" s="339"/>
      <c r="G20" s="339"/>
    </row>
    <row r="21" spans="6:7" x14ac:dyDescent="0.25">
      <c r="F21" s="339"/>
      <c r="G21" s="339"/>
    </row>
    <row r="22" spans="6:7" x14ac:dyDescent="0.25">
      <c r="F22" s="339"/>
      <c r="G22" s="339"/>
    </row>
    <row r="23" spans="6:7" x14ac:dyDescent="0.25">
      <c r="F23" s="339"/>
      <c r="G23" s="339"/>
    </row>
    <row r="24" spans="6:7" x14ac:dyDescent="0.25">
      <c r="F24" s="339"/>
      <c r="G24" s="339"/>
    </row>
    <row r="25" spans="6:7" x14ac:dyDescent="0.25">
      <c r="F25" s="339"/>
      <c r="G25" s="339"/>
    </row>
    <row r="26" spans="6:7" x14ac:dyDescent="0.25">
      <c r="F26" s="339"/>
      <c r="G26" s="339"/>
    </row>
    <row r="27" spans="6:7" x14ac:dyDescent="0.25">
      <c r="F27" s="339"/>
      <c r="G27" s="339"/>
    </row>
    <row r="28" spans="6:7" x14ac:dyDescent="0.25">
      <c r="F28" s="339"/>
      <c r="G28" s="339"/>
    </row>
    <row r="29" spans="6:7" x14ac:dyDescent="0.25">
      <c r="F29" s="339"/>
      <c r="G29" s="339"/>
    </row>
    <row r="30" spans="6:7" x14ac:dyDescent="0.25">
      <c r="F30" s="339"/>
      <c r="G30" s="339"/>
    </row>
    <row r="31" spans="6:7" x14ac:dyDescent="0.25">
      <c r="F31" s="339"/>
      <c r="G31" s="339"/>
    </row>
    <row r="32" spans="6:7" x14ac:dyDescent="0.25">
      <c r="F32" s="339"/>
      <c r="G32" s="339"/>
    </row>
    <row r="33" spans="6:7" x14ac:dyDescent="0.25">
      <c r="F33" s="339"/>
      <c r="G33" s="339"/>
    </row>
    <row r="34" spans="6:7" x14ac:dyDescent="0.25">
      <c r="F34" s="339"/>
      <c r="G34" s="339"/>
    </row>
    <row r="35" spans="6:7" x14ac:dyDescent="0.25">
      <c r="F35" s="339"/>
      <c r="G35" s="339"/>
    </row>
    <row r="36" spans="6:7" x14ac:dyDescent="0.25">
      <c r="F36" s="339"/>
      <c r="G36" s="339"/>
    </row>
    <row r="37" spans="6:7" x14ac:dyDescent="0.25">
      <c r="F37" s="339"/>
      <c r="G37" s="339"/>
    </row>
    <row r="38" spans="6:7" x14ac:dyDescent="0.25">
      <c r="F38" s="339"/>
      <c r="G38" s="339"/>
    </row>
    <row r="39" spans="6:7" x14ac:dyDescent="0.25">
      <c r="F39" s="339"/>
      <c r="G39" s="339"/>
    </row>
    <row r="40" spans="6:7" x14ac:dyDescent="0.25">
      <c r="F40" s="339"/>
      <c r="G40" s="339"/>
    </row>
    <row r="41" spans="6:7" x14ac:dyDescent="0.25">
      <c r="F41" s="339"/>
      <c r="G41" s="339"/>
    </row>
    <row r="42" spans="6:7" x14ac:dyDescent="0.25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L21" sqref="L21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0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1"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2">SUM(D11:D23)</f>
        <v>439765.25</v>
      </c>
      <c r="E10" s="342">
        <f t="shared" si="2"/>
        <v>343180.70999999996</v>
      </c>
      <c r="F10" s="342">
        <f t="shared" si="2"/>
        <v>389391.98</v>
      </c>
      <c r="G10" s="342">
        <f t="shared" si="2"/>
        <v>301860.87</v>
      </c>
      <c r="H10" s="342">
        <f t="shared" si="2"/>
        <v>464461.03</v>
      </c>
      <c r="I10" s="342">
        <f t="shared" si="2"/>
        <v>228299.94</v>
      </c>
      <c r="J10" s="342">
        <f t="shared" si="2"/>
        <v>409521.58999999997</v>
      </c>
      <c r="K10" s="342">
        <f t="shared" si="2"/>
        <v>186047.12</v>
      </c>
      <c r="L10" s="342">
        <f t="shared" si="2"/>
        <v>504391.17999999993</v>
      </c>
      <c r="M10" s="342">
        <f t="shared" si="2"/>
        <v>158885.35999999999</v>
      </c>
      <c r="N10" s="342">
        <f t="shared" si="2"/>
        <v>0</v>
      </c>
      <c r="O10" s="342">
        <f t="shared" si="2"/>
        <v>0</v>
      </c>
      <c r="P10" s="342">
        <f t="shared" si="2"/>
        <v>0</v>
      </c>
      <c r="Q10" s="342">
        <f t="shared" si="2"/>
        <v>0</v>
      </c>
      <c r="R10" s="342">
        <f t="shared" si="2"/>
        <v>0</v>
      </c>
      <c r="S10" s="342">
        <f t="shared" si="2"/>
        <v>0</v>
      </c>
      <c r="T10" s="342">
        <f t="shared" si="2"/>
        <v>0</v>
      </c>
      <c r="U10" s="342">
        <f t="shared" si="2"/>
        <v>0</v>
      </c>
      <c r="V10" s="342">
        <f t="shared" si="2"/>
        <v>0</v>
      </c>
      <c r="W10" s="342">
        <f t="shared" si="2"/>
        <v>0</v>
      </c>
      <c r="X10" s="342">
        <f t="shared" si="2"/>
        <v>0</v>
      </c>
      <c r="Y10" s="342">
        <f t="shared" si="2"/>
        <v>0</v>
      </c>
      <c r="Z10" s="340">
        <f t="shared" si="2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35000</v>
      </c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3">C3-C10</f>
        <v>-128848.93</v>
      </c>
      <c r="D24" s="331">
        <f>D3-D10</f>
        <v>-4409.7800000000279</v>
      </c>
      <c r="E24" s="331">
        <f t="shared" si="3"/>
        <v>-76680.709999999963</v>
      </c>
      <c r="F24" s="331">
        <f t="shared" si="3"/>
        <v>-26198.189999999944</v>
      </c>
      <c r="G24" s="331">
        <f t="shared" si="3"/>
        <v>-38860.869999999995</v>
      </c>
      <c r="H24" s="331">
        <f t="shared" si="3"/>
        <v>-18203.489999999991</v>
      </c>
      <c r="I24" s="331">
        <f t="shared" si="3"/>
        <v>64850.06</v>
      </c>
      <c r="J24" s="331">
        <f>J3-J10</f>
        <v>136391.74</v>
      </c>
      <c r="K24" s="331">
        <f t="shared" si="3"/>
        <v>107102.88</v>
      </c>
      <c r="L24" s="331">
        <f t="shared" si="3"/>
        <v>-88786.149999999965</v>
      </c>
      <c r="M24" s="331">
        <f t="shared" si="3"/>
        <v>134264.64000000001</v>
      </c>
      <c r="N24" s="331">
        <f t="shared" si="3"/>
        <v>0</v>
      </c>
      <c r="O24" s="331">
        <f t="shared" si="3"/>
        <v>0</v>
      </c>
      <c r="P24" s="331">
        <f t="shared" si="3"/>
        <v>0</v>
      </c>
      <c r="Q24" s="331">
        <f t="shared" si="3"/>
        <v>0</v>
      </c>
      <c r="R24" s="331">
        <f t="shared" si="3"/>
        <v>0</v>
      </c>
      <c r="S24" s="331">
        <f t="shared" si="3"/>
        <v>0</v>
      </c>
      <c r="T24" s="331">
        <f t="shared" si="3"/>
        <v>0</v>
      </c>
      <c r="U24" s="331">
        <f t="shared" si="3"/>
        <v>0</v>
      </c>
      <c r="V24" s="331">
        <f t="shared" si="3"/>
        <v>0</v>
      </c>
      <c r="W24" s="331">
        <f t="shared" si="3"/>
        <v>0</v>
      </c>
      <c r="X24" s="331">
        <f t="shared" si="3"/>
        <v>0</v>
      </c>
      <c r="Y24" s="331">
        <f t="shared" si="3"/>
        <v>0</v>
      </c>
      <c r="Z24" s="331">
        <f t="shared" si="3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x14ac:dyDescent="0.25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5">
      <c r="A28" s="334"/>
      <c r="C28" s="337"/>
      <c r="J28" s="332"/>
      <c r="Q28" s="339"/>
      <c r="R28" s="339"/>
    </row>
    <row r="29" spans="1:26" x14ac:dyDescent="0.25">
      <c r="A29" s="337"/>
      <c r="C29" s="337"/>
      <c r="E29" s="390"/>
      <c r="H29" s="336"/>
    </row>
    <row r="30" spans="1:26" x14ac:dyDescent="0.25">
      <c r="A30" s="334"/>
      <c r="C30" s="333"/>
      <c r="D30" s="392"/>
    </row>
    <row r="32" spans="1:26" x14ac:dyDescent="0.25">
      <c r="A32" s="333"/>
      <c r="D32" s="332"/>
      <c r="E32" s="332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zoomScaleNormal="100" zoomScaleSheetLayoutView="100" workbookViewId="0">
      <selection activeCell="L19" sqref="L19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0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/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/>
      <c r="O5" s="338">
        <f t="shared" ref="O5:O7" si="1"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/>
      <c r="O6" s="338">
        <f t="shared" si="1"/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2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182853.5</v>
      </c>
      <c r="D10" s="342">
        <f t="shared" ref="D10:Z10" si="3">SUM(D11:D23)</f>
        <v>71161.33</v>
      </c>
      <c r="E10" s="342">
        <f t="shared" si="3"/>
        <v>182853.5</v>
      </c>
      <c r="F10" s="342">
        <f t="shared" si="3"/>
        <v>86782.260000000009</v>
      </c>
      <c r="G10" s="342">
        <f t="shared" si="3"/>
        <v>182853.5</v>
      </c>
      <c r="H10" s="342">
        <f t="shared" si="3"/>
        <v>101713.57</v>
      </c>
      <c r="I10" s="342">
        <f t="shared" si="3"/>
        <v>194013.91</v>
      </c>
      <c r="J10" s="342">
        <f t="shared" si="3"/>
        <v>136146.60999999999</v>
      </c>
      <c r="K10" s="342">
        <f t="shared" si="3"/>
        <v>194657.7</v>
      </c>
      <c r="L10" s="342">
        <f t="shared" si="3"/>
        <v>105954.44</v>
      </c>
      <c r="M10" s="342">
        <f t="shared" si="3"/>
        <v>194496.31</v>
      </c>
      <c r="N10" s="342">
        <f t="shared" si="3"/>
        <v>0</v>
      </c>
      <c r="O10" s="342">
        <f t="shared" si="3"/>
        <v>0</v>
      </c>
      <c r="P10" s="342">
        <f t="shared" si="3"/>
        <v>0</v>
      </c>
      <c r="Q10" s="342">
        <f t="shared" si="3"/>
        <v>0</v>
      </c>
      <c r="R10" s="342">
        <f t="shared" si="3"/>
        <v>0</v>
      </c>
      <c r="S10" s="342">
        <f t="shared" si="3"/>
        <v>0</v>
      </c>
      <c r="T10" s="342">
        <f t="shared" si="3"/>
        <v>0</v>
      </c>
      <c r="U10" s="342">
        <f t="shared" si="3"/>
        <v>0</v>
      </c>
      <c r="V10" s="342">
        <f t="shared" si="3"/>
        <v>0</v>
      </c>
      <c r="W10" s="342">
        <f t="shared" si="3"/>
        <v>0</v>
      </c>
      <c r="X10" s="342">
        <f t="shared" si="3"/>
        <v>0</v>
      </c>
      <c r="Y10" s="342">
        <f>SUM(Y11:Y23)</f>
        <v>0</v>
      </c>
      <c r="Z10" s="340">
        <f t="shared" si="3"/>
        <v>0</v>
      </c>
    </row>
    <row r="11" spans="1:26" ht="13.8" x14ac:dyDescent="0.3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/>
      <c r="M15" s="341">
        <v>98000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12000</v>
      </c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4">C3-C10</f>
        <v>24146.5</v>
      </c>
      <c r="D24" s="331">
        <f t="shared" si="4"/>
        <v>125409.35000000002</v>
      </c>
      <c r="E24" s="331">
        <f t="shared" si="4"/>
        <v>24146.5</v>
      </c>
      <c r="F24" s="331">
        <f t="shared" si="4"/>
        <v>80361.999999999971</v>
      </c>
      <c r="G24" s="331">
        <f t="shared" si="4"/>
        <v>24146.5</v>
      </c>
      <c r="H24" s="331">
        <f t="shared" si="4"/>
        <v>127304.9</v>
      </c>
      <c r="I24" s="331">
        <f t="shared" si="4"/>
        <v>33686.089999999997</v>
      </c>
      <c r="J24" s="331">
        <f t="shared" si="4"/>
        <v>114901.03000000003</v>
      </c>
      <c r="K24" s="331">
        <f t="shared" si="4"/>
        <v>33042.299999999988</v>
      </c>
      <c r="L24" s="331">
        <f t="shared" si="4"/>
        <v>143188.82999999999</v>
      </c>
      <c r="M24" s="331">
        <f t="shared" si="4"/>
        <v>33203.69</v>
      </c>
      <c r="N24" s="331">
        <f t="shared" si="4"/>
        <v>0</v>
      </c>
      <c r="O24" s="331">
        <f t="shared" si="4"/>
        <v>241362</v>
      </c>
      <c r="P24" s="331">
        <f t="shared" si="4"/>
        <v>0</v>
      </c>
      <c r="Q24" s="331">
        <f t="shared" si="4"/>
        <v>0</v>
      </c>
      <c r="R24" s="331">
        <f t="shared" si="4"/>
        <v>0</v>
      </c>
      <c r="S24" s="331">
        <f t="shared" si="4"/>
        <v>0</v>
      </c>
      <c r="T24" s="331">
        <f t="shared" si="4"/>
        <v>0</v>
      </c>
      <c r="U24" s="331">
        <f t="shared" si="4"/>
        <v>0</v>
      </c>
      <c r="V24" s="331">
        <f t="shared" si="4"/>
        <v>0</v>
      </c>
      <c r="W24" s="331">
        <f t="shared" si="4"/>
        <v>0</v>
      </c>
      <c r="X24" s="331">
        <f t="shared" si="4"/>
        <v>0</v>
      </c>
      <c r="Y24" s="331">
        <f t="shared" si="4"/>
        <v>0</v>
      </c>
      <c r="Z24" s="331">
        <f t="shared" si="4"/>
        <v>0</v>
      </c>
    </row>
    <row r="25" spans="1:26" x14ac:dyDescent="0.25">
      <c r="Q25" s="332"/>
      <c r="R25" s="332"/>
    </row>
    <row r="26" spans="1:26" x14ac:dyDescent="0.25">
      <c r="A26" s="334"/>
      <c r="H26" s="332"/>
      <c r="J26" s="332"/>
      <c r="K26" s="335"/>
      <c r="L26" s="335"/>
      <c r="Q26" s="336"/>
      <c r="R26" s="336"/>
    </row>
    <row r="27" spans="1:26" x14ac:dyDescent="0.25">
      <c r="J27" s="332"/>
      <c r="Q27" s="334"/>
      <c r="R27" s="334"/>
    </row>
    <row r="28" spans="1:26" x14ac:dyDescent="0.25">
      <c r="A28" s="334"/>
      <c r="C28" s="337"/>
      <c r="D28" s="332"/>
      <c r="E28" s="336"/>
      <c r="J28" s="390"/>
      <c r="Q28" s="339"/>
      <c r="R28" s="339"/>
    </row>
    <row r="29" spans="1:26" x14ac:dyDescent="0.25">
      <c r="A29" s="337"/>
      <c r="C29" s="337"/>
      <c r="D29" s="337"/>
      <c r="E29" s="336"/>
    </row>
    <row r="30" spans="1:26" x14ac:dyDescent="0.25">
      <c r="A30" s="334"/>
      <c r="C30" s="333"/>
      <c r="D30" s="333"/>
    </row>
    <row r="32" spans="1:26" x14ac:dyDescent="0.25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abSelected="1" workbookViewId="0">
      <selection activeCell="I4" sqref="I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10" width="12.88671875" customWidth="1" outlineLevel="1"/>
    <col min="11" max="12" width="12.88671875" customWidth="1"/>
    <col min="13" max="13" width="13" hidden="1" customWidth="1"/>
    <col min="14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8250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8250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 t="shared" ref="O4:O5" si="1"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 t="shared" ref="I5" si="2">G5*0.1+G5</f>
        <v>0</v>
      </c>
      <c r="J5" s="338"/>
      <c r="K5" s="338">
        <v>0</v>
      </c>
      <c r="L5" s="338"/>
      <c r="M5" s="338">
        <v>0</v>
      </c>
      <c r="N5" s="338"/>
      <c r="O5" s="338">
        <f t="shared" si="1"/>
        <v>0</v>
      </c>
      <c r="P5" s="338"/>
      <c r="Q5" s="338">
        <v>0</v>
      </c>
      <c r="R5" s="338"/>
      <c r="S5" s="338">
        <v>0</v>
      </c>
      <c r="T5" s="338"/>
      <c r="U5" s="338">
        <f t="shared" ref="U5" si="3"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ht="13.8" x14ac:dyDescent="0.3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4.4" thickBot="1" x14ac:dyDescent="0.3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8" x14ac:dyDescent="0.3">
      <c r="A8" s="327" t="s">
        <v>58</v>
      </c>
      <c r="C8" s="342">
        <f>SUM(C9:C21)</f>
        <v>2250</v>
      </c>
      <c r="D8" s="342">
        <f t="shared" ref="D8:Z8" si="4">SUM(D9:D21)</f>
        <v>578</v>
      </c>
      <c r="E8" s="342">
        <f t="shared" si="4"/>
        <v>2250</v>
      </c>
      <c r="F8" s="342">
        <f t="shared" si="4"/>
        <v>1002.38</v>
      </c>
      <c r="G8" s="342">
        <f t="shared" si="4"/>
        <v>2250</v>
      </c>
      <c r="H8" s="342">
        <f t="shared" si="4"/>
        <v>1205.54</v>
      </c>
      <c r="I8" s="342">
        <f t="shared" si="4"/>
        <v>2475</v>
      </c>
      <c r="J8" s="342">
        <f t="shared" si="4"/>
        <v>1404.5</v>
      </c>
      <c r="K8" s="342">
        <f t="shared" si="4"/>
        <v>2475</v>
      </c>
      <c r="L8" s="342">
        <f t="shared" si="4"/>
        <v>2148.42</v>
      </c>
      <c r="M8" s="342">
        <f t="shared" si="4"/>
        <v>2475</v>
      </c>
      <c r="N8" s="342">
        <f t="shared" si="4"/>
        <v>0</v>
      </c>
      <c r="O8" s="342">
        <f t="shared" si="4"/>
        <v>2623.5</v>
      </c>
      <c r="P8" s="342">
        <f t="shared" si="4"/>
        <v>0</v>
      </c>
      <c r="Q8" s="342">
        <f t="shared" si="4"/>
        <v>0</v>
      </c>
      <c r="R8" s="342">
        <f t="shared" si="4"/>
        <v>0</v>
      </c>
      <c r="S8" s="342">
        <f t="shared" si="4"/>
        <v>0</v>
      </c>
      <c r="T8" s="342">
        <f t="shared" si="4"/>
        <v>0</v>
      </c>
      <c r="U8" s="342">
        <f t="shared" si="4"/>
        <v>0</v>
      </c>
      <c r="V8" s="342">
        <f t="shared" si="4"/>
        <v>0</v>
      </c>
      <c r="W8" s="342">
        <f t="shared" si="4"/>
        <v>0</v>
      </c>
      <c r="X8" s="342">
        <f t="shared" si="4"/>
        <v>0</v>
      </c>
      <c r="Y8" s="342">
        <f t="shared" si="4"/>
        <v>0</v>
      </c>
      <c r="Z8" s="340">
        <f t="shared" si="4"/>
        <v>0</v>
      </c>
    </row>
    <row r="9" spans="1:26" ht="13.8" x14ac:dyDescent="0.3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ht="13.8" x14ac:dyDescent="0.3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ht="13.8" x14ac:dyDescent="0.3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ht="13.8" x14ac:dyDescent="0.3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ht="13.8" x14ac:dyDescent="0.3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ht="13.8" x14ac:dyDescent="0.3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ht="13.8" x14ac:dyDescent="0.3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ht="13.8" x14ac:dyDescent="0.3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ht="13.8" x14ac:dyDescent="0.3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ht="13.8" x14ac:dyDescent="0.3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2062.5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ht="13.8" x14ac:dyDescent="0.3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412.5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ht="13.8" x14ac:dyDescent="0.3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4.4" thickBot="1" x14ac:dyDescent="0.35">
      <c r="A22" s="330" t="s">
        <v>624</v>
      </c>
      <c r="C22" s="331">
        <f>C3-C8</f>
        <v>5250</v>
      </c>
      <c r="D22" s="331">
        <f t="shared" ref="D22:Z22" si="5">D3-D8</f>
        <v>2128</v>
      </c>
      <c r="E22" s="331">
        <f t="shared" si="5"/>
        <v>5250</v>
      </c>
      <c r="F22" s="331">
        <f t="shared" si="5"/>
        <v>2771.72</v>
      </c>
      <c r="G22" s="331">
        <f t="shared" si="5"/>
        <v>5250</v>
      </c>
      <c r="H22" s="331">
        <f t="shared" si="5"/>
        <v>2707.46</v>
      </c>
      <c r="I22" s="331">
        <f t="shared" si="5"/>
        <v>5775</v>
      </c>
      <c r="J22" s="331">
        <f t="shared" si="5"/>
        <v>2513.5</v>
      </c>
      <c r="K22" s="331">
        <f t="shared" si="5"/>
        <v>5775</v>
      </c>
      <c r="L22" s="331">
        <f t="shared" si="5"/>
        <v>2735.45</v>
      </c>
      <c r="M22" s="331">
        <f t="shared" si="5"/>
        <v>5775</v>
      </c>
      <c r="N22" s="331">
        <f t="shared" si="5"/>
        <v>0</v>
      </c>
      <c r="O22" s="331">
        <f t="shared" si="5"/>
        <v>6121.5</v>
      </c>
      <c r="P22" s="331">
        <f t="shared" si="5"/>
        <v>0</v>
      </c>
      <c r="Q22" s="331">
        <f t="shared" si="5"/>
        <v>0</v>
      </c>
      <c r="R22" s="331">
        <f t="shared" si="5"/>
        <v>0</v>
      </c>
      <c r="S22" s="331">
        <f t="shared" si="5"/>
        <v>0</v>
      </c>
      <c r="T22" s="331">
        <f t="shared" si="5"/>
        <v>0</v>
      </c>
      <c r="U22" s="331">
        <f t="shared" si="5"/>
        <v>0</v>
      </c>
      <c r="V22" s="331">
        <f t="shared" si="5"/>
        <v>0</v>
      </c>
      <c r="W22" s="331">
        <f t="shared" si="5"/>
        <v>0</v>
      </c>
      <c r="X22" s="331">
        <f t="shared" si="5"/>
        <v>0</v>
      </c>
      <c r="Y22" s="331">
        <f t="shared" si="5"/>
        <v>0</v>
      </c>
      <c r="Z22" s="331">
        <f t="shared" si="5"/>
        <v>0</v>
      </c>
    </row>
    <row r="23" spans="1:26" x14ac:dyDescent="0.25">
      <c r="Q23" s="332"/>
      <c r="R23" s="332"/>
    </row>
    <row r="24" spans="1:26" x14ac:dyDescent="0.25">
      <c r="A24" s="334"/>
      <c r="K24" s="335"/>
      <c r="L24" s="335"/>
      <c r="Q24" s="336"/>
      <c r="R24" s="336"/>
    </row>
    <row r="25" spans="1:26" x14ac:dyDescent="0.25">
      <c r="Q25" s="334"/>
      <c r="R25" s="334"/>
    </row>
    <row r="26" spans="1:26" x14ac:dyDescent="0.25">
      <c r="A26" s="334"/>
      <c r="C26" s="337"/>
      <c r="D26" s="337"/>
      <c r="Q26" s="339"/>
      <c r="R26" s="339"/>
    </row>
    <row r="27" spans="1:26" x14ac:dyDescent="0.25">
      <c r="A27" s="337"/>
      <c r="C27" s="337"/>
      <c r="D27" s="337"/>
    </row>
    <row r="28" spans="1:26" x14ac:dyDescent="0.25">
      <c r="A28" s="334"/>
      <c r="C28" s="333"/>
      <c r="D28" s="333"/>
    </row>
    <row r="30" spans="1:26" x14ac:dyDescent="0.25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J47"/>
  <sheetViews>
    <sheetView topLeftCell="G1" workbookViewId="0">
      <selection activeCell="K13" sqref="K13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16" t="s">
        <v>670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435355.47</v>
      </c>
      <c r="G9" s="400">
        <v>363193.79000000004</v>
      </c>
      <c r="H9" s="400">
        <v>446257.54000000004</v>
      </c>
      <c r="I9" s="400">
        <v>545913.32999999996</v>
      </c>
      <c r="J9" s="400">
        <v>415605.02999999997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35767.599999999999</v>
      </c>
      <c r="G11" s="339">
        <v>32416.02</v>
      </c>
      <c r="H11" s="339">
        <v>37449.160000000003</v>
      </c>
      <c r="I11" s="339">
        <v>48939.5</v>
      </c>
      <c r="J11" s="339">
        <v>36483.870000000003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33357.43</v>
      </c>
      <c r="G13" s="400">
        <v>26547.95</v>
      </c>
      <c r="H13" s="400">
        <v>35210.910000000003</v>
      </c>
      <c r="I13" s="400">
        <v>40028.439999999995</v>
      </c>
      <c r="J13" s="400">
        <v>35000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366230.44</v>
      </c>
      <c r="G15" s="390">
        <f>G9-G11-G13</f>
        <v>304229.82</v>
      </c>
      <c r="H15" s="390">
        <f>H9-H11-H13</f>
        <v>373597.47</v>
      </c>
      <c r="I15" s="390">
        <f>I9-I11-I13</f>
        <v>456945.38999999996</v>
      </c>
      <c r="J15" s="390">
        <f>J9-J11-J13</f>
        <v>344121.16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217677.73499999999</v>
      </c>
      <c r="G20" s="390">
        <f>G9*0.5</f>
        <v>181596.89500000002</v>
      </c>
      <c r="H20" s="390">
        <f>H9*0.5</f>
        <v>223128.77000000002</v>
      </c>
      <c r="I20" s="390">
        <f>I9*0.5</f>
        <v>272956.66499999998</v>
      </c>
      <c r="J20" s="390">
        <f>J9*0.5</f>
        <v>207802.51499999998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148552.70500000002</v>
      </c>
      <c r="G22" s="390">
        <f>G15-G20</f>
        <v>122632.92499999999</v>
      </c>
      <c r="H22" s="390">
        <f>H15-H20</f>
        <v>150468.69999999995</v>
      </c>
      <c r="I22" s="390">
        <f>I15-I20</f>
        <v>183988.72499999998</v>
      </c>
      <c r="J22" s="390">
        <f>J15-J20</f>
        <v>136318.64499999999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7653.7099999999991</v>
      </c>
      <c r="G27" s="339">
        <v>7018.77</v>
      </c>
      <c r="H27" s="339">
        <v>7455.63</v>
      </c>
      <c r="I27" s="339">
        <v>8585.0400000000009</v>
      </c>
      <c r="J27" s="339">
        <v>8585.0400000000009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100405.73</v>
      </c>
      <c r="G31" s="339">
        <v>85892.13</v>
      </c>
      <c r="H31" s="339">
        <v>105426.96</v>
      </c>
      <c r="I31" s="339">
        <v>78212.990000000005</v>
      </c>
      <c r="J31" s="339">
        <v>94505.920000000013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6602</v>
      </c>
      <c r="G33" s="339">
        <v>6602</v>
      </c>
      <c r="H33" s="339">
        <v>6602</v>
      </c>
      <c r="I33" s="339">
        <v>6602</v>
      </c>
      <c r="J33" s="339">
        <v>6602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1850</v>
      </c>
      <c r="G35" s="339">
        <v>2390</v>
      </c>
      <c r="H35" s="339">
        <v>1850</v>
      </c>
      <c r="I35" s="339">
        <v>1890</v>
      </c>
      <c r="J35" s="339">
        <v>1890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32041.265000000029</v>
      </c>
      <c r="G37" s="390">
        <f>G22-G27-G31-G33-G35</f>
        <v>20730.02499999998</v>
      </c>
      <c r="H37" s="390">
        <f>H22-H27-H31-H33-H35</f>
        <v>29134.109999999942</v>
      </c>
      <c r="I37" s="390">
        <f>I22-I27-I31-I33-I35</f>
        <v>88698.694999999963</v>
      </c>
      <c r="J37" s="390">
        <f>J22-J27-J31-J33-J35</f>
        <v>24735.684999999969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1500</v>
      </c>
      <c r="G42" s="339">
        <v>1500</v>
      </c>
      <c r="H42" s="339">
        <v>1500</v>
      </c>
      <c r="I42" s="339">
        <v>1500</v>
      </c>
      <c r="J42" s="339">
        <v>1500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30541.265000000029</v>
      </c>
      <c r="G44" s="390">
        <f>G37-G42</f>
        <v>19230.02499999998</v>
      </c>
      <c r="H44" s="390">
        <f>H37-H42</f>
        <v>27634.109999999942</v>
      </c>
      <c r="I44" s="390">
        <f>I37-I42</f>
        <v>87198.694999999963</v>
      </c>
      <c r="J44" s="390">
        <f>J37-J42</f>
        <v>23235.684999999969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30541.265000000029</v>
      </c>
      <c r="G47" s="390">
        <f>G44</f>
        <v>19230.02499999998</v>
      </c>
      <c r="H47" s="390">
        <f>H44</f>
        <v>27634.109999999942</v>
      </c>
      <c r="I47" s="390">
        <f>I44</f>
        <v>87198.694999999963</v>
      </c>
      <c r="J47" s="390">
        <f>J44</f>
        <v>23235.684999999969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J47"/>
  <sheetViews>
    <sheetView topLeftCell="G16" workbookViewId="0">
      <selection activeCell="J44" sqref="J44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16" t="s">
        <v>690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196570.68000000002</v>
      </c>
      <c r="G9" s="400">
        <v>167144.25999999998</v>
      </c>
      <c r="H9" s="400">
        <v>229018.47</v>
      </c>
      <c r="I9" s="400">
        <v>251047.64</v>
      </c>
      <c r="J9" s="400">
        <v>249143.27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16052.56</v>
      </c>
      <c r="G11" s="339">
        <v>15713.91</v>
      </c>
      <c r="H11" s="339">
        <v>16504.29</v>
      </c>
      <c r="I11" s="339">
        <v>22130.3</v>
      </c>
      <c r="J11" s="339">
        <v>20306.36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8842.69</v>
      </c>
      <c r="G13" s="400">
        <v>8921.6999999999989</v>
      </c>
      <c r="H13" s="400">
        <v>10958.27</v>
      </c>
      <c r="I13" s="400">
        <v>11197.46</v>
      </c>
      <c r="J13" s="400">
        <f>'PLANO ORÇAMENTARIO - VIDAL'!L19</f>
        <v>12000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171675.43000000002</v>
      </c>
      <c r="G15" s="390">
        <f>G9-G11-G13</f>
        <v>142508.64999999997</v>
      </c>
      <c r="H15" s="390">
        <f>H9-H11-H13</f>
        <v>201555.91</v>
      </c>
      <c r="I15" s="390">
        <f>I9-I11-I13</f>
        <v>217719.88000000003</v>
      </c>
      <c r="J15" s="390">
        <f>J9-J11-J13</f>
        <v>216836.90999999997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98285.340000000011</v>
      </c>
      <c r="G20" s="390">
        <f>G9*0.5</f>
        <v>83572.12999999999</v>
      </c>
      <c r="H20" s="390">
        <f>H9*0.5</f>
        <v>114509.235</v>
      </c>
      <c r="I20" s="390">
        <f>I9*0.5</f>
        <v>125523.82</v>
      </c>
      <c r="J20" s="390">
        <f>J9*0.5</f>
        <v>124571.63499999999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73390.090000000011</v>
      </c>
      <c r="G22" s="390">
        <f>G15-G20</f>
        <v>58936.519999999975</v>
      </c>
      <c r="H22" s="390">
        <f>H15-H20</f>
        <v>87046.675000000003</v>
      </c>
      <c r="I22" s="390">
        <f>I15-I20</f>
        <v>92196.060000000027</v>
      </c>
      <c r="J22" s="390">
        <f>J15-J20</f>
        <v>92265.27499999998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17178.310000000001</v>
      </c>
      <c r="G27" s="339">
        <v>17178.310000000001</v>
      </c>
      <c r="H27" s="339">
        <v>17978.310000000001</v>
      </c>
      <c r="I27" s="339">
        <v>18276.91</v>
      </c>
      <c r="J27" s="339">
        <f>'PLANO ORÇAMENTARIO - VIDAL'!L11</f>
        <v>19613.310000000001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22834.91</v>
      </c>
      <c r="G31" s="339">
        <v>32636.18</v>
      </c>
      <c r="H31" s="339">
        <v>39540.71</v>
      </c>
      <c r="I31" s="339">
        <v>45916.149999999994</v>
      </c>
      <c r="J31" s="339">
        <f>'PLANO ORÇAMENTARIO - VIDAL'!L21</f>
        <v>45920.21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0</v>
      </c>
      <c r="G33" s="339">
        <v>0</v>
      </c>
      <c r="H33" s="339">
        <v>0</v>
      </c>
      <c r="I33" s="339">
        <v>0</v>
      </c>
      <c r="J33" s="339">
        <v>0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6253</v>
      </c>
      <c r="G35" s="339">
        <v>9273</v>
      </c>
      <c r="H35" s="339">
        <v>5722</v>
      </c>
      <c r="I35" s="339">
        <v>7330</v>
      </c>
      <c r="J35" s="339">
        <f>'PLANO ORÇAMENTARIO - VIDAL'!L13</f>
        <v>7265.5599999999995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27123.87000000001</v>
      </c>
      <c r="G37" s="390">
        <f>G22-G27-G31-G33-G35</f>
        <v>-150.97000000002299</v>
      </c>
      <c r="H37" s="390">
        <f>H22-H27-H31-H33-H35</f>
        <v>23805.655000000006</v>
      </c>
      <c r="I37" s="390">
        <f>I22-I27-I31-I33-I35</f>
        <v>20673.000000000029</v>
      </c>
      <c r="J37" s="390">
        <f>J22-J27-J31-J33-J35</f>
        <v>19466.194999999985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0</v>
      </c>
      <c r="G42" s="339">
        <v>0</v>
      </c>
      <c r="H42" s="339">
        <v>0</v>
      </c>
      <c r="I42" s="339">
        <v>0</v>
      </c>
      <c r="J42" s="339">
        <v>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27123.87000000001</v>
      </c>
      <c r="G44" s="390">
        <f>G37-G42</f>
        <v>-150.97000000002299</v>
      </c>
      <c r="H44" s="390">
        <f>H37-H42</f>
        <v>23805.655000000006</v>
      </c>
      <c r="I44" s="390">
        <f>I37-I42</f>
        <v>20673.000000000029</v>
      </c>
      <c r="J44" s="390">
        <f>J37-J42</f>
        <v>19466.194999999985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27123.87000000001</v>
      </c>
      <c r="G47" s="390">
        <f>G44</f>
        <v>-150.97000000002299</v>
      </c>
      <c r="H47" s="390">
        <f>H44</f>
        <v>23805.655000000006</v>
      </c>
      <c r="I47" s="390">
        <f>I44</f>
        <v>20673.000000000029</v>
      </c>
      <c r="J47" s="390">
        <f>J44</f>
        <v>19466.194999999985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M21" sqref="M21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415" t="s">
        <v>668</v>
      </c>
      <c r="C2" s="415"/>
      <c r="D2" s="415"/>
      <c r="E2" s="415"/>
      <c r="F2" s="415"/>
      <c r="G2" s="415"/>
      <c r="K2" s="413" t="s">
        <v>669</v>
      </c>
      <c r="L2" s="413"/>
      <c r="M2" s="413"/>
      <c r="N2" s="413"/>
      <c r="O2" s="413"/>
      <c r="P2" s="413"/>
    </row>
    <row r="4" spans="2:16" x14ac:dyDescent="0.25">
      <c r="B4" s="414" t="s">
        <v>667</v>
      </c>
      <c r="C4" s="414"/>
      <c r="F4" s="414" t="s">
        <v>608</v>
      </c>
      <c r="G4" s="414"/>
      <c r="K4" s="414" t="s">
        <v>667</v>
      </c>
      <c r="L4" s="414"/>
      <c r="O4" s="414" t="s">
        <v>608</v>
      </c>
      <c r="P4" s="414"/>
    </row>
    <row r="5" spans="2:16" x14ac:dyDescent="0.25">
      <c r="B5" s="323"/>
      <c r="C5" s="323"/>
      <c r="F5" s="323"/>
      <c r="G5" s="323"/>
      <c r="K5" s="323"/>
      <c r="L5" s="323"/>
      <c r="O5" s="323"/>
      <c r="P5" s="323"/>
    </row>
    <row r="6" spans="2:16" x14ac:dyDescent="0.25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5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5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5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5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5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5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5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5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5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5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5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5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5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 t="shared" ref="O4:O7" si="1">M4*0.06+M4</f>
        <v>303160</v>
      </c>
      <c r="P4" s="338"/>
      <c r="Q4" s="338">
        <v>303160</v>
      </c>
      <c r="R4" s="338"/>
      <c r="S4" s="338">
        <v>303160</v>
      </c>
      <c r="T4" s="338"/>
      <c r="U4" s="338">
        <f t="shared" ref="U4:U7" si="2"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 t="shared" si="1"/>
        <v>4081</v>
      </c>
      <c r="P5" s="338"/>
      <c r="Q5" s="338">
        <v>4081</v>
      </c>
      <c r="R5" s="338"/>
      <c r="S5" s="338">
        <v>4081</v>
      </c>
      <c r="T5" s="338"/>
      <c r="U5" s="338">
        <f t="shared" si="2"/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 t="shared" si="1"/>
        <v>3498</v>
      </c>
      <c r="P6" s="338"/>
      <c r="Q6" s="338">
        <v>3498</v>
      </c>
      <c r="R6" s="338"/>
      <c r="S6" s="338">
        <v>3498</v>
      </c>
      <c r="T6" s="338"/>
      <c r="U6" s="338">
        <f t="shared" si="2"/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3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>
        <v>0</v>
      </c>
      <c r="R7" s="338"/>
      <c r="S7" s="338">
        <v>0</v>
      </c>
      <c r="T7" s="338"/>
      <c r="U7" s="338">
        <f t="shared" si="2"/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4">SUM(D11:D23)</f>
        <v>439765.25</v>
      </c>
      <c r="E10" s="342">
        <f t="shared" si="4"/>
        <v>343180.70999999996</v>
      </c>
      <c r="F10" s="342">
        <f t="shared" si="4"/>
        <v>389391.98</v>
      </c>
      <c r="G10" s="342">
        <f t="shared" si="4"/>
        <v>301860.87</v>
      </c>
      <c r="H10" s="342">
        <f t="shared" si="4"/>
        <v>464461.03</v>
      </c>
      <c r="I10" s="342">
        <f t="shared" si="4"/>
        <v>228299.94</v>
      </c>
      <c r="J10" s="342">
        <f t="shared" si="4"/>
        <v>409521.58999999997</v>
      </c>
      <c r="K10" s="342">
        <f t="shared" si="4"/>
        <v>186047.12</v>
      </c>
      <c r="L10" s="342">
        <f t="shared" si="4"/>
        <v>0</v>
      </c>
      <c r="M10" s="342">
        <f t="shared" si="4"/>
        <v>158885.35999999999</v>
      </c>
      <c r="N10" s="342">
        <f t="shared" si="4"/>
        <v>0</v>
      </c>
      <c r="O10" s="342">
        <f t="shared" si="4"/>
        <v>151376.86000000002</v>
      </c>
      <c r="P10" s="342">
        <f t="shared" si="4"/>
        <v>0</v>
      </c>
      <c r="Q10" s="342">
        <f t="shared" si="4"/>
        <v>297826.83</v>
      </c>
      <c r="R10" s="342">
        <f t="shared" si="4"/>
        <v>0</v>
      </c>
      <c r="S10" s="342">
        <f t="shared" si="4"/>
        <v>297826.83</v>
      </c>
      <c r="T10" s="342">
        <f t="shared" si="4"/>
        <v>0</v>
      </c>
      <c r="U10" s="342">
        <f t="shared" si="4"/>
        <v>317143.28449999995</v>
      </c>
      <c r="V10" s="342">
        <f t="shared" si="4"/>
        <v>0</v>
      </c>
      <c r="W10" s="342">
        <f t="shared" si="4"/>
        <v>317143.28449999995</v>
      </c>
      <c r="X10" s="342">
        <f t="shared" si="4"/>
        <v>0</v>
      </c>
      <c r="Y10" s="342">
        <f t="shared" si="4"/>
        <v>317143.28449999995</v>
      </c>
      <c r="Z10" s="340">
        <f t="shared" si="4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4.4" thickBot="1" x14ac:dyDescent="0.35">
      <c r="A24" s="330" t="s">
        <v>624</v>
      </c>
      <c r="C24" s="331">
        <f t="shared" ref="C24:Z24" si="5">C3-C10</f>
        <v>-128848.93</v>
      </c>
      <c r="D24" s="331">
        <f>D3-D10</f>
        <v>-4409.7800000000279</v>
      </c>
      <c r="E24" s="331">
        <f t="shared" si="5"/>
        <v>-76680.709999999963</v>
      </c>
      <c r="F24" s="331">
        <f t="shared" si="5"/>
        <v>-26198.189999999944</v>
      </c>
      <c r="G24" s="331">
        <f t="shared" si="5"/>
        <v>-38860.869999999995</v>
      </c>
      <c r="H24" s="331">
        <f t="shared" si="5"/>
        <v>-18203.489999999991</v>
      </c>
      <c r="I24" s="331">
        <f t="shared" si="5"/>
        <v>64850.06</v>
      </c>
      <c r="J24" s="331">
        <f>J3-J10</f>
        <v>136391.74</v>
      </c>
      <c r="K24" s="331">
        <f t="shared" si="5"/>
        <v>107102.88</v>
      </c>
      <c r="L24" s="331">
        <f t="shared" si="5"/>
        <v>0</v>
      </c>
      <c r="M24" s="331">
        <f t="shared" si="5"/>
        <v>134264.64000000001</v>
      </c>
      <c r="N24" s="331">
        <f t="shared" si="5"/>
        <v>0</v>
      </c>
      <c r="O24" s="331">
        <f t="shared" si="5"/>
        <v>159362.13999999998</v>
      </c>
      <c r="P24" s="331">
        <f t="shared" si="5"/>
        <v>0</v>
      </c>
      <c r="Q24" s="331">
        <f t="shared" si="5"/>
        <v>12912.169999999984</v>
      </c>
      <c r="R24" s="331">
        <f t="shared" si="5"/>
        <v>0</v>
      </c>
      <c r="S24" s="331">
        <f t="shared" si="5"/>
        <v>12912.169999999984</v>
      </c>
      <c r="T24" s="331">
        <f t="shared" si="5"/>
        <v>0</v>
      </c>
      <c r="U24" s="331">
        <f t="shared" si="5"/>
        <v>9132.665500000061</v>
      </c>
      <c r="V24" s="331">
        <f t="shared" si="5"/>
        <v>0</v>
      </c>
      <c r="W24" s="331">
        <f t="shared" si="5"/>
        <v>9132.665500000061</v>
      </c>
      <c r="X24" s="331">
        <f t="shared" si="5"/>
        <v>0</v>
      </c>
      <c r="Y24" s="331">
        <f t="shared" si="5"/>
        <v>9132.665500000061</v>
      </c>
      <c r="Z24" s="331">
        <f t="shared" si="5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ht="13.8" x14ac:dyDescent="0.3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ht="13.8" x14ac:dyDescent="0.3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ht="13.8" x14ac:dyDescent="0.3">
      <c r="A29" s="324" t="s">
        <v>5</v>
      </c>
      <c r="C29" s="325">
        <f t="shared" ref="C29:Z29" si="6">SUM(C30:C33)</f>
        <v>207000</v>
      </c>
      <c r="D29" s="325">
        <f t="shared" si="6"/>
        <v>196570.68000000002</v>
      </c>
      <c r="E29" s="325">
        <f t="shared" si="6"/>
        <v>207000</v>
      </c>
      <c r="F29" s="325">
        <f t="shared" si="6"/>
        <v>167144.25999999998</v>
      </c>
      <c r="G29" s="325">
        <f t="shared" si="6"/>
        <v>207000</v>
      </c>
      <c r="H29" s="325">
        <f t="shared" si="6"/>
        <v>229018.47</v>
      </c>
      <c r="I29" s="325">
        <f t="shared" si="6"/>
        <v>227700</v>
      </c>
      <c r="J29" s="325">
        <f t="shared" si="6"/>
        <v>251047.64</v>
      </c>
      <c r="K29" s="325">
        <f t="shared" si="6"/>
        <v>227700</v>
      </c>
      <c r="L29" s="325">
        <f t="shared" si="6"/>
        <v>0</v>
      </c>
      <c r="M29" s="325">
        <f t="shared" si="6"/>
        <v>227700</v>
      </c>
      <c r="N29" s="325">
        <f t="shared" si="6"/>
        <v>0</v>
      </c>
      <c r="O29" s="325">
        <f t="shared" si="6"/>
        <v>241362</v>
      </c>
      <c r="P29" s="325">
        <f t="shared" si="6"/>
        <v>0</v>
      </c>
      <c r="Q29" s="325">
        <f t="shared" si="6"/>
        <v>241362</v>
      </c>
      <c r="R29" s="325">
        <f t="shared" si="6"/>
        <v>0</v>
      </c>
      <c r="S29" s="325">
        <f t="shared" si="6"/>
        <v>241362</v>
      </c>
      <c r="T29" s="325">
        <f t="shared" si="6"/>
        <v>0</v>
      </c>
      <c r="U29" s="325">
        <f t="shared" si="6"/>
        <v>253430.1</v>
      </c>
      <c r="V29" s="325">
        <f t="shared" si="6"/>
        <v>0</v>
      </c>
      <c r="W29" s="325">
        <f t="shared" si="6"/>
        <v>253430.1</v>
      </c>
      <c r="X29" s="325">
        <f t="shared" si="6"/>
        <v>0</v>
      </c>
      <c r="Y29" s="325">
        <f t="shared" si="6"/>
        <v>253430.1</v>
      </c>
      <c r="Z29" s="325">
        <f t="shared" si="6"/>
        <v>0</v>
      </c>
    </row>
    <row r="30" spans="1:26" ht="13.8" x14ac:dyDescent="0.3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ht="13.8" x14ac:dyDescent="0.3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 t="shared" ref="O31:O33" si="7"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 t="shared" ref="U31:U33" si="8"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ht="13.8" x14ac:dyDescent="0.3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 t="shared" si="7"/>
        <v>2332</v>
      </c>
      <c r="P32" s="338"/>
      <c r="Q32" s="338">
        <v>2332</v>
      </c>
      <c r="R32" s="338"/>
      <c r="S32" s="338">
        <v>2332</v>
      </c>
      <c r="T32" s="338"/>
      <c r="U32" s="338">
        <f t="shared" si="8"/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ht="13.8" x14ac:dyDescent="0.3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 t="shared" ref="I33" si="9">G33*0.1+G33</f>
        <v>0</v>
      </c>
      <c r="J33" s="338"/>
      <c r="K33" s="338">
        <v>0</v>
      </c>
      <c r="L33" s="338"/>
      <c r="M33" s="338">
        <v>0</v>
      </c>
      <c r="N33" s="338"/>
      <c r="O33" s="338">
        <f t="shared" si="7"/>
        <v>0</v>
      </c>
      <c r="P33" s="338"/>
      <c r="Q33" s="338">
        <v>0</v>
      </c>
      <c r="R33" s="338"/>
      <c r="S33" s="338">
        <v>0</v>
      </c>
      <c r="T33" s="338"/>
      <c r="U33" s="338">
        <f t="shared" si="8"/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ht="13.8" x14ac:dyDescent="0.3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4.4" thickBot="1" x14ac:dyDescent="0.3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8" x14ac:dyDescent="0.3">
      <c r="A36" s="327" t="s">
        <v>58</v>
      </c>
      <c r="C36" s="342">
        <f>SUM(C37:C49)</f>
        <v>182853.5</v>
      </c>
      <c r="D36" s="342">
        <f t="shared" ref="D36:Z36" si="10">SUM(D37:D49)</f>
        <v>71161.33</v>
      </c>
      <c r="E36" s="342">
        <f t="shared" si="10"/>
        <v>182853.5</v>
      </c>
      <c r="F36" s="342">
        <f t="shared" si="10"/>
        <v>86782.260000000009</v>
      </c>
      <c r="G36" s="342">
        <f t="shared" si="10"/>
        <v>182853.5</v>
      </c>
      <c r="H36" s="342">
        <f t="shared" si="10"/>
        <v>101713.57</v>
      </c>
      <c r="I36" s="342">
        <f t="shared" si="10"/>
        <v>194013.91</v>
      </c>
      <c r="J36" s="342">
        <f t="shared" si="10"/>
        <v>135846.60999999999</v>
      </c>
      <c r="K36" s="342">
        <f t="shared" si="10"/>
        <v>194496.31</v>
      </c>
      <c r="L36" s="342">
        <f t="shared" si="10"/>
        <v>0</v>
      </c>
      <c r="M36" s="342">
        <f t="shared" si="10"/>
        <v>194496.31</v>
      </c>
      <c r="N36" s="342">
        <f t="shared" si="10"/>
        <v>0</v>
      </c>
      <c r="O36" s="342">
        <f t="shared" si="10"/>
        <v>208108.53</v>
      </c>
      <c r="P36" s="342">
        <f t="shared" si="10"/>
        <v>0</v>
      </c>
      <c r="Q36" s="342">
        <f t="shared" si="10"/>
        <v>208108.53</v>
      </c>
      <c r="R36" s="342">
        <f t="shared" si="10"/>
        <v>0</v>
      </c>
      <c r="S36" s="342">
        <f t="shared" si="10"/>
        <v>208108.53</v>
      </c>
      <c r="T36" s="342">
        <f t="shared" si="10"/>
        <v>0</v>
      </c>
      <c r="U36" s="342">
        <f t="shared" si="10"/>
        <v>223545.99100000001</v>
      </c>
      <c r="V36" s="342">
        <f t="shared" si="10"/>
        <v>0</v>
      </c>
      <c r="W36" s="342">
        <f t="shared" si="10"/>
        <v>223545.99100000001</v>
      </c>
      <c r="X36" s="342">
        <f t="shared" si="10"/>
        <v>0</v>
      </c>
      <c r="Y36" s="342">
        <f>SUM(Y37:Y49)</f>
        <v>223545.99100000001</v>
      </c>
      <c r="Z36" s="340">
        <f t="shared" si="10"/>
        <v>0</v>
      </c>
    </row>
    <row r="37" spans="1:26" ht="13.8" x14ac:dyDescent="0.3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ht="13.8" x14ac:dyDescent="0.3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ht="13.8" x14ac:dyDescent="0.3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ht="13.8" x14ac:dyDescent="0.3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ht="13.8" x14ac:dyDescent="0.3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ht="13.8" x14ac:dyDescent="0.3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ht="13.8" x14ac:dyDescent="0.3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ht="13.8" x14ac:dyDescent="0.3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ht="13.8" x14ac:dyDescent="0.3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ht="13.8" x14ac:dyDescent="0.3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ht="13.8" x14ac:dyDescent="0.3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ht="13.8" x14ac:dyDescent="0.3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ht="13.8" x14ac:dyDescent="0.3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4.4" thickBot="1" x14ac:dyDescent="0.35">
      <c r="A50" s="330" t="s">
        <v>624</v>
      </c>
      <c r="C50" s="331">
        <f t="shared" ref="C50:Z50" si="11">C29-C36</f>
        <v>24146.5</v>
      </c>
      <c r="D50" s="331">
        <f t="shared" si="11"/>
        <v>125409.35000000002</v>
      </c>
      <c r="E50" s="331">
        <f t="shared" si="11"/>
        <v>24146.5</v>
      </c>
      <c r="F50" s="331">
        <f t="shared" si="11"/>
        <v>80361.999999999971</v>
      </c>
      <c r="G50" s="331">
        <f t="shared" si="11"/>
        <v>24146.5</v>
      </c>
      <c r="H50" s="331">
        <f t="shared" si="11"/>
        <v>127304.9</v>
      </c>
      <c r="I50" s="331">
        <f t="shared" si="11"/>
        <v>33686.089999999997</v>
      </c>
      <c r="J50" s="331">
        <f t="shared" si="11"/>
        <v>115201.03000000003</v>
      </c>
      <c r="K50" s="331">
        <f t="shared" si="11"/>
        <v>33203.69</v>
      </c>
      <c r="L50" s="331">
        <f t="shared" si="11"/>
        <v>0</v>
      </c>
      <c r="M50" s="331">
        <f t="shared" si="11"/>
        <v>33203.69</v>
      </c>
      <c r="N50" s="331">
        <f t="shared" si="11"/>
        <v>0</v>
      </c>
      <c r="O50" s="331">
        <f t="shared" si="11"/>
        <v>33253.47</v>
      </c>
      <c r="P50" s="331">
        <f t="shared" si="11"/>
        <v>0</v>
      </c>
      <c r="Q50" s="331">
        <f t="shared" si="11"/>
        <v>33253.47</v>
      </c>
      <c r="R50" s="331">
        <f t="shared" si="11"/>
        <v>0</v>
      </c>
      <c r="S50" s="331">
        <f t="shared" si="11"/>
        <v>33253.47</v>
      </c>
      <c r="T50" s="331">
        <f t="shared" si="11"/>
        <v>0</v>
      </c>
      <c r="U50" s="331">
        <f t="shared" si="11"/>
        <v>29884.108999999997</v>
      </c>
      <c r="V50" s="331">
        <f t="shared" si="11"/>
        <v>0</v>
      </c>
      <c r="W50" s="331">
        <f t="shared" si="11"/>
        <v>29884.108999999997</v>
      </c>
      <c r="X50" s="331">
        <f t="shared" si="11"/>
        <v>0</v>
      </c>
      <c r="Y50" s="331">
        <f t="shared" si="11"/>
        <v>29884.108999999997</v>
      </c>
      <c r="Z50" s="331">
        <f t="shared" si="11"/>
        <v>0</v>
      </c>
    </row>
    <row r="53" spans="1:26" ht="13.8" x14ac:dyDescent="0.3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ht="13.8" x14ac:dyDescent="0.3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ht="13.8" x14ac:dyDescent="0.3">
      <c r="A55" s="324" t="s">
        <v>5</v>
      </c>
      <c r="C55" s="325">
        <f t="shared" ref="C55:Z55" si="12">SUM(C56:C57)</f>
        <v>7500</v>
      </c>
      <c r="D55" s="325">
        <f t="shared" si="12"/>
        <v>2706</v>
      </c>
      <c r="E55" s="325">
        <f t="shared" si="12"/>
        <v>7500</v>
      </c>
      <c r="F55" s="325">
        <f t="shared" si="12"/>
        <v>3774.1</v>
      </c>
      <c r="G55" s="325">
        <f t="shared" si="12"/>
        <v>7500</v>
      </c>
      <c r="H55" s="325">
        <f t="shared" si="12"/>
        <v>3913</v>
      </c>
      <c r="I55" s="325">
        <f t="shared" si="12"/>
        <v>3913</v>
      </c>
      <c r="J55" s="325">
        <f t="shared" si="12"/>
        <v>3918</v>
      </c>
      <c r="K55" s="325">
        <f t="shared" si="12"/>
        <v>8250</v>
      </c>
      <c r="L55" s="325">
        <f t="shared" si="12"/>
        <v>0</v>
      </c>
      <c r="M55" s="325">
        <f t="shared" si="12"/>
        <v>8250</v>
      </c>
      <c r="N55" s="325">
        <f t="shared" si="12"/>
        <v>0</v>
      </c>
      <c r="O55" s="325">
        <f t="shared" si="12"/>
        <v>8745</v>
      </c>
      <c r="P55" s="325">
        <f t="shared" si="12"/>
        <v>0</v>
      </c>
      <c r="Q55" s="325">
        <f t="shared" si="12"/>
        <v>8745</v>
      </c>
      <c r="R55" s="325">
        <f t="shared" si="12"/>
        <v>0</v>
      </c>
      <c r="S55" s="325">
        <f t="shared" si="12"/>
        <v>8745</v>
      </c>
      <c r="T55" s="325">
        <f t="shared" si="12"/>
        <v>0</v>
      </c>
      <c r="U55" s="325">
        <f t="shared" si="12"/>
        <v>9182.25</v>
      </c>
      <c r="V55" s="325">
        <f t="shared" si="12"/>
        <v>0</v>
      </c>
      <c r="W55" s="325">
        <f t="shared" si="12"/>
        <v>9182.25</v>
      </c>
      <c r="X55" s="325">
        <f t="shared" si="12"/>
        <v>0</v>
      </c>
      <c r="Y55" s="325">
        <f t="shared" si="12"/>
        <v>9182.25</v>
      </c>
      <c r="Z55" s="325">
        <f t="shared" si="12"/>
        <v>0</v>
      </c>
    </row>
    <row r="56" spans="1:26" ht="13.8" x14ac:dyDescent="0.3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 t="shared" ref="O56:O57" si="13"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 t="shared" ref="U56:U57" si="14"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ht="13.8" x14ac:dyDescent="0.3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 t="shared" ref="I57" si="15">G57*0.1+G57</f>
        <v>0</v>
      </c>
      <c r="J57" s="338"/>
      <c r="K57" s="338">
        <v>0</v>
      </c>
      <c r="L57" s="338"/>
      <c r="M57" s="338">
        <v>0</v>
      </c>
      <c r="N57" s="338"/>
      <c r="O57" s="338">
        <f t="shared" si="13"/>
        <v>0</v>
      </c>
      <c r="P57" s="338"/>
      <c r="Q57" s="338">
        <v>0</v>
      </c>
      <c r="R57" s="338"/>
      <c r="S57" s="338">
        <v>0</v>
      </c>
      <c r="T57" s="338"/>
      <c r="U57" s="338">
        <f t="shared" si="14"/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ht="13.8" x14ac:dyDescent="0.3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4.4" thickBot="1" x14ac:dyDescent="0.3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8" x14ac:dyDescent="0.3">
      <c r="A60" s="327" t="s">
        <v>58</v>
      </c>
      <c r="C60" s="342">
        <f>SUM(C61:C73)</f>
        <v>2250</v>
      </c>
      <c r="D60" s="342">
        <f t="shared" ref="D60:Z60" si="16">SUM(D61:D73)</f>
        <v>578</v>
      </c>
      <c r="E60" s="342">
        <f t="shared" si="16"/>
        <v>2250</v>
      </c>
      <c r="F60" s="342">
        <f t="shared" si="16"/>
        <v>1002.38</v>
      </c>
      <c r="G60" s="342">
        <f t="shared" si="16"/>
        <v>2250</v>
      </c>
      <c r="H60" s="342">
        <f t="shared" si="16"/>
        <v>1205.54</v>
      </c>
      <c r="I60" s="342">
        <f t="shared" si="16"/>
        <v>1173.9000000000001</v>
      </c>
      <c r="J60" s="342">
        <f t="shared" si="16"/>
        <v>1404.5</v>
      </c>
      <c r="K60" s="342">
        <f t="shared" si="16"/>
        <v>2475</v>
      </c>
      <c r="L60" s="342">
        <f t="shared" si="16"/>
        <v>0</v>
      </c>
      <c r="M60" s="342">
        <f t="shared" si="16"/>
        <v>2475</v>
      </c>
      <c r="N60" s="342">
        <f t="shared" si="16"/>
        <v>0</v>
      </c>
      <c r="O60" s="342">
        <f t="shared" si="16"/>
        <v>2623.5</v>
      </c>
      <c r="P60" s="342">
        <f t="shared" si="16"/>
        <v>0</v>
      </c>
      <c r="Q60" s="342">
        <f t="shared" si="16"/>
        <v>2623.5</v>
      </c>
      <c r="R60" s="342">
        <f t="shared" si="16"/>
        <v>0</v>
      </c>
      <c r="S60" s="342">
        <f t="shared" si="16"/>
        <v>2623.5</v>
      </c>
      <c r="T60" s="342">
        <f t="shared" si="16"/>
        <v>0</v>
      </c>
      <c r="U60" s="342">
        <f t="shared" si="16"/>
        <v>2754.6750000000002</v>
      </c>
      <c r="V60" s="342">
        <f t="shared" si="16"/>
        <v>0</v>
      </c>
      <c r="W60" s="342">
        <f t="shared" si="16"/>
        <v>2754.6750000000002</v>
      </c>
      <c r="X60" s="342">
        <f t="shared" si="16"/>
        <v>0</v>
      </c>
      <c r="Y60" s="342">
        <f t="shared" si="16"/>
        <v>2754.6750000000002</v>
      </c>
      <c r="Z60" s="340">
        <f t="shared" si="16"/>
        <v>0</v>
      </c>
    </row>
    <row r="61" spans="1:26" ht="13.8" x14ac:dyDescent="0.3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ht="13.8" x14ac:dyDescent="0.3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ht="13.8" x14ac:dyDescent="0.3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ht="13.8" x14ac:dyDescent="0.3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ht="13.8" x14ac:dyDescent="0.3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ht="13.8" x14ac:dyDescent="0.3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ht="13.8" x14ac:dyDescent="0.3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ht="13.8" x14ac:dyDescent="0.3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ht="13.8" x14ac:dyDescent="0.3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ht="13.8" x14ac:dyDescent="0.3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ht="13.8" x14ac:dyDescent="0.3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ht="13.8" x14ac:dyDescent="0.3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ht="13.8" x14ac:dyDescent="0.3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4.4" thickBot="1" x14ac:dyDescent="0.35">
      <c r="A74" s="330" t="s">
        <v>624</v>
      </c>
      <c r="C74" s="331">
        <f>C55-C60</f>
        <v>5250</v>
      </c>
      <c r="D74" s="331">
        <f t="shared" ref="D74:Z74" si="17">D55-D60</f>
        <v>2128</v>
      </c>
      <c r="E74" s="331">
        <f t="shared" si="17"/>
        <v>5250</v>
      </c>
      <c r="F74" s="331">
        <f t="shared" si="17"/>
        <v>2771.72</v>
      </c>
      <c r="G74" s="331">
        <f t="shared" si="17"/>
        <v>5250</v>
      </c>
      <c r="H74" s="331">
        <f t="shared" si="17"/>
        <v>2707.46</v>
      </c>
      <c r="I74" s="331">
        <f t="shared" si="17"/>
        <v>2739.1</v>
      </c>
      <c r="J74" s="331">
        <f t="shared" si="17"/>
        <v>2513.5</v>
      </c>
      <c r="K74" s="331">
        <f t="shared" si="17"/>
        <v>5775</v>
      </c>
      <c r="L74" s="331">
        <f t="shared" si="17"/>
        <v>0</v>
      </c>
      <c r="M74" s="331">
        <f t="shared" si="17"/>
        <v>5775</v>
      </c>
      <c r="N74" s="331">
        <f t="shared" si="17"/>
        <v>0</v>
      </c>
      <c r="O74" s="331">
        <f t="shared" si="17"/>
        <v>6121.5</v>
      </c>
      <c r="P74" s="331">
        <f t="shared" si="17"/>
        <v>0</v>
      </c>
      <c r="Q74" s="331">
        <f t="shared" si="17"/>
        <v>6121.5</v>
      </c>
      <c r="R74" s="331">
        <f t="shared" si="17"/>
        <v>0</v>
      </c>
      <c r="S74" s="331">
        <f t="shared" si="17"/>
        <v>6121.5</v>
      </c>
      <c r="T74" s="331">
        <f t="shared" si="17"/>
        <v>0</v>
      </c>
      <c r="U74" s="331">
        <f t="shared" si="17"/>
        <v>6427.5749999999998</v>
      </c>
      <c r="V74" s="331">
        <f t="shared" si="17"/>
        <v>0</v>
      </c>
      <c r="W74" s="331">
        <f t="shared" si="17"/>
        <v>6427.5749999999998</v>
      </c>
      <c r="X74" s="331">
        <f t="shared" si="17"/>
        <v>0</v>
      </c>
      <c r="Y74" s="331">
        <f t="shared" si="17"/>
        <v>6427.5749999999998</v>
      </c>
      <c r="Z74" s="331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v>0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0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0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0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0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f>I35</f>
        <v>-324733.03999999998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-564872.31000000006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-654926.31000000006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-745230.31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-835534.31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5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5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5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5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5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5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5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5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5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5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5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5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5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5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5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5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5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5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5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5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5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5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5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5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5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5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5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5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5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5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5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5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5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5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5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5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5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5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5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5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5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5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5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5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5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5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5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5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5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5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5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5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5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5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5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5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5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5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5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5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5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5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5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5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5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5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5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5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5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5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5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5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5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5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5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5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5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5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5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5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5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5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5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5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5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5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5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5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5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5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5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5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5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5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5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5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5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5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5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5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5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5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5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5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5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5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5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5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5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5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5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5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5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5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5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5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5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5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5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5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5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5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5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5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5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5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5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5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5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5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5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5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5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5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5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5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5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5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5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5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5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5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5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5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5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5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5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5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5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5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5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5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5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5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5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5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5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5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5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5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5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5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5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5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5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5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5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5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5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5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5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5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5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5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5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5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5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5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5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5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5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5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5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5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5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5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5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5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5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5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5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5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5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5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5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5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5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5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5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5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5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5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5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5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5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5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5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5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5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5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5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5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5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5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5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5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5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5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5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5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5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5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5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5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5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5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5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5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5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5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6" outlineLevel="1" thickBot="1" x14ac:dyDescent="0.3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6" thickBot="1" x14ac:dyDescent="0.3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5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5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5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5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5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5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5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5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5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63" bestFit="1" customWidth="1"/>
    <col min="2" max="2" width="51" style="63" bestFit="1" customWidth="1"/>
    <col min="3" max="63" width="11.88671875" style="63" customWidth="1"/>
    <col min="64" max="16384" width="10.6640625" style="63"/>
  </cols>
  <sheetData>
    <row r="1" spans="1:61" ht="57" customHeight="1" x14ac:dyDescent="0.3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8.600000000000001" thickBot="1" x14ac:dyDescent="0.4">
      <c r="C2" s="156" t="s">
        <v>534</v>
      </c>
    </row>
    <row r="3" spans="1:61" ht="15" thickBot="1" x14ac:dyDescent="0.35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" thickTop="1" x14ac:dyDescent="0.3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6" x14ac:dyDescent="0.3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5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5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5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5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5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5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5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5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5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5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5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5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5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5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6" x14ac:dyDescent="0.3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5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5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5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5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5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5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5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5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5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5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5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5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5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5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6" x14ac:dyDescent="0.3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5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5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5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5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5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5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5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5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5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5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5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5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5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5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6" x14ac:dyDescent="0.3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5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5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5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5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5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5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5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5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5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5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5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5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3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3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6" x14ac:dyDescent="0.3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3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3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3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3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3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3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3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3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3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3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3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3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3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3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6" x14ac:dyDescent="0.3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3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3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3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3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3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3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3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3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3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3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3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3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3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6" x14ac:dyDescent="0.3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3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3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3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3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3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3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3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3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3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3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3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3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3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6" x14ac:dyDescent="0.3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3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3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3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3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3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3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3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3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3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3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3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3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3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6" x14ac:dyDescent="0.3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3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3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3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3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3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3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3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3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3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3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3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3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3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6" x14ac:dyDescent="0.3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3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3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3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3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3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3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3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3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3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3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3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3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3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6" x14ac:dyDescent="0.3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3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3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3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3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3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3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3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3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3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3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3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3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3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6" x14ac:dyDescent="0.3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3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3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3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3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3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3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3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3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3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3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3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3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3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3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6" x14ac:dyDescent="0.3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3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3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3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3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3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3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3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3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3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3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3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3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3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8.600000000000001" thickBot="1" x14ac:dyDescent="0.4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" thickTop="1" x14ac:dyDescent="0.3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5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5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5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5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5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5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5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5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3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3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3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3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3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3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3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3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3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3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3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3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3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3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8.600000000000001" thickBot="1" x14ac:dyDescent="0.4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" thickTop="1" x14ac:dyDescent="0.3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5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5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5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5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5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5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5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5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3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3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3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3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3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3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3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3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3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3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3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3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3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3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8.600000000000001" thickBot="1" x14ac:dyDescent="0.4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" thickTop="1" x14ac:dyDescent="0.3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5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5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5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5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5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5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5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5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3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3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3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3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3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3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3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3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3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3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3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3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3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3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8.600000000000001" thickBot="1" x14ac:dyDescent="0.4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" thickTop="1" x14ac:dyDescent="0.3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3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3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3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3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3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3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3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3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3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3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3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3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3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3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3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3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3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3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3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3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3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3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8.600000000000001" thickBot="1" x14ac:dyDescent="0.4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" thickTop="1" x14ac:dyDescent="0.3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3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3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3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3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3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3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3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3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3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3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3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3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3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3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3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3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3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3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3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3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8.600000000000001" thickBot="1" x14ac:dyDescent="0.4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" thickTop="1" x14ac:dyDescent="0.3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3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3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3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3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3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3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3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3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3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3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3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3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3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3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3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3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3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3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3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3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8.600000000000001" thickBot="1" x14ac:dyDescent="0.4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" thickTop="1" x14ac:dyDescent="0.3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3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3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3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3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3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3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3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3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3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3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3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3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3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3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3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3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3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3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3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3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8.600000000000001" thickBot="1" x14ac:dyDescent="0.4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" thickTop="1" x14ac:dyDescent="0.3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3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3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3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3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3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3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3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3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3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3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3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3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3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3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3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3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3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3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3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3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" x14ac:dyDescent="0.35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3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3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5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5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3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5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5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3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5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5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3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5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5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3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5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5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3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5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5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3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5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5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3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5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5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3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5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5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3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3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3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3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" x14ac:dyDescent="0.35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3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3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3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3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3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3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3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3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3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3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3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3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3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" thickBot="1" x14ac:dyDescent="0.35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" thickTop="1" x14ac:dyDescent="0.3"/>
    <row r="432" spans="1:26" x14ac:dyDescent="0.3">
      <c r="L432" s="63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2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2026-06-18T15:11:17Z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